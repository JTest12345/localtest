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ejfs0\ToCEJFS1(X線データ）\OS_Dailyまとめ\"/>
    </mc:Choice>
  </mc:AlternateContent>
  <bookViews>
    <workbookView xWindow="0" yWindow="0" windowWidth="14370" windowHeight="7530" tabRatio="741" firstSheet="1" activeTab="1"/>
  </bookViews>
  <sheets>
    <sheet name="まとめ" sheetId="12" r:id="rId1"/>
    <sheet name="FT36" sheetId="7" r:id="rId2"/>
    <sheet name="FT42" sheetId="14" r:id="rId3"/>
    <sheet name="FT43" sheetId="8" r:id="rId4"/>
    <sheet name="FT59" sheetId="15" r:id="rId5"/>
    <sheet name="FT60" sheetId="16" r:id="rId6"/>
    <sheet name="FT65" sheetId="9" r:id="rId7"/>
    <sheet name="FT70" sheetId="17" r:id="rId8"/>
    <sheet name="FT72" sheetId="10" r:id="rId9"/>
    <sheet name="FT73" sheetId="11" r:id="rId10"/>
    <sheet name="FT74" sheetId="18" r:id="rId11"/>
    <sheet name="FT76" sheetId="19" r:id="rId12"/>
    <sheet name="FTA4" sheetId="20" r:id="rId13"/>
    <sheet name="FTD9" sheetId="21" r:id="rId14"/>
  </sheets>
  <definedNames>
    <definedName name="_xlnm._FilterDatabase" localSheetId="1" hidden="1">'FT36'!$G$4:$G$172</definedName>
    <definedName name="_xlnm._FilterDatabase" localSheetId="2" hidden="1">'FT42'!$G$4:$G$172</definedName>
    <definedName name="_xlnm._FilterDatabase" localSheetId="3" hidden="1">'FT43'!$G$4:$G$172</definedName>
    <definedName name="_xlnm._FilterDatabase" localSheetId="4" hidden="1">'FT59'!$G$4:$G$172</definedName>
    <definedName name="_xlnm._FilterDatabase" localSheetId="5" hidden="1">'FT60'!$G$4:$G$172</definedName>
    <definedName name="_xlnm._FilterDatabase" localSheetId="6" hidden="1">'FT65'!$G$4:$G$172</definedName>
    <definedName name="_xlnm._FilterDatabase" localSheetId="7" hidden="1">'FT70'!$G$4:$G$172</definedName>
    <definedName name="_xlnm._FilterDatabase" localSheetId="8" hidden="1">'FT72'!$G$4:$G$172</definedName>
    <definedName name="_xlnm._FilterDatabase" localSheetId="9" hidden="1">'FT73'!$G$4:$G$172</definedName>
    <definedName name="_xlnm._FilterDatabase" localSheetId="10" hidden="1">'FT74'!$G$4:$G$172</definedName>
    <definedName name="_xlnm._FilterDatabase" localSheetId="11" hidden="1">'FT76'!$G$4:$G$172</definedName>
    <definedName name="_xlnm._FilterDatabase" localSheetId="12" hidden="1">'FTA4'!$G$4:$G$172</definedName>
    <definedName name="_xlnm._FilterDatabase" localSheetId="13" hidden="1">'FTD9'!$G$4:$G$172</definedName>
  </definedNames>
  <calcPr calcId="152511"/>
</workbook>
</file>

<file path=xl/calcChain.xml><?xml version="1.0" encoding="utf-8"?>
<calcChain xmlns="http://schemas.openxmlformats.org/spreadsheetml/2006/main">
  <c r="AH100" i="21" l="1"/>
  <c r="AG100" i="21"/>
  <c r="AF100" i="21"/>
  <c r="AE100" i="21"/>
  <c r="AD100" i="21"/>
  <c r="AC100" i="21"/>
  <c r="AB100" i="21"/>
  <c r="AA100" i="21"/>
  <c r="Z100" i="21"/>
  <c r="Y100" i="21"/>
  <c r="X100" i="21"/>
  <c r="W100" i="21"/>
  <c r="F100" i="21"/>
  <c r="AH99" i="21"/>
  <c r="AG99" i="21"/>
  <c r="AF99" i="21"/>
  <c r="AE99" i="21"/>
  <c r="AD99" i="21"/>
  <c r="AC99" i="21"/>
  <c r="AB99" i="21"/>
  <c r="AA99" i="21"/>
  <c r="Z99" i="21"/>
  <c r="Y99" i="21"/>
  <c r="X99" i="21"/>
  <c r="W99" i="21"/>
  <c r="F99" i="21"/>
  <c r="AH98" i="21"/>
  <c r="AG98" i="21"/>
  <c r="AF98" i="21"/>
  <c r="AE98" i="21"/>
  <c r="AD98" i="21"/>
  <c r="AC98" i="21"/>
  <c r="AB98" i="21"/>
  <c r="AA98" i="21"/>
  <c r="Z98" i="21"/>
  <c r="Y98" i="21"/>
  <c r="X98" i="21"/>
  <c r="W98" i="21"/>
  <c r="F98" i="21"/>
  <c r="AH97" i="21"/>
  <c r="AG97" i="21"/>
  <c r="AF97" i="21"/>
  <c r="AE97" i="21"/>
  <c r="AD97" i="21"/>
  <c r="AC97" i="21"/>
  <c r="AB97" i="21"/>
  <c r="AA97" i="21"/>
  <c r="Z97" i="21"/>
  <c r="Y97" i="21"/>
  <c r="X97" i="21"/>
  <c r="W97" i="21"/>
  <c r="F97" i="21"/>
  <c r="AH96" i="21"/>
  <c r="AG96" i="21"/>
  <c r="AF96" i="21"/>
  <c r="AE96" i="21"/>
  <c r="AD96" i="21"/>
  <c r="AC96" i="21"/>
  <c r="AB96" i="21"/>
  <c r="AA96" i="21"/>
  <c r="Z96" i="21"/>
  <c r="Y96" i="21"/>
  <c r="X96" i="21"/>
  <c r="W96" i="21"/>
  <c r="F96" i="21"/>
  <c r="AH95" i="21"/>
  <c r="AG95" i="21"/>
  <c r="AF95" i="21"/>
  <c r="AE95" i="21"/>
  <c r="AD95" i="21"/>
  <c r="AC95" i="21"/>
  <c r="AB95" i="21"/>
  <c r="AA95" i="21"/>
  <c r="Z95" i="21"/>
  <c r="Y95" i="21"/>
  <c r="X95" i="21"/>
  <c r="W95" i="21"/>
  <c r="F95" i="21"/>
  <c r="AH94" i="21"/>
  <c r="AG94" i="21"/>
  <c r="AF94" i="21"/>
  <c r="AE94" i="21"/>
  <c r="AD94" i="21"/>
  <c r="AC94" i="21"/>
  <c r="AB94" i="21"/>
  <c r="AA94" i="21"/>
  <c r="Z94" i="21"/>
  <c r="Y94" i="21"/>
  <c r="X94" i="21"/>
  <c r="W94" i="21"/>
  <c r="F94" i="21"/>
  <c r="AH93" i="21"/>
  <c r="AG93" i="21"/>
  <c r="AF93" i="21"/>
  <c r="AE93" i="21"/>
  <c r="AD93" i="21"/>
  <c r="AC93" i="21"/>
  <c r="AB93" i="21"/>
  <c r="AA93" i="21"/>
  <c r="Z93" i="21"/>
  <c r="Y93" i="21"/>
  <c r="X93" i="21"/>
  <c r="W93" i="21"/>
  <c r="F93" i="21"/>
  <c r="AH92" i="21"/>
  <c r="AG92" i="21"/>
  <c r="AF92" i="21"/>
  <c r="AE92" i="21"/>
  <c r="AD92" i="21"/>
  <c r="AC92" i="21"/>
  <c r="AB92" i="21"/>
  <c r="AA92" i="21"/>
  <c r="Z92" i="21"/>
  <c r="Y92" i="21"/>
  <c r="X92" i="21"/>
  <c r="W92" i="21"/>
  <c r="F92" i="21"/>
  <c r="AH91" i="21"/>
  <c r="AG91" i="21"/>
  <c r="AF91" i="21"/>
  <c r="AE91" i="21"/>
  <c r="AD91" i="21"/>
  <c r="AC91" i="21"/>
  <c r="AB91" i="21"/>
  <c r="AA91" i="21"/>
  <c r="Z91" i="21"/>
  <c r="Y91" i="21"/>
  <c r="X91" i="21"/>
  <c r="W91" i="21"/>
  <c r="F91" i="21"/>
  <c r="AH90" i="21"/>
  <c r="AG90" i="21"/>
  <c r="AF90" i="21"/>
  <c r="AE90" i="21"/>
  <c r="AD90" i="21"/>
  <c r="AC90" i="21"/>
  <c r="AB90" i="21"/>
  <c r="AA90" i="21"/>
  <c r="Z90" i="21"/>
  <c r="Y90" i="21"/>
  <c r="X90" i="21"/>
  <c r="W90" i="21"/>
  <c r="F90" i="21"/>
  <c r="AH89" i="21"/>
  <c r="AG89" i="21"/>
  <c r="AF89" i="21"/>
  <c r="AE89" i="21"/>
  <c r="AD89" i="21"/>
  <c r="AC89" i="21"/>
  <c r="AB89" i="21"/>
  <c r="AA89" i="21"/>
  <c r="Z89" i="21"/>
  <c r="Y89" i="21"/>
  <c r="X89" i="21"/>
  <c r="W89" i="21"/>
  <c r="F89" i="21"/>
  <c r="AH88" i="21"/>
  <c r="AG88" i="21"/>
  <c r="AF88" i="21"/>
  <c r="AE88" i="21"/>
  <c r="AD88" i="21"/>
  <c r="AC88" i="21"/>
  <c r="AB88" i="21"/>
  <c r="AA88" i="21"/>
  <c r="Z88" i="21"/>
  <c r="Y88" i="21"/>
  <c r="X88" i="21"/>
  <c r="W88" i="21"/>
  <c r="F88" i="21"/>
  <c r="AH87" i="21"/>
  <c r="AG87" i="21"/>
  <c r="AF87" i="21"/>
  <c r="AE87" i="21"/>
  <c r="AD87" i="21"/>
  <c r="AC87" i="21"/>
  <c r="AB87" i="21"/>
  <c r="AA87" i="21"/>
  <c r="Z87" i="21"/>
  <c r="Y87" i="21"/>
  <c r="X87" i="21"/>
  <c r="W87" i="21"/>
  <c r="F87" i="21"/>
  <c r="AH86" i="21"/>
  <c r="AG86" i="21"/>
  <c r="AF86" i="21"/>
  <c r="AE86" i="21"/>
  <c r="AD86" i="21"/>
  <c r="AC86" i="21"/>
  <c r="AB86" i="21"/>
  <c r="AA86" i="21"/>
  <c r="Z86" i="21"/>
  <c r="Y86" i="21"/>
  <c r="X86" i="21"/>
  <c r="W86" i="21"/>
  <c r="F86" i="21"/>
  <c r="AH85" i="21"/>
  <c r="AG85" i="21"/>
  <c r="AF85" i="21"/>
  <c r="AE85" i="21"/>
  <c r="AD85" i="21"/>
  <c r="AC85" i="21"/>
  <c r="AB85" i="21"/>
  <c r="AA85" i="21"/>
  <c r="Z85" i="21"/>
  <c r="Y85" i="21"/>
  <c r="X85" i="21"/>
  <c r="W85" i="21"/>
  <c r="F85" i="21"/>
  <c r="AH84" i="21"/>
  <c r="AG84" i="21"/>
  <c r="AF84" i="21"/>
  <c r="AE84" i="21"/>
  <c r="AD84" i="21"/>
  <c r="AC84" i="21"/>
  <c r="AB84" i="21"/>
  <c r="AA84" i="21"/>
  <c r="Z84" i="21"/>
  <c r="Y84" i="21"/>
  <c r="X84" i="21"/>
  <c r="W84" i="21"/>
  <c r="F84" i="21"/>
  <c r="AH83" i="21"/>
  <c r="AG83" i="21"/>
  <c r="AF83" i="21"/>
  <c r="AE83" i="21"/>
  <c r="AD83" i="21"/>
  <c r="AC83" i="21"/>
  <c r="AB83" i="21"/>
  <c r="AA83" i="21"/>
  <c r="Z83" i="21"/>
  <c r="Y83" i="21"/>
  <c r="X83" i="21"/>
  <c r="W83" i="21"/>
  <c r="F83" i="21"/>
  <c r="AH82" i="21"/>
  <c r="AG82" i="21"/>
  <c r="AF82" i="21"/>
  <c r="AE82" i="21"/>
  <c r="AD82" i="21"/>
  <c r="AC82" i="21"/>
  <c r="AB82" i="21"/>
  <c r="AA82" i="21"/>
  <c r="Z82" i="21"/>
  <c r="Y82" i="21"/>
  <c r="X82" i="21"/>
  <c r="W82" i="21"/>
  <c r="F82" i="21"/>
  <c r="AH81" i="21"/>
  <c r="AG81" i="21"/>
  <c r="AF81" i="21"/>
  <c r="AE81" i="21"/>
  <c r="AD81" i="21"/>
  <c r="AC81" i="21"/>
  <c r="AB81" i="21"/>
  <c r="AA81" i="21"/>
  <c r="Z81" i="21"/>
  <c r="Y81" i="21"/>
  <c r="X81" i="21"/>
  <c r="W81" i="21"/>
  <c r="F81" i="21"/>
  <c r="AH80" i="21"/>
  <c r="AG80" i="21"/>
  <c r="AF80" i="21"/>
  <c r="AE80" i="21"/>
  <c r="AD80" i="21"/>
  <c r="AC80" i="21"/>
  <c r="AB80" i="21"/>
  <c r="AA80" i="21"/>
  <c r="Z80" i="21"/>
  <c r="Y80" i="21"/>
  <c r="X80" i="21"/>
  <c r="W80" i="21"/>
  <c r="F80" i="21"/>
  <c r="AH79" i="21"/>
  <c r="AG79" i="21"/>
  <c r="AF79" i="21"/>
  <c r="AE79" i="21"/>
  <c r="AD79" i="21"/>
  <c r="AC79" i="21"/>
  <c r="AB79" i="21"/>
  <c r="AA79" i="21"/>
  <c r="Z79" i="21"/>
  <c r="Y79" i="21"/>
  <c r="X79" i="21"/>
  <c r="W79" i="21"/>
  <c r="F79" i="21"/>
  <c r="AH78" i="21"/>
  <c r="AG78" i="21"/>
  <c r="AF78" i="21"/>
  <c r="AE78" i="21"/>
  <c r="AD78" i="21"/>
  <c r="AC78" i="21"/>
  <c r="AB78" i="21"/>
  <c r="AA78" i="21"/>
  <c r="Z78" i="21"/>
  <c r="Y78" i="21"/>
  <c r="X78" i="21"/>
  <c r="W78" i="21"/>
  <c r="F78" i="21"/>
  <c r="AH77" i="21"/>
  <c r="AG77" i="21"/>
  <c r="AF77" i="21"/>
  <c r="AE77" i="21"/>
  <c r="AD77" i="21"/>
  <c r="AC77" i="21"/>
  <c r="AB77" i="21"/>
  <c r="AA77" i="21"/>
  <c r="Z77" i="21"/>
  <c r="Y77" i="21"/>
  <c r="X77" i="21"/>
  <c r="W77" i="21"/>
  <c r="F77" i="21"/>
  <c r="AH76" i="21"/>
  <c r="AG76" i="21"/>
  <c r="AF76" i="21"/>
  <c r="AE76" i="21"/>
  <c r="AD76" i="21"/>
  <c r="AC76" i="21"/>
  <c r="AB76" i="21"/>
  <c r="AA76" i="21"/>
  <c r="Z76" i="21"/>
  <c r="Y76" i="21"/>
  <c r="X76" i="21"/>
  <c r="W76" i="21"/>
  <c r="F76" i="21"/>
  <c r="AH75" i="21"/>
  <c r="AG75" i="21"/>
  <c r="AF75" i="21"/>
  <c r="AE75" i="21"/>
  <c r="AD75" i="21"/>
  <c r="AC75" i="21"/>
  <c r="AB75" i="21"/>
  <c r="AA75" i="21"/>
  <c r="Z75" i="21"/>
  <c r="Y75" i="21"/>
  <c r="X75" i="21"/>
  <c r="W75" i="21"/>
  <c r="F75" i="21"/>
  <c r="AH74" i="21"/>
  <c r="AG74" i="21"/>
  <c r="AF74" i="21"/>
  <c r="AE74" i="21"/>
  <c r="AD74" i="21"/>
  <c r="AC74" i="21"/>
  <c r="AB74" i="21"/>
  <c r="AA74" i="21"/>
  <c r="Z74" i="21"/>
  <c r="Y74" i="21"/>
  <c r="X74" i="21"/>
  <c r="W74" i="21"/>
  <c r="F74" i="21"/>
  <c r="AH73" i="21"/>
  <c r="AG73" i="21"/>
  <c r="AF73" i="21"/>
  <c r="AE73" i="21"/>
  <c r="AD73" i="21"/>
  <c r="AC73" i="21"/>
  <c r="AB73" i="21"/>
  <c r="AA73" i="21"/>
  <c r="Z73" i="21"/>
  <c r="Y73" i="21"/>
  <c r="X73" i="21"/>
  <c r="W73" i="21"/>
  <c r="F73" i="21"/>
  <c r="AH72" i="21"/>
  <c r="AG72" i="21"/>
  <c r="AF72" i="21"/>
  <c r="AE72" i="21"/>
  <c r="AD72" i="21"/>
  <c r="AC72" i="21"/>
  <c r="AB72" i="21"/>
  <c r="AA72" i="21"/>
  <c r="Z72" i="21"/>
  <c r="Y72" i="21"/>
  <c r="X72" i="21"/>
  <c r="W72" i="21"/>
  <c r="F72" i="21"/>
  <c r="AH71" i="21"/>
  <c r="AG71" i="21"/>
  <c r="AF71" i="21"/>
  <c r="AE71" i="21"/>
  <c r="AD71" i="21"/>
  <c r="AC71" i="21"/>
  <c r="AB71" i="21"/>
  <c r="AA71" i="21"/>
  <c r="Z71" i="21"/>
  <c r="Y71" i="21"/>
  <c r="X71" i="21"/>
  <c r="W71" i="21"/>
  <c r="F71" i="21"/>
  <c r="AH70" i="21"/>
  <c r="AG70" i="21"/>
  <c r="AF70" i="21"/>
  <c r="AE70" i="21"/>
  <c r="AD70" i="21"/>
  <c r="AC70" i="21"/>
  <c r="AB70" i="21"/>
  <c r="AA70" i="21"/>
  <c r="Z70" i="21"/>
  <c r="Y70" i="21"/>
  <c r="X70" i="21"/>
  <c r="W70" i="21"/>
  <c r="F70" i="21"/>
  <c r="AH69" i="21"/>
  <c r="AG69" i="21"/>
  <c r="AF69" i="21"/>
  <c r="AE69" i="21"/>
  <c r="AD69" i="21"/>
  <c r="AC69" i="21"/>
  <c r="AB69" i="21"/>
  <c r="AA69" i="21"/>
  <c r="Z69" i="21"/>
  <c r="Y69" i="21"/>
  <c r="X69" i="21"/>
  <c r="W69" i="21"/>
  <c r="F69" i="21"/>
  <c r="AH68" i="21"/>
  <c r="AG68" i="21"/>
  <c r="AF68" i="21"/>
  <c r="AE68" i="21"/>
  <c r="AD68" i="21"/>
  <c r="AC68" i="21"/>
  <c r="AB68" i="21"/>
  <c r="AA68" i="21"/>
  <c r="Z68" i="21"/>
  <c r="Y68" i="21"/>
  <c r="X68" i="21"/>
  <c r="W68" i="21"/>
  <c r="F68" i="21"/>
  <c r="AH67" i="21"/>
  <c r="AG67" i="21"/>
  <c r="AF67" i="21"/>
  <c r="AE67" i="21"/>
  <c r="AD67" i="21"/>
  <c r="AC67" i="21"/>
  <c r="AB67" i="21"/>
  <c r="AA67" i="21"/>
  <c r="Z67" i="21"/>
  <c r="Y67" i="21"/>
  <c r="X67" i="21"/>
  <c r="W67" i="21"/>
  <c r="F67" i="21"/>
  <c r="AH66" i="21"/>
  <c r="AG66" i="21"/>
  <c r="AF66" i="21"/>
  <c r="AE66" i="21"/>
  <c r="AD66" i="21"/>
  <c r="AC66" i="21"/>
  <c r="AB66" i="21"/>
  <c r="AA66" i="21"/>
  <c r="Z66" i="21"/>
  <c r="Y66" i="21"/>
  <c r="X66" i="21"/>
  <c r="W66" i="21"/>
  <c r="F66" i="21"/>
  <c r="AH65" i="21"/>
  <c r="AG65" i="21"/>
  <c r="AF65" i="21"/>
  <c r="AE65" i="21"/>
  <c r="AD65" i="21"/>
  <c r="AC65" i="21"/>
  <c r="AB65" i="21"/>
  <c r="AA65" i="21"/>
  <c r="Z65" i="21"/>
  <c r="Y65" i="21"/>
  <c r="X65" i="21"/>
  <c r="W65" i="21"/>
  <c r="F65" i="21"/>
  <c r="AH64" i="21"/>
  <c r="AG64" i="21"/>
  <c r="AF64" i="21"/>
  <c r="AE64" i="21"/>
  <c r="AD64" i="21"/>
  <c r="AC64" i="21"/>
  <c r="AB64" i="21"/>
  <c r="AA64" i="21"/>
  <c r="Z64" i="21"/>
  <c r="Y64" i="21"/>
  <c r="X64" i="21"/>
  <c r="W64" i="21"/>
  <c r="F64" i="21"/>
  <c r="AH63" i="21"/>
  <c r="AG63" i="21"/>
  <c r="AF63" i="21"/>
  <c r="AE63" i="21"/>
  <c r="AD63" i="21"/>
  <c r="AC63" i="21"/>
  <c r="AB63" i="21"/>
  <c r="AA63" i="21"/>
  <c r="Z63" i="21"/>
  <c r="Y63" i="21"/>
  <c r="X63" i="21"/>
  <c r="W63" i="21"/>
  <c r="F63" i="21"/>
  <c r="AH62" i="21"/>
  <c r="AG62" i="21"/>
  <c r="AF62" i="21"/>
  <c r="AE62" i="21"/>
  <c r="AD62" i="21"/>
  <c r="AC62" i="21"/>
  <c r="AB62" i="21"/>
  <c r="AA62" i="21"/>
  <c r="Z62" i="21"/>
  <c r="Y62" i="21"/>
  <c r="X62" i="21"/>
  <c r="W62" i="21"/>
  <c r="F62" i="21"/>
  <c r="AH61" i="21"/>
  <c r="AG61" i="21"/>
  <c r="AF61" i="21"/>
  <c r="AE61" i="21"/>
  <c r="AD61" i="21"/>
  <c r="AC61" i="21"/>
  <c r="AB61" i="21"/>
  <c r="AA61" i="21"/>
  <c r="Z61" i="21"/>
  <c r="Y61" i="21"/>
  <c r="X61" i="21"/>
  <c r="W61" i="21"/>
  <c r="F61" i="21"/>
  <c r="AH60" i="21"/>
  <c r="AG60" i="21"/>
  <c r="AF60" i="21"/>
  <c r="AE60" i="21"/>
  <c r="AD60" i="21"/>
  <c r="AC60" i="21"/>
  <c r="AB60" i="21"/>
  <c r="AA60" i="21"/>
  <c r="Z60" i="21"/>
  <c r="Y60" i="21"/>
  <c r="X60" i="21"/>
  <c r="W60" i="21"/>
  <c r="F60" i="21"/>
  <c r="AH59" i="21"/>
  <c r="AG59" i="21"/>
  <c r="AF59" i="21"/>
  <c r="AE59" i="21"/>
  <c r="AD59" i="21"/>
  <c r="AC59" i="21"/>
  <c r="AB59" i="21"/>
  <c r="AA59" i="21"/>
  <c r="Z59" i="21"/>
  <c r="Y59" i="21"/>
  <c r="X59" i="21"/>
  <c r="W59" i="21"/>
  <c r="F59" i="21"/>
  <c r="AH58" i="21"/>
  <c r="AG58" i="21"/>
  <c r="AF58" i="21"/>
  <c r="AE58" i="21"/>
  <c r="AD58" i="21"/>
  <c r="AC58" i="21"/>
  <c r="AB58" i="21"/>
  <c r="AA58" i="21"/>
  <c r="Z58" i="21"/>
  <c r="Y58" i="21"/>
  <c r="X58" i="21"/>
  <c r="W58" i="21"/>
  <c r="F58" i="21"/>
  <c r="AH57" i="21"/>
  <c r="AG57" i="21"/>
  <c r="AF57" i="21"/>
  <c r="AE57" i="21"/>
  <c r="AD57" i="21"/>
  <c r="AC57" i="21"/>
  <c r="AB57" i="21"/>
  <c r="AA57" i="21"/>
  <c r="Z57" i="21"/>
  <c r="Y57" i="21"/>
  <c r="X57" i="21"/>
  <c r="W57" i="21"/>
  <c r="F57" i="21"/>
  <c r="AH56" i="21"/>
  <c r="AG56" i="21"/>
  <c r="AF56" i="21"/>
  <c r="AE56" i="21"/>
  <c r="AD56" i="21"/>
  <c r="AC56" i="21"/>
  <c r="AB56" i="21"/>
  <c r="AA56" i="21"/>
  <c r="Z56" i="21"/>
  <c r="Y56" i="21"/>
  <c r="X56" i="21"/>
  <c r="W56" i="21"/>
  <c r="F56" i="21"/>
  <c r="AH55" i="21"/>
  <c r="AG55" i="21"/>
  <c r="AF55" i="21"/>
  <c r="AE55" i="21"/>
  <c r="AD55" i="21"/>
  <c r="AC55" i="21"/>
  <c r="AB55" i="21"/>
  <c r="AA55" i="21"/>
  <c r="Z55" i="21"/>
  <c r="Y55" i="21"/>
  <c r="X55" i="21"/>
  <c r="W55" i="21"/>
  <c r="F55" i="21"/>
  <c r="AH54" i="21"/>
  <c r="AG54" i="21"/>
  <c r="AF54" i="21"/>
  <c r="AE54" i="21"/>
  <c r="AD54" i="21"/>
  <c r="AC54" i="21"/>
  <c r="AB54" i="21"/>
  <c r="AA54" i="21"/>
  <c r="Z54" i="21"/>
  <c r="Y54" i="21"/>
  <c r="X54" i="21"/>
  <c r="W54" i="21"/>
  <c r="F54" i="21"/>
  <c r="AH53" i="21"/>
  <c r="AG53" i="21"/>
  <c r="AF53" i="21"/>
  <c r="AE53" i="21"/>
  <c r="AD53" i="21"/>
  <c r="AC53" i="21"/>
  <c r="AB53" i="21"/>
  <c r="AA53" i="21"/>
  <c r="Z53" i="21"/>
  <c r="Y53" i="21"/>
  <c r="X53" i="21"/>
  <c r="W53" i="21"/>
  <c r="F53" i="21"/>
  <c r="AH52" i="21"/>
  <c r="AG52" i="21"/>
  <c r="AF52" i="21"/>
  <c r="AE52" i="21"/>
  <c r="AD52" i="21"/>
  <c r="AC52" i="21"/>
  <c r="AB52" i="21"/>
  <c r="AA52" i="21"/>
  <c r="Z52" i="21"/>
  <c r="Y52" i="21"/>
  <c r="X52" i="21"/>
  <c r="W52" i="21"/>
  <c r="F52" i="21"/>
  <c r="AH51" i="21"/>
  <c r="AG51" i="21"/>
  <c r="AF51" i="21"/>
  <c r="AE51" i="21"/>
  <c r="AD51" i="21"/>
  <c r="AC51" i="21"/>
  <c r="AB51" i="21"/>
  <c r="AA51" i="21"/>
  <c r="Z51" i="21"/>
  <c r="Y51" i="21"/>
  <c r="X51" i="21"/>
  <c r="W51" i="21"/>
  <c r="F51" i="21"/>
  <c r="AH50" i="21"/>
  <c r="AG50" i="21"/>
  <c r="AF50" i="21"/>
  <c r="AE50" i="21"/>
  <c r="AD50" i="21"/>
  <c r="AC50" i="21"/>
  <c r="AB50" i="21"/>
  <c r="AA50" i="21"/>
  <c r="Z50" i="21"/>
  <c r="Y50" i="21"/>
  <c r="X50" i="21"/>
  <c r="W50" i="21"/>
  <c r="F50" i="21"/>
  <c r="AH49" i="21"/>
  <c r="AG49" i="21"/>
  <c r="AF49" i="21"/>
  <c r="AE49" i="21"/>
  <c r="AD49" i="21"/>
  <c r="AC49" i="21"/>
  <c r="AB49" i="21"/>
  <c r="AA49" i="21"/>
  <c r="Z49" i="21"/>
  <c r="Y49" i="21"/>
  <c r="X49" i="21"/>
  <c r="W49" i="21"/>
  <c r="F49" i="21"/>
  <c r="AH48" i="21"/>
  <c r="AG48" i="21"/>
  <c r="AF48" i="21"/>
  <c r="AE48" i="21"/>
  <c r="AD48" i="21"/>
  <c r="AC48" i="21"/>
  <c r="AB48" i="21"/>
  <c r="AA48" i="21"/>
  <c r="Z48" i="21"/>
  <c r="Y48" i="21"/>
  <c r="X48" i="21"/>
  <c r="W48" i="21"/>
  <c r="F48" i="21"/>
  <c r="AH47" i="21"/>
  <c r="AG47" i="21"/>
  <c r="AF47" i="21"/>
  <c r="AE47" i="21"/>
  <c r="AD47" i="21"/>
  <c r="AC47" i="21"/>
  <c r="AB47" i="21"/>
  <c r="AA47" i="21"/>
  <c r="Z47" i="21"/>
  <c r="Y47" i="21"/>
  <c r="X47" i="21"/>
  <c r="W47" i="21"/>
  <c r="F47" i="21"/>
  <c r="AH46" i="21"/>
  <c r="AG46" i="21"/>
  <c r="AF46" i="21"/>
  <c r="AE46" i="21"/>
  <c r="AD46" i="21"/>
  <c r="AC46" i="21"/>
  <c r="AB46" i="21"/>
  <c r="AA46" i="21"/>
  <c r="Z46" i="21"/>
  <c r="Y46" i="21"/>
  <c r="X46" i="21"/>
  <c r="W46" i="21"/>
  <c r="F46" i="21"/>
  <c r="AH45" i="21"/>
  <c r="AG45" i="21"/>
  <c r="AF45" i="21"/>
  <c r="AE45" i="21"/>
  <c r="AD45" i="21"/>
  <c r="AC45" i="21"/>
  <c r="AB45" i="21"/>
  <c r="AA45" i="21"/>
  <c r="Z45" i="21"/>
  <c r="Y45" i="21"/>
  <c r="X45" i="21"/>
  <c r="W45" i="21"/>
  <c r="F45" i="21"/>
  <c r="AH44" i="21"/>
  <c r="AG44" i="21"/>
  <c r="AF44" i="21"/>
  <c r="AE44" i="21"/>
  <c r="AD44" i="21"/>
  <c r="AC44" i="21"/>
  <c r="AB44" i="21"/>
  <c r="AA44" i="21"/>
  <c r="Z44" i="21"/>
  <c r="Y44" i="21"/>
  <c r="X44" i="21"/>
  <c r="W44" i="21"/>
  <c r="F44" i="21"/>
  <c r="AH43" i="21"/>
  <c r="AG43" i="21"/>
  <c r="AF43" i="21"/>
  <c r="AE43" i="21"/>
  <c r="AD43" i="21"/>
  <c r="AC43" i="21"/>
  <c r="AB43" i="21"/>
  <c r="AA43" i="21"/>
  <c r="Z43" i="21"/>
  <c r="Y43" i="21"/>
  <c r="X43" i="21"/>
  <c r="W43" i="21"/>
  <c r="F43" i="21"/>
  <c r="AH42" i="21"/>
  <c r="AG42" i="21"/>
  <c r="AF42" i="21"/>
  <c r="AE42" i="21"/>
  <c r="AD42" i="21"/>
  <c r="AC42" i="21"/>
  <c r="AB42" i="21"/>
  <c r="AA42" i="21"/>
  <c r="Z42" i="21"/>
  <c r="Y42" i="21"/>
  <c r="X42" i="21"/>
  <c r="W42" i="21"/>
  <c r="F42" i="21"/>
  <c r="AH41" i="21"/>
  <c r="AG41" i="21"/>
  <c r="AF41" i="21"/>
  <c r="AE41" i="21"/>
  <c r="AD41" i="21"/>
  <c r="AC41" i="21"/>
  <c r="AB41" i="21"/>
  <c r="AA41" i="21"/>
  <c r="Z41" i="21"/>
  <c r="Y41" i="21"/>
  <c r="X41" i="21"/>
  <c r="W41" i="21"/>
  <c r="F41" i="21"/>
  <c r="AH40" i="21"/>
  <c r="AG40" i="21"/>
  <c r="AF40" i="21"/>
  <c r="AE40" i="21"/>
  <c r="AD40" i="21"/>
  <c r="AC40" i="21"/>
  <c r="AB40" i="21"/>
  <c r="AA40" i="21"/>
  <c r="Z40" i="21"/>
  <c r="Y40" i="21"/>
  <c r="X40" i="21"/>
  <c r="W40" i="21"/>
  <c r="F40" i="21"/>
  <c r="AH39" i="21"/>
  <c r="AG39" i="21"/>
  <c r="AF39" i="21"/>
  <c r="AE39" i="21"/>
  <c r="AD39" i="21"/>
  <c r="AC39" i="21"/>
  <c r="AB39" i="21"/>
  <c r="AA39" i="21"/>
  <c r="Z39" i="21"/>
  <c r="Y39" i="21"/>
  <c r="X39" i="21"/>
  <c r="W39" i="21"/>
  <c r="F39" i="21"/>
  <c r="AH38" i="21"/>
  <c r="AG38" i="21"/>
  <c r="AF38" i="21"/>
  <c r="AE38" i="21"/>
  <c r="AD38" i="21"/>
  <c r="AC38" i="21"/>
  <c r="AB38" i="21"/>
  <c r="AA38" i="21"/>
  <c r="Z38" i="21"/>
  <c r="Y38" i="21"/>
  <c r="X38" i="21"/>
  <c r="W38" i="21"/>
  <c r="F38" i="21"/>
  <c r="AH37" i="21"/>
  <c r="AG37" i="21"/>
  <c r="AF37" i="21"/>
  <c r="AE37" i="21"/>
  <c r="AD37" i="21"/>
  <c r="AC37" i="21"/>
  <c r="AB37" i="21"/>
  <c r="AA37" i="21"/>
  <c r="Z37" i="21"/>
  <c r="Y37" i="21"/>
  <c r="X37" i="21"/>
  <c r="W37" i="21"/>
  <c r="F37" i="21"/>
  <c r="AH36" i="21"/>
  <c r="AG36" i="21"/>
  <c r="AF36" i="21"/>
  <c r="AE36" i="21"/>
  <c r="AD36" i="21"/>
  <c r="AC36" i="21"/>
  <c r="AB36" i="21"/>
  <c r="AA36" i="21"/>
  <c r="Z36" i="21"/>
  <c r="Y36" i="21"/>
  <c r="X36" i="21"/>
  <c r="W36" i="21"/>
  <c r="F36" i="21"/>
  <c r="AH35" i="21"/>
  <c r="AG35" i="21"/>
  <c r="AF35" i="21"/>
  <c r="AE35" i="21"/>
  <c r="AD35" i="21"/>
  <c r="AC35" i="21"/>
  <c r="AB35" i="21"/>
  <c r="AA35" i="21"/>
  <c r="Z35" i="21"/>
  <c r="Y35" i="21"/>
  <c r="X35" i="21"/>
  <c r="W35" i="21"/>
  <c r="F35" i="21"/>
  <c r="AH34" i="21"/>
  <c r="AG34" i="21"/>
  <c r="AF34" i="21"/>
  <c r="AE34" i="21"/>
  <c r="AD34" i="21"/>
  <c r="AC34" i="21"/>
  <c r="AB34" i="21"/>
  <c r="AA34" i="21"/>
  <c r="Z34" i="21"/>
  <c r="Y34" i="21"/>
  <c r="X34" i="21"/>
  <c r="W34" i="21"/>
  <c r="F34" i="21"/>
  <c r="AH33" i="21"/>
  <c r="AG33" i="21"/>
  <c r="AF33" i="21"/>
  <c r="AE33" i="21"/>
  <c r="AD33" i="21"/>
  <c r="AC33" i="21"/>
  <c r="AB33" i="21"/>
  <c r="AA33" i="21"/>
  <c r="Z33" i="21"/>
  <c r="Y33" i="21"/>
  <c r="X33" i="21"/>
  <c r="W33" i="21"/>
  <c r="F33" i="21"/>
  <c r="AH32" i="21"/>
  <c r="AG32" i="21"/>
  <c r="AF32" i="21"/>
  <c r="AE32" i="21"/>
  <c r="AD32" i="21"/>
  <c r="AC32" i="21"/>
  <c r="AB32" i="21"/>
  <c r="AA32" i="21"/>
  <c r="Z32" i="21"/>
  <c r="Y32" i="21"/>
  <c r="X32" i="21"/>
  <c r="W32" i="21"/>
  <c r="F32" i="21"/>
  <c r="AH31" i="21"/>
  <c r="AG31" i="21"/>
  <c r="AF31" i="21"/>
  <c r="AE31" i="21"/>
  <c r="AD31" i="21"/>
  <c r="AC31" i="21"/>
  <c r="AB31" i="21"/>
  <c r="AA31" i="21"/>
  <c r="Z31" i="21"/>
  <c r="Y31" i="21"/>
  <c r="X31" i="21"/>
  <c r="W31" i="21"/>
  <c r="F31" i="21"/>
  <c r="AH30" i="21"/>
  <c r="AG30" i="21"/>
  <c r="AF30" i="21"/>
  <c r="AE30" i="21"/>
  <c r="AD30" i="21"/>
  <c r="AC30" i="21"/>
  <c r="AB30" i="21"/>
  <c r="AA30" i="21"/>
  <c r="Z30" i="21"/>
  <c r="Y30" i="21"/>
  <c r="X30" i="21"/>
  <c r="W30" i="21"/>
  <c r="F30" i="21"/>
  <c r="AH29" i="21"/>
  <c r="AG29" i="21"/>
  <c r="AF29" i="21"/>
  <c r="AE29" i="21"/>
  <c r="AD29" i="21"/>
  <c r="AC29" i="21"/>
  <c r="AB29" i="21"/>
  <c r="AA29" i="21"/>
  <c r="Z29" i="21"/>
  <c r="Y29" i="21"/>
  <c r="X29" i="21"/>
  <c r="W29" i="21"/>
  <c r="F29" i="21"/>
  <c r="AH28" i="21"/>
  <c r="AG28" i="21"/>
  <c r="AF28" i="21"/>
  <c r="AE28" i="21"/>
  <c r="AD28" i="21"/>
  <c r="AC28" i="21"/>
  <c r="AB28" i="21"/>
  <c r="AA28" i="21"/>
  <c r="Z28" i="21"/>
  <c r="Y28" i="21"/>
  <c r="X28" i="21"/>
  <c r="W28" i="21"/>
  <c r="F28" i="21"/>
  <c r="AH27" i="21"/>
  <c r="AG27" i="21"/>
  <c r="AF27" i="21"/>
  <c r="AE27" i="21"/>
  <c r="AD27" i="21"/>
  <c r="AC27" i="21"/>
  <c r="AB27" i="21"/>
  <c r="AA27" i="21"/>
  <c r="Z27" i="21"/>
  <c r="Y27" i="21"/>
  <c r="X27" i="21"/>
  <c r="W27" i="21"/>
  <c r="F27" i="21"/>
  <c r="AH26" i="21"/>
  <c r="AG26" i="21"/>
  <c r="AF26" i="21"/>
  <c r="AE26" i="21"/>
  <c r="AD26" i="21"/>
  <c r="AC26" i="21"/>
  <c r="AB26" i="21"/>
  <c r="AA26" i="21"/>
  <c r="Z26" i="21"/>
  <c r="Y26" i="21"/>
  <c r="X26" i="21"/>
  <c r="W26" i="21"/>
  <c r="F26" i="21"/>
  <c r="AH25" i="21"/>
  <c r="AG25" i="21"/>
  <c r="AF25" i="21"/>
  <c r="AE25" i="21"/>
  <c r="AD25" i="21"/>
  <c r="AC25" i="21"/>
  <c r="AB25" i="21"/>
  <c r="AA25" i="21"/>
  <c r="Z25" i="21"/>
  <c r="Y25" i="21"/>
  <c r="X25" i="21"/>
  <c r="W25" i="21"/>
  <c r="F25" i="21"/>
  <c r="AH24" i="21"/>
  <c r="AG24" i="21"/>
  <c r="AF24" i="21"/>
  <c r="AE24" i="21"/>
  <c r="AD24" i="21"/>
  <c r="AC24" i="21"/>
  <c r="AB24" i="21"/>
  <c r="AA24" i="21"/>
  <c r="Z24" i="21"/>
  <c r="Y24" i="21"/>
  <c r="X24" i="21"/>
  <c r="W24" i="21"/>
  <c r="F24" i="21"/>
  <c r="AH23" i="21"/>
  <c r="AG23" i="21"/>
  <c r="AF23" i="21"/>
  <c r="AE23" i="21"/>
  <c r="AD23" i="21"/>
  <c r="AC23" i="21"/>
  <c r="AB23" i="21"/>
  <c r="AA23" i="21"/>
  <c r="Z23" i="21"/>
  <c r="Y23" i="21"/>
  <c r="X23" i="21"/>
  <c r="W23" i="21"/>
  <c r="F23" i="21"/>
  <c r="AH22" i="21"/>
  <c r="AG22" i="21"/>
  <c r="AF22" i="21"/>
  <c r="AE22" i="21"/>
  <c r="AD22" i="21"/>
  <c r="AC22" i="21"/>
  <c r="AB22" i="21"/>
  <c r="AA22" i="21"/>
  <c r="Z22" i="21"/>
  <c r="Y22" i="21"/>
  <c r="X22" i="21"/>
  <c r="W22" i="21"/>
  <c r="F22" i="21"/>
  <c r="AH21" i="21"/>
  <c r="AG21" i="21"/>
  <c r="AF21" i="21"/>
  <c r="AE21" i="21"/>
  <c r="AD21" i="21"/>
  <c r="AC21" i="21"/>
  <c r="AB21" i="21"/>
  <c r="AA21" i="21"/>
  <c r="Z21" i="21"/>
  <c r="Y21" i="21"/>
  <c r="X21" i="21"/>
  <c r="W21" i="21"/>
  <c r="F21" i="21"/>
  <c r="AH20" i="21"/>
  <c r="AG20" i="21"/>
  <c r="AF20" i="21"/>
  <c r="AE20" i="21"/>
  <c r="AD20" i="21"/>
  <c r="AC20" i="21"/>
  <c r="AB20" i="21"/>
  <c r="AA20" i="21"/>
  <c r="Z20" i="21"/>
  <c r="Y20" i="21"/>
  <c r="X20" i="21"/>
  <c r="W20" i="21"/>
  <c r="F20" i="21"/>
  <c r="AH19" i="21"/>
  <c r="AG19" i="21"/>
  <c r="AF19" i="21"/>
  <c r="AE19" i="21"/>
  <c r="AD19" i="21"/>
  <c r="AC19" i="21"/>
  <c r="AB19" i="21"/>
  <c r="AA19" i="21"/>
  <c r="Z19" i="21"/>
  <c r="Y19" i="21"/>
  <c r="X19" i="21"/>
  <c r="W19" i="21"/>
  <c r="F19" i="21"/>
  <c r="AH18" i="21"/>
  <c r="AG18" i="21"/>
  <c r="AF18" i="21"/>
  <c r="AE18" i="21"/>
  <c r="AD18" i="21"/>
  <c r="AC18" i="21"/>
  <c r="AB18" i="21"/>
  <c r="AA18" i="21"/>
  <c r="Z18" i="21"/>
  <c r="Y18" i="21"/>
  <c r="X18" i="21"/>
  <c r="W18" i="21"/>
  <c r="F18" i="21"/>
  <c r="AH17" i="21"/>
  <c r="AG17" i="21"/>
  <c r="AF17" i="21"/>
  <c r="AE17" i="21"/>
  <c r="AD17" i="21"/>
  <c r="AC17" i="21"/>
  <c r="AB17" i="21"/>
  <c r="AA17" i="21"/>
  <c r="Z17" i="21"/>
  <c r="Y17" i="21"/>
  <c r="X17" i="21"/>
  <c r="W17" i="21"/>
  <c r="F17" i="21"/>
  <c r="AH16" i="21"/>
  <c r="AG16" i="21"/>
  <c r="AF16" i="21"/>
  <c r="AE16" i="21"/>
  <c r="AD16" i="21"/>
  <c r="AC16" i="21"/>
  <c r="AB16" i="21"/>
  <c r="AA16" i="21"/>
  <c r="Z16" i="21"/>
  <c r="Y16" i="21"/>
  <c r="X16" i="21"/>
  <c r="W16" i="21"/>
  <c r="F16" i="21"/>
  <c r="AH15" i="21"/>
  <c r="AG15" i="21"/>
  <c r="AF15" i="21"/>
  <c r="AE15" i="21"/>
  <c r="AD15" i="21"/>
  <c r="AC15" i="21"/>
  <c r="AB15" i="21"/>
  <c r="AA15" i="21"/>
  <c r="Z15" i="21"/>
  <c r="Y15" i="21"/>
  <c r="X15" i="21"/>
  <c r="W15" i="21"/>
  <c r="F15" i="21"/>
  <c r="AH14" i="21"/>
  <c r="AG14" i="21"/>
  <c r="AF14" i="21"/>
  <c r="AE14" i="21"/>
  <c r="AD14" i="21"/>
  <c r="AC14" i="21"/>
  <c r="AB14" i="21"/>
  <c r="AA14" i="21"/>
  <c r="Z14" i="21"/>
  <c r="Y14" i="21"/>
  <c r="X14" i="21"/>
  <c r="W14" i="21"/>
  <c r="F14" i="21"/>
  <c r="AH13" i="21"/>
  <c r="AG13" i="21"/>
  <c r="AF13" i="21"/>
  <c r="AE13" i="21"/>
  <c r="AD13" i="21"/>
  <c r="AC13" i="21"/>
  <c r="AB13" i="21"/>
  <c r="AA13" i="21"/>
  <c r="Z13" i="21"/>
  <c r="Y13" i="21"/>
  <c r="X13" i="21"/>
  <c r="W13" i="21"/>
  <c r="F13" i="21"/>
  <c r="AH12" i="21"/>
  <c r="AG12" i="21"/>
  <c r="AF12" i="21"/>
  <c r="AE12" i="21"/>
  <c r="AD12" i="21"/>
  <c r="AC12" i="21"/>
  <c r="AB12" i="21"/>
  <c r="AA12" i="21"/>
  <c r="Z12" i="21"/>
  <c r="Y12" i="21"/>
  <c r="X12" i="21"/>
  <c r="W12" i="21"/>
  <c r="F12" i="21"/>
  <c r="AH11" i="21"/>
  <c r="AG11" i="21"/>
  <c r="AF11" i="21"/>
  <c r="AE11" i="21"/>
  <c r="AD11" i="21"/>
  <c r="AC11" i="21"/>
  <c r="AB11" i="21"/>
  <c r="AA11" i="21"/>
  <c r="Z11" i="21"/>
  <c r="Y11" i="21"/>
  <c r="X11" i="21"/>
  <c r="W11" i="21"/>
  <c r="F11" i="21"/>
  <c r="AH10" i="21"/>
  <c r="AG10" i="21"/>
  <c r="AF10" i="21"/>
  <c r="AE10" i="21"/>
  <c r="AD10" i="21"/>
  <c r="AC10" i="21"/>
  <c r="AB10" i="21"/>
  <c r="AA10" i="21"/>
  <c r="Z10" i="21"/>
  <c r="Y10" i="21"/>
  <c r="X10" i="21"/>
  <c r="W10" i="21"/>
  <c r="F10" i="21"/>
  <c r="AH9" i="21"/>
  <c r="AG9" i="21"/>
  <c r="AF9" i="21"/>
  <c r="AE9" i="21"/>
  <c r="AD9" i="21"/>
  <c r="AC9" i="21"/>
  <c r="AB9" i="21"/>
  <c r="AA9" i="21"/>
  <c r="Z9" i="21"/>
  <c r="Y9" i="21"/>
  <c r="X9" i="21"/>
  <c r="W9" i="21"/>
  <c r="F9" i="21"/>
  <c r="AH8" i="21"/>
  <c r="AG8" i="21"/>
  <c r="AF8" i="21"/>
  <c r="AE8" i="21"/>
  <c r="AD8" i="21"/>
  <c r="AC8" i="21"/>
  <c r="AB8" i="21"/>
  <c r="AA8" i="21"/>
  <c r="Z8" i="21"/>
  <c r="Y8" i="21"/>
  <c r="X8" i="21"/>
  <c r="W8" i="21"/>
  <c r="F8" i="21"/>
  <c r="AH7" i="21"/>
  <c r="AG7" i="21"/>
  <c r="AF7" i="21"/>
  <c r="AE7" i="21"/>
  <c r="AD7" i="21"/>
  <c r="AC7" i="21"/>
  <c r="AB7" i="21"/>
  <c r="AA7" i="21"/>
  <c r="Z7" i="21"/>
  <c r="Y7" i="21"/>
  <c r="X7" i="21"/>
  <c r="W7" i="21"/>
  <c r="F7" i="21"/>
  <c r="AH6" i="21"/>
  <c r="AG6" i="21"/>
  <c r="AF6" i="21"/>
  <c r="AE6" i="21"/>
  <c r="AD6" i="21"/>
  <c r="AC6" i="21"/>
  <c r="AB6" i="21"/>
  <c r="AA6" i="21"/>
  <c r="Z6" i="21"/>
  <c r="Y6" i="21"/>
  <c r="X6" i="21"/>
  <c r="W6" i="21"/>
  <c r="F6" i="21"/>
  <c r="AH100" i="20"/>
  <c r="AG100" i="20"/>
  <c r="AF100" i="20"/>
  <c r="AE100" i="20"/>
  <c r="AD100" i="20"/>
  <c r="AC100" i="20"/>
  <c r="AB100" i="20"/>
  <c r="AA100" i="20"/>
  <c r="Z100" i="20"/>
  <c r="Y100" i="20"/>
  <c r="X100" i="20"/>
  <c r="W100" i="20"/>
  <c r="F100" i="20"/>
  <c r="AH99" i="20"/>
  <c r="AG99" i="20"/>
  <c r="AF99" i="20"/>
  <c r="AE99" i="20"/>
  <c r="AD99" i="20"/>
  <c r="AC99" i="20"/>
  <c r="AB99" i="20"/>
  <c r="AA99" i="20"/>
  <c r="Z99" i="20"/>
  <c r="Y99" i="20"/>
  <c r="X99" i="20"/>
  <c r="W99" i="20"/>
  <c r="F99" i="20"/>
  <c r="AH98" i="20"/>
  <c r="AG98" i="20"/>
  <c r="AF98" i="20"/>
  <c r="AE98" i="20"/>
  <c r="AD98" i="20"/>
  <c r="AC98" i="20"/>
  <c r="AB98" i="20"/>
  <c r="AA98" i="20"/>
  <c r="Z98" i="20"/>
  <c r="Y98" i="20"/>
  <c r="X98" i="20"/>
  <c r="W98" i="20"/>
  <c r="F98" i="20"/>
  <c r="AH97" i="20"/>
  <c r="AG97" i="20"/>
  <c r="AF97" i="20"/>
  <c r="AE97" i="20"/>
  <c r="AD97" i="20"/>
  <c r="AC97" i="20"/>
  <c r="AB97" i="20"/>
  <c r="AA97" i="20"/>
  <c r="Z97" i="20"/>
  <c r="Y97" i="20"/>
  <c r="X97" i="20"/>
  <c r="W97" i="20"/>
  <c r="F97" i="20"/>
  <c r="AH96" i="20"/>
  <c r="AG96" i="20"/>
  <c r="AF96" i="20"/>
  <c r="AE96" i="20"/>
  <c r="AD96" i="20"/>
  <c r="AC96" i="20"/>
  <c r="AB96" i="20"/>
  <c r="AA96" i="20"/>
  <c r="Z96" i="20"/>
  <c r="Y96" i="20"/>
  <c r="X96" i="20"/>
  <c r="W96" i="20"/>
  <c r="F96" i="20"/>
  <c r="AH95" i="20"/>
  <c r="AG95" i="20"/>
  <c r="AF95" i="20"/>
  <c r="AE95" i="20"/>
  <c r="AD95" i="20"/>
  <c r="AC95" i="20"/>
  <c r="AB95" i="20"/>
  <c r="AA95" i="20"/>
  <c r="Z95" i="20"/>
  <c r="Y95" i="20"/>
  <c r="X95" i="20"/>
  <c r="W95" i="20"/>
  <c r="F95" i="20"/>
  <c r="AH94" i="20"/>
  <c r="AG94" i="20"/>
  <c r="AF94" i="20"/>
  <c r="AE94" i="20"/>
  <c r="AD94" i="20"/>
  <c r="AC94" i="20"/>
  <c r="AB94" i="20"/>
  <c r="AA94" i="20"/>
  <c r="Z94" i="20"/>
  <c r="Y94" i="20"/>
  <c r="X94" i="20"/>
  <c r="W94" i="20"/>
  <c r="F94" i="20"/>
  <c r="AH93" i="20"/>
  <c r="AG93" i="20"/>
  <c r="AF93" i="20"/>
  <c r="AE93" i="20"/>
  <c r="AD93" i="20"/>
  <c r="AC93" i="20"/>
  <c r="AB93" i="20"/>
  <c r="AA93" i="20"/>
  <c r="Z93" i="20"/>
  <c r="Y93" i="20"/>
  <c r="X93" i="20"/>
  <c r="W93" i="20"/>
  <c r="F93" i="20"/>
  <c r="AH92" i="20"/>
  <c r="AG92" i="20"/>
  <c r="AF92" i="20"/>
  <c r="AE92" i="20"/>
  <c r="AD92" i="20"/>
  <c r="AC92" i="20"/>
  <c r="AB92" i="20"/>
  <c r="AA92" i="20"/>
  <c r="Z92" i="20"/>
  <c r="Y92" i="20"/>
  <c r="X92" i="20"/>
  <c r="W92" i="20"/>
  <c r="F92" i="20"/>
  <c r="AH91" i="20"/>
  <c r="AG91" i="20"/>
  <c r="AF91" i="20"/>
  <c r="AE91" i="20"/>
  <c r="AD91" i="20"/>
  <c r="AC91" i="20"/>
  <c r="AB91" i="20"/>
  <c r="AA91" i="20"/>
  <c r="Z91" i="20"/>
  <c r="Y91" i="20"/>
  <c r="X91" i="20"/>
  <c r="W91" i="20"/>
  <c r="F91" i="20"/>
  <c r="AH90" i="20"/>
  <c r="AG90" i="20"/>
  <c r="AF90" i="20"/>
  <c r="AE90" i="20"/>
  <c r="AD90" i="20"/>
  <c r="AC90" i="20"/>
  <c r="AB90" i="20"/>
  <c r="AA90" i="20"/>
  <c r="Z90" i="20"/>
  <c r="Y90" i="20"/>
  <c r="X90" i="20"/>
  <c r="W90" i="20"/>
  <c r="F90" i="20"/>
  <c r="AH89" i="20"/>
  <c r="AG89" i="20"/>
  <c r="AF89" i="20"/>
  <c r="AE89" i="20"/>
  <c r="AD89" i="20"/>
  <c r="AC89" i="20"/>
  <c r="AB89" i="20"/>
  <c r="AA89" i="20"/>
  <c r="Z89" i="20"/>
  <c r="Y89" i="20"/>
  <c r="X89" i="20"/>
  <c r="W89" i="20"/>
  <c r="F89" i="20"/>
  <c r="AH88" i="20"/>
  <c r="AG88" i="20"/>
  <c r="AF88" i="20"/>
  <c r="AE88" i="20"/>
  <c r="AD88" i="20"/>
  <c r="AC88" i="20"/>
  <c r="AB88" i="20"/>
  <c r="AA88" i="20"/>
  <c r="Z88" i="20"/>
  <c r="Y88" i="20"/>
  <c r="X88" i="20"/>
  <c r="W88" i="20"/>
  <c r="F88" i="20"/>
  <c r="AH87" i="20"/>
  <c r="AG87" i="20"/>
  <c r="AF87" i="20"/>
  <c r="AE87" i="20"/>
  <c r="AD87" i="20"/>
  <c r="AC87" i="20"/>
  <c r="AB87" i="20"/>
  <c r="AA87" i="20"/>
  <c r="Z87" i="20"/>
  <c r="Y87" i="20"/>
  <c r="X87" i="20"/>
  <c r="W87" i="20"/>
  <c r="F87" i="20"/>
  <c r="AH86" i="20"/>
  <c r="AG86" i="20"/>
  <c r="AF86" i="20"/>
  <c r="AE86" i="20"/>
  <c r="AD86" i="20"/>
  <c r="AC86" i="20"/>
  <c r="AB86" i="20"/>
  <c r="AA86" i="20"/>
  <c r="Z86" i="20"/>
  <c r="Y86" i="20"/>
  <c r="X86" i="20"/>
  <c r="W86" i="20"/>
  <c r="F86" i="20"/>
  <c r="AH85" i="20"/>
  <c r="AG85" i="20"/>
  <c r="AF85" i="20"/>
  <c r="AE85" i="20"/>
  <c r="AD85" i="20"/>
  <c r="AC85" i="20"/>
  <c r="AB85" i="20"/>
  <c r="AA85" i="20"/>
  <c r="Z85" i="20"/>
  <c r="Y85" i="20"/>
  <c r="X85" i="20"/>
  <c r="W85" i="20"/>
  <c r="F85" i="20"/>
  <c r="AH84" i="20"/>
  <c r="AG84" i="20"/>
  <c r="AF84" i="20"/>
  <c r="AE84" i="20"/>
  <c r="AD84" i="20"/>
  <c r="AC84" i="20"/>
  <c r="AB84" i="20"/>
  <c r="AA84" i="20"/>
  <c r="Z84" i="20"/>
  <c r="Y84" i="20"/>
  <c r="X84" i="20"/>
  <c r="W84" i="20"/>
  <c r="F84" i="20"/>
  <c r="AH83" i="20"/>
  <c r="AG83" i="20"/>
  <c r="AF83" i="20"/>
  <c r="AE83" i="20"/>
  <c r="AD83" i="20"/>
  <c r="AC83" i="20"/>
  <c r="AB83" i="20"/>
  <c r="AA83" i="20"/>
  <c r="Z83" i="20"/>
  <c r="Y83" i="20"/>
  <c r="X83" i="20"/>
  <c r="W83" i="20"/>
  <c r="F83" i="20"/>
  <c r="AH82" i="20"/>
  <c r="AG82" i="20"/>
  <c r="AF82" i="20"/>
  <c r="AE82" i="20"/>
  <c r="AD82" i="20"/>
  <c r="AC82" i="20"/>
  <c r="AB82" i="20"/>
  <c r="AA82" i="20"/>
  <c r="Z82" i="20"/>
  <c r="Y82" i="20"/>
  <c r="X82" i="20"/>
  <c r="W82" i="20"/>
  <c r="F82" i="20"/>
  <c r="AH81" i="20"/>
  <c r="AG81" i="20"/>
  <c r="AF81" i="20"/>
  <c r="AE81" i="20"/>
  <c r="AD81" i="20"/>
  <c r="AC81" i="20"/>
  <c r="AB81" i="20"/>
  <c r="AA81" i="20"/>
  <c r="Z81" i="20"/>
  <c r="Y81" i="20"/>
  <c r="X81" i="20"/>
  <c r="W81" i="20"/>
  <c r="F81" i="20"/>
  <c r="AH80" i="20"/>
  <c r="AG80" i="20"/>
  <c r="AF80" i="20"/>
  <c r="AE80" i="20"/>
  <c r="AD80" i="20"/>
  <c r="AC80" i="20"/>
  <c r="AB80" i="20"/>
  <c r="AA80" i="20"/>
  <c r="Z80" i="20"/>
  <c r="Y80" i="20"/>
  <c r="X80" i="20"/>
  <c r="W80" i="20"/>
  <c r="F80" i="20"/>
  <c r="AH79" i="20"/>
  <c r="AG79" i="20"/>
  <c r="AF79" i="20"/>
  <c r="AE79" i="20"/>
  <c r="AD79" i="20"/>
  <c r="AC79" i="20"/>
  <c r="AB79" i="20"/>
  <c r="AA79" i="20"/>
  <c r="Z79" i="20"/>
  <c r="Y79" i="20"/>
  <c r="X79" i="20"/>
  <c r="W79" i="20"/>
  <c r="F79" i="20"/>
  <c r="AH78" i="20"/>
  <c r="AG78" i="20"/>
  <c r="AF78" i="20"/>
  <c r="AE78" i="20"/>
  <c r="AD78" i="20"/>
  <c r="AC78" i="20"/>
  <c r="AB78" i="20"/>
  <c r="AA78" i="20"/>
  <c r="Z78" i="20"/>
  <c r="Y78" i="20"/>
  <c r="X78" i="20"/>
  <c r="W78" i="20"/>
  <c r="F78" i="20"/>
  <c r="AH77" i="20"/>
  <c r="AG77" i="20"/>
  <c r="AF77" i="20"/>
  <c r="AE77" i="20"/>
  <c r="AD77" i="20"/>
  <c r="AC77" i="20"/>
  <c r="AB77" i="20"/>
  <c r="AA77" i="20"/>
  <c r="Z77" i="20"/>
  <c r="Y77" i="20"/>
  <c r="X77" i="20"/>
  <c r="W77" i="20"/>
  <c r="F77" i="20"/>
  <c r="AH76" i="20"/>
  <c r="AG76" i="20"/>
  <c r="AF76" i="20"/>
  <c r="AE76" i="20"/>
  <c r="AD76" i="20"/>
  <c r="AC76" i="20"/>
  <c r="AB76" i="20"/>
  <c r="AA76" i="20"/>
  <c r="Z76" i="20"/>
  <c r="Y76" i="20"/>
  <c r="X76" i="20"/>
  <c r="W76" i="20"/>
  <c r="F76" i="20"/>
  <c r="AH75" i="20"/>
  <c r="AG75" i="20"/>
  <c r="AF75" i="20"/>
  <c r="AE75" i="20"/>
  <c r="AD75" i="20"/>
  <c r="AC75" i="20"/>
  <c r="AB75" i="20"/>
  <c r="AA75" i="20"/>
  <c r="Z75" i="20"/>
  <c r="Y75" i="20"/>
  <c r="X75" i="20"/>
  <c r="W75" i="20"/>
  <c r="F75" i="20"/>
  <c r="AH74" i="20"/>
  <c r="AG74" i="20"/>
  <c r="AF74" i="20"/>
  <c r="AE74" i="20"/>
  <c r="AD74" i="20"/>
  <c r="AC74" i="20"/>
  <c r="AB74" i="20"/>
  <c r="AA74" i="20"/>
  <c r="Z74" i="20"/>
  <c r="Y74" i="20"/>
  <c r="X74" i="20"/>
  <c r="W74" i="20"/>
  <c r="F74" i="20"/>
  <c r="AH73" i="20"/>
  <c r="AG73" i="20"/>
  <c r="AF73" i="20"/>
  <c r="AE73" i="20"/>
  <c r="AD73" i="20"/>
  <c r="AC73" i="20"/>
  <c r="AB73" i="20"/>
  <c r="AA73" i="20"/>
  <c r="Z73" i="20"/>
  <c r="Y73" i="20"/>
  <c r="X73" i="20"/>
  <c r="W73" i="20"/>
  <c r="F73" i="20"/>
  <c r="AH72" i="20"/>
  <c r="AG72" i="20"/>
  <c r="AF72" i="20"/>
  <c r="AE72" i="20"/>
  <c r="AD72" i="20"/>
  <c r="AC72" i="20"/>
  <c r="AB72" i="20"/>
  <c r="AA72" i="20"/>
  <c r="Z72" i="20"/>
  <c r="Y72" i="20"/>
  <c r="X72" i="20"/>
  <c r="W72" i="20"/>
  <c r="F72" i="20"/>
  <c r="AH71" i="20"/>
  <c r="AG71" i="20"/>
  <c r="AF71" i="20"/>
  <c r="AE71" i="20"/>
  <c r="AD71" i="20"/>
  <c r="AC71" i="20"/>
  <c r="AB71" i="20"/>
  <c r="AA71" i="20"/>
  <c r="Z71" i="20"/>
  <c r="Y71" i="20"/>
  <c r="X71" i="20"/>
  <c r="W71" i="20"/>
  <c r="F71" i="20"/>
  <c r="AH70" i="20"/>
  <c r="AG70" i="20"/>
  <c r="AF70" i="20"/>
  <c r="AE70" i="20"/>
  <c r="AD70" i="20"/>
  <c r="AC70" i="20"/>
  <c r="AB70" i="20"/>
  <c r="AA70" i="20"/>
  <c r="Z70" i="20"/>
  <c r="Y70" i="20"/>
  <c r="X70" i="20"/>
  <c r="W70" i="20"/>
  <c r="F70" i="20"/>
  <c r="AH69" i="20"/>
  <c r="AG69" i="20"/>
  <c r="AF69" i="20"/>
  <c r="AE69" i="20"/>
  <c r="AD69" i="20"/>
  <c r="AC69" i="20"/>
  <c r="AB69" i="20"/>
  <c r="AA69" i="20"/>
  <c r="Z69" i="20"/>
  <c r="Y69" i="20"/>
  <c r="X69" i="20"/>
  <c r="W69" i="20"/>
  <c r="F69" i="20"/>
  <c r="AH68" i="20"/>
  <c r="AG68" i="20"/>
  <c r="AF68" i="20"/>
  <c r="AE68" i="20"/>
  <c r="AD68" i="20"/>
  <c r="AC68" i="20"/>
  <c r="AB68" i="20"/>
  <c r="AA68" i="20"/>
  <c r="Z68" i="20"/>
  <c r="Y68" i="20"/>
  <c r="X68" i="20"/>
  <c r="W68" i="20"/>
  <c r="F68" i="20"/>
  <c r="AH67" i="20"/>
  <c r="AG67" i="20"/>
  <c r="AF67" i="20"/>
  <c r="AE67" i="20"/>
  <c r="AD67" i="20"/>
  <c r="AC67" i="20"/>
  <c r="AB67" i="20"/>
  <c r="AA67" i="20"/>
  <c r="Z67" i="20"/>
  <c r="Y67" i="20"/>
  <c r="X67" i="20"/>
  <c r="W67" i="20"/>
  <c r="F67" i="20"/>
  <c r="AH66" i="20"/>
  <c r="AG66" i="20"/>
  <c r="AF66" i="20"/>
  <c r="AE66" i="20"/>
  <c r="AD66" i="20"/>
  <c r="AC66" i="20"/>
  <c r="AB66" i="20"/>
  <c r="AA66" i="20"/>
  <c r="Z66" i="20"/>
  <c r="Y66" i="20"/>
  <c r="X66" i="20"/>
  <c r="W66" i="20"/>
  <c r="F66" i="20"/>
  <c r="AH65" i="20"/>
  <c r="AG65" i="20"/>
  <c r="AF65" i="20"/>
  <c r="AE65" i="20"/>
  <c r="AD65" i="20"/>
  <c r="AC65" i="20"/>
  <c r="AB65" i="20"/>
  <c r="AA65" i="20"/>
  <c r="Z65" i="20"/>
  <c r="Y65" i="20"/>
  <c r="X65" i="20"/>
  <c r="W65" i="20"/>
  <c r="F65" i="20"/>
  <c r="AH64" i="20"/>
  <c r="AG64" i="20"/>
  <c r="AF64" i="20"/>
  <c r="AE64" i="20"/>
  <c r="AD64" i="20"/>
  <c r="AC64" i="20"/>
  <c r="AB64" i="20"/>
  <c r="AA64" i="20"/>
  <c r="Z64" i="20"/>
  <c r="Y64" i="20"/>
  <c r="X64" i="20"/>
  <c r="W64" i="20"/>
  <c r="F64" i="20"/>
  <c r="AH63" i="20"/>
  <c r="AG63" i="20"/>
  <c r="AF63" i="20"/>
  <c r="AE63" i="20"/>
  <c r="AD63" i="20"/>
  <c r="AC63" i="20"/>
  <c r="AB63" i="20"/>
  <c r="AA63" i="20"/>
  <c r="Z63" i="20"/>
  <c r="Y63" i="20"/>
  <c r="X63" i="20"/>
  <c r="W63" i="20"/>
  <c r="F63" i="20"/>
  <c r="AH62" i="20"/>
  <c r="AG62" i="20"/>
  <c r="AF62" i="20"/>
  <c r="AE62" i="20"/>
  <c r="AD62" i="20"/>
  <c r="AC62" i="20"/>
  <c r="AB62" i="20"/>
  <c r="AA62" i="20"/>
  <c r="Z62" i="20"/>
  <c r="Y62" i="20"/>
  <c r="X62" i="20"/>
  <c r="W62" i="20"/>
  <c r="F62" i="20"/>
  <c r="AH61" i="20"/>
  <c r="AG61" i="20"/>
  <c r="AF61" i="20"/>
  <c r="AE61" i="20"/>
  <c r="AD61" i="20"/>
  <c r="AC61" i="20"/>
  <c r="AB61" i="20"/>
  <c r="AA61" i="20"/>
  <c r="Z61" i="20"/>
  <c r="Y61" i="20"/>
  <c r="X61" i="20"/>
  <c r="W61" i="20"/>
  <c r="F61" i="20"/>
  <c r="AH60" i="20"/>
  <c r="AG60" i="20"/>
  <c r="AF60" i="20"/>
  <c r="AE60" i="20"/>
  <c r="AD60" i="20"/>
  <c r="AC60" i="20"/>
  <c r="AB60" i="20"/>
  <c r="AA60" i="20"/>
  <c r="Z60" i="20"/>
  <c r="Y60" i="20"/>
  <c r="X60" i="20"/>
  <c r="W60" i="20"/>
  <c r="F60" i="20"/>
  <c r="AH59" i="20"/>
  <c r="AG59" i="20"/>
  <c r="AF59" i="20"/>
  <c r="AE59" i="20"/>
  <c r="AD59" i="20"/>
  <c r="AC59" i="20"/>
  <c r="AB59" i="20"/>
  <c r="AA59" i="20"/>
  <c r="Z59" i="20"/>
  <c r="Y59" i="20"/>
  <c r="X59" i="20"/>
  <c r="W59" i="20"/>
  <c r="F59" i="20"/>
  <c r="AH58" i="20"/>
  <c r="AG58" i="20"/>
  <c r="AF58" i="20"/>
  <c r="AE58" i="20"/>
  <c r="AD58" i="20"/>
  <c r="AC58" i="20"/>
  <c r="AB58" i="20"/>
  <c r="AA58" i="20"/>
  <c r="Z58" i="20"/>
  <c r="Y58" i="20"/>
  <c r="X58" i="20"/>
  <c r="W58" i="20"/>
  <c r="F58" i="20"/>
  <c r="AH57" i="20"/>
  <c r="AG57" i="20"/>
  <c r="AF57" i="20"/>
  <c r="AE57" i="20"/>
  <c r="AD57" i="20"/>
  <c r="AC57" i="20"/>
  <c r="AB57" i="20"/>
  <c r="AA57" i="20"/>
  <c r="Z57" i="20"/>
  <c r="Y57" i="20"/>
  <c r="X57" i="20"/>
  <c r="W57" i="20"/>
  <c r="F57" i="20"/>
  <c r="AH56" i="20"/>
  <c r="AG56" i="20"/>
  <c r="AF56" i="20"/>
  <c r="AE56" i="20"/>
  <c r="AD56" i="20"/>
  <c r="AC56" i="20"/>
  <c r="AB56" i="20"/>
  <c r="AA56" i="20"/>
  <c r="Z56" i="20"/>
  <c r="Y56" i="20"/>
  <c r="X56" i="20"/>
  <c r="W56" i="20"/>
  <c r="F56" i="20"/>
  <c r="AH55" i="20"/>
  <c r="AG55" i="20"/>
  <c r="AF55" i="20"/>
  <c r="AE55" i="20"/>
  <c r="AD55" i="20"/>
  <c r="AC55" i="20"/>
  <c r="AB55" i="20"/>
  <c r="AA55" i="20"/>
  <c r="Z55" i="20"/>
  <c r="Y55" i="20"/>
  <c r="X55" i="20"/>
  <c r="W55" i="20"/>
  <c r="F55" i="20"/>
  <c r="AH54" i="20"/>
  <c r="AG54" i="20"/>
  <c r="AF54" i="20"/>
  <c r="AE54" i="20"/>
  <c r="AD54" i="20"/>
  <c r="AC54" i="20"/>
  <c r="AB54" i="20"/>
  <c r="AA54" i="20"/>
  <c r="Z54" i="20"/>
  <c r="Y54" i="20"/>
  <c r="X54" i="20"/>
  <c r="W54" i="20"/>
  <c r="F54" i="20"/>
  <c r="AH53" i="20"/>
  <c r="AG53" i="20"/>
  <c r="AF53" i="20"/>
  <c r="AE53" i="20"/>
  <c r="AD53" i="20"/>
  <c r="AC53" i="20"/>
  <c r="AB53" i="20"/>
  <c r="AA53" i="20"/>
  <c r="Z53" i="20"/>
  <c r="Y53" i="20"/>
  <c r="X53" i="20"/>
  <c r="W53" i="20"/>
  <c r="F53" i="20"/>
  <c r="AH52" i="20"/>
  <c r="AG52" i="20"/>
  <c r="AF52" i="20"/>
  <c r="AE52" i="20"/>
  <c r="AD52" i="20"/>
  <c r="AC52" i="20"/>
  <c r="AB52" i="20"/>
  <c r="AA52" i="20"/>
  <c r="Z52" i="20"/>
  <c r="Y52" i="20"/>
  <c r="X52" i="20"/>
  <c r="W52" i="20"/>
  <c r="F52" i="20"/>
  <c r="AH51" i="20"/>
  <c r="AG51" i="20"/>
  <c r="AF51" i="20"/>
  <c r="AE51" i="20"/>
  <c r="AD51" i="20"/>
  <c r="AC51" i="20"/>
  <c r="AB51" i="20"/>
  <c r="AA51" i="20"/>
  <c r="Z51" i="20"/>
  <c r="Y51" i="20"/>
  <c r="X51" i="20"/>
  <c r="W51" i="20"/>
  <c r="F51" i="20"/>
  <c r="AH50" i="20"/>
  <c r="AG50" i="20"/>
  <c r="AF50" i="20"/>
  <c r="AE50" i="20"/>
  <c r="AD50" i="20"/>
  <c r="AC50" i="20"/>
  <c r="AB50" i="20"/>
  <c r="AA50" i="20"/>
  <c r="Z50" i="20"/>
  <c r="Y50" i="20"/>
  <c r="X50" i="20"/>
  <c r="W50" i="20"/>
  <c r="F50" i="20"/>
  <c r="AH49" i="20"/>
  <c r="AG49" i="20"/>
  <c r="AF49" i="20"/>
  <c r="AE49" i="20"/>
  <c r="AD49" i="20"/>
  <c r="AC49" i="20"/>
  <c r="AB49" i="20"/>
  <c r="AA49" i="20"/>
  <c r="Z49" i="20"/>
  <c r="Y49" i="20"/>
  <c r="X49" i="20"/>
  <c r="W49" i="20"/>
  <c r="F49" i="20"/>
  <c r="AH48" i="20"/>
  <c r="AG48" i="20"/>
  <c r="AF48" i="20"/>
  <c r="AE48" i="20"/>
  <c r="AD48" i="20"/>
  <c r="AC48" i="20"/>
  <c r="AB48" i="20"/>
  <c r="AA48" i="20"/>
  <c r="Z48" i="20"/>
  <c r="Y48" i="20"/>
  <c r="X48" i="20"/>
  <c r="W48" i="20"/>
  <c r="F48" i="20"/>
  <c r="AH47" i="20"/>
  <c r="AG47" i="20"/>
  <c r="AF47" i="20"/>
  <c r="AE47" i="20"/>
  <c r="AD47" i="20"/>
  <c r="AC47" i="20"/>
  <c r="AB47" i="20"/>
  <c r="AA47" i="20"/>
  <c r="Z47" i="20"/>
  <c r="Y47" i="20"/>
  <c r="X47" i="20"/>
  <c r="W47" i="20"/>
  <c r="F47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F46" i="20"/>
  <c r="AH45" i="20"/>
  <c r="AG45" i="20"/>
  <c r="AF45" i="20"/>
  <c r="AE45" i="20"/>
  <c r="AD45" i="20"/>
  <c r="AC45" i="20"/>
  <c r="AB45" i="20"/>
  <c r="AA45" i="20"/>
  <c r="Z45" i="20"/>
  <c r="Y45" i="20"/>
  <c r="X45" i="20"/>
  <c r="W45" i="20"/>
  <c r="F45" i="20"/>
  <c r="AH44" i="20"/>
  <c r="AG44" i="20"/>
  <c r="AF44" i="20"/>
  <c r="AE44" i="20"/>
  <c r="AD44" i="20"/>
  <c r="AC44" i="20"/>
  <c r="AB44" i="20"/>
  <c r="AA44" i="20"/>
  <c r="Z44" i="20"/>
  <c r="Y44" i="20"/>
  <c r="X44" i="20"/>
  <c r="W44" i="20"/>
  <c r="F44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F43" i="20"/>
  <c r="AH42" i="20"/>
  <c r="AG42" i="20"/>
  <c r="AF42" i="20"/>
  <c r="AE42" i="20"/>
  <c r="AD42" i="20"/>
  <c r="AC42" i="20"/>
  <c r="AB42" i="20"/>
  <c r="AA42" i="20"/>
  <c r="Z42" i="20"/>
  <c r="Y42" i="20"/>
  <c r="X42" i="20"/>
  <c r="W42" i="20"/>
  <c r="F42" i="20"/>
  <c r="AH41" i="20"/>
  <c r="AG41" i="20"/>
  <c r="AF41" i="20"/>
  <c r="AE41" i="20"/>
  <c r="AD41" i="20"/>
  <c r="AC41" i="20"/>
  <c r="AB41" i="20"/>
  <c r="AA41" i="20"/>
  <c r="Z41" i="20"/>
  <c r="Y41" i="20"/>
  <c r="X41" i="20"/>
  <c r="W41" i="20"/>
  <c r="F41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F40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F39" i="20"/>
  <c r="AH38" i="20"/>
  <c r="AG38" i="20"/>
  <c r="AF38" i="20"/>
  <c r="AE38" i="20"/>
  <c r="AD38" i="20"/>
  <c r="AC38" i="20"/>
  <c r="AB38" i="20"/>
  <c r="AA38" i="20"/>
  <c r="Z38" i="20"/>
  <c r="Y38" i="20"/>
  <c r="X38" i="20"/>
  <c r="W38" i="20"/>
  <c r="F38" i="20"/>
  <c r="AH37" i="20"/>
  <c r="AG37" i="20"/>
  <c r="AF37" i="20"/>
  <c r="AE37" i="20"/>
  <c r="AD37" i="20"/>
  <c r="AC37" i="20"/>
  <c r="AB37" i="20"/>
  <c r="AA37" i="20"/>
  <c r="Z37" i="20"/>
  <c r="Y37" i="20"/>
  <c r="X37" i="20"/>
  <c r="W37" i="20"/>
  <c r="F37" i="20"/>
  <c r="AH36" i="20"/>
  <c r="AG36" i="20"/>
  <c r="AF36" i="20"/>
  <c r="AE36" i="20"/>
  <c r="AD36" i="20"/>
  <c r="AC36" i="20"/>
  <c r="AB36" i="20"/>
  <c r="AA36" i="20"/>
  <c r="Z36" i="20"/>
  <c r="Y36" i="20"/>
  <c r="X36" i="20"/>
  <c r="W36" i="20"/>
  <c r="F36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F35" i="20"/>
  <c r="AH34" i="20"/>
  <c r="AG34" i="20"/>
  <c r="AF34" i="20"/>
  <c r="AE34" i="20"/>
  <c r="AD34" i="20"/>
  <c r="AC34" i="20"/>
  <c r="AB34" i="20"/>
  <c r="AA34" i="20"/>
  <c r="Z34" i="20"/>
  <c r="Y34" i="20"/>
  <c r="X34" i="20"/>
  <c r="W34" i="20"/>
  <c r="F34" i="20"/>
  <c r="AH33" i="20"/>
  <c r="AG33" i="20"/>
  <c r="AF33" i="20"/>
  <c r="AE33" i="20"/>
  <c r="AD33" i="20"/>
  <c r="AC33" i="20"/>
  <c r="AB33" i="20"/>
  <c r="AA33" i="20"/>
  <c r="Z33" i="20"/>
  <c r="Y33" i="20"/>
  <c r="X33" i="20"/>
  <c r="W33" i="20"/>
  <c r="F33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F32" i="20"/>
  <c r="AH31" i="20"/>
  <c r="AG31" i="20"/>
  <c r="AF31" i="20"/>
  <c r="AE31" i="20"/>
  <c r="AD31" i="20"/>
  <c r="AC31" i="20"/>
  <c r="AB31" i="20"/>
  <c r="AA31" i="20"/>
  <c r="Z31" i="20"/>
  <c r="Y31" i="20"/>
  <c r="X31" i="20"/>
  <c r="W31" i="20"/>
  <c r="F31" i="20"/>
  <c r="AH30" i="20"/>
  <c r="AG30" i="20"/>
  <c r="AF30" i="20"/>
  <c r="AE30" i="20"/>
  <c r="AD30" i="20"/>
  <c r="AC30" i="20"/>
  <c r="AB30" i="20"/>
  <c r="AA30" i="20"/>
  <c r="Z30" i="20"/>
  <c r="Y30" i="20"/>
  <c r="X30" i="20"/>
  <c r="W30" i="20"/>
  <c r="F30" i="20"/>
  <c r="AH29" i="20"/>
  <c r="AG29" i="20"/>
  <c r="AF29" i="20"/>
  <c r="AE29" i="20"/>
  <c r="AD29" i="20"/>
  <c r="AC29" i="20"/>
  <c r="AB29" i="20"/>
  <c r="AA29" i="20"/>
  <c r="Z29" i="20"/>
  <c r="Y29" i="20"/>
  <c r="X29" i="20"/>
  <c r="W29" i="20"/>
  <c r="F29" i="20"/>
  <c r="AH28" i="20"/>
  <c r="AG28" i="20"/>
  <c r="AF28" i="20"/>
  <c r="AE28" i="20"/>
  <c r="AD28" i="20"/>
  <c r="AC28" i="20"/>
  <c r="AB28" i="20"/>
  <c r="AA28" i="20"/>
  <c r="Z28" i="20"/>
  <c r="Y28" i="20"/>
  <c r="X28" i="20"/>
  <c r="W28" i="20"/>
  <c r="F28" i="20"/>
  <c r="AH27" i="20"/>
  <c r="AG27" i="20"/>
  <c r="AF27" i="20"/>
  <c r="AE27" i="20"/>
  <c r="AD27" i="20"/>
  <c r="AC27" i="20"/>
  <c r="AB27" i="20"/>
  <c r="AA27" i="20"/>
  <c r="Z27" i="20"/>
  <c r="Y27" i="20"/>
  <c r="X27" i="20"/>
  <c r="W27" i="20"/>
  <c r="F27" i="20"/>
  <c r="AH26" i="20"/>
  <c r="AG26" i="20"/>
  <c r="AF26" i="20"/>
  <c r="AE26" i="20"/>
  <c r="AD26" i="20"/>
  <c r="AC26" i="20"/>
  <c r="AB26" i="20"/>
  <c r="AA26" i="20"/>
  <c r="Z26" i="20"/>
  <c r="Y26" i="20"/>
  <c r="X26" i="20"/>
  <c r="W26" i="20"/>
  <c r="F26" i="20"/>
  <c r="AH25" i="20"/>
  <c r="AG25" i="20"/>
  <c r="AF25" i="20"/>
  <c r="AE25" i="20"/>
  <c r="AD25" i="20"/>
  <c r="AC25" i="20"/>
  <c r="AB25" i="20"/>
  <c r="AA25" i="20"/>
  <c r="Z25" i="20"/>
  <c r="Y25" i="20"/>
  <c r="X25" i="20"/>
  <c r="W25" i="20"/>
  <c r="F25" i="20"/>
  <c r="AH24" i="20"/>
  <c r="AG24" i="20"/>
  <c r="AF24" i="20"/>
  <c r="AE24" i="20"/>
  <c r="AD24" i="20"/>
  <c r="AC24" i="20"/>
  <c r="AB24" i="20"/>
  <c r="AA24" i="20"/>
  <c r="Z24" i="20"/>
  <c r="Y24" i="20"/>
  <c r="X24" i="20"/>
  <c r="W24" i="20"/>
  <c r="F24" i="20"/>
  <c r="AH23" i="20"/>
  <c r="AG23" i="20"/>
  <c r="AF23" i="20"/>
  <c r="AE23" i="20"/>
  <c r="AD23" i="20"/>
  <c r="AC23" i="20"/>
  <c r="AB23" i="20"/>
  <c r="AA23" i="20"/>
  <c r="Z23" i="20"/>
  <c r="Y23" i="20"/>
  <c r="X23" i="20"/>
  <c r="W23" i="20"/>
  <c r="F23" i="20"/>
  <c r="AH22" i="20"/>
  <c r="AG22" i="20"/>
  <c r="AF22" i="20"/>
  <c r="AE22" i="20"/>
  <c r="AD22" i="20"/>
  <c r="AC22" i="20"/>
  <c r="AB22" i="20"/>
  <c r="AA22" i="20"/>
  <c r="Z22" i="20"/>
  <c r="Y22" i="20"/>
  <c r="X22" i="20"/>
  <c r="W22" i="20"/>
  <c r="F22" i="20"/>
  <c r="AH21" i="20"/>
  <c r="AG21" i="20"/>
  <c r="AF21" i="20"/>
  <c r="AE21" i="20"/>
  <c r="AD21" i="20"/>
  <c r="AC21" i="20"/>
  <c r="AB21" i="20"/>
  <c r="AA21" i="20"/>
  <c r="Z21" i="20"/>
  <c r="Y21" i="20"/>
  <c r="X21" i="20"/>
  <c r="W21" i="20"/>
  <c r="F21" i="20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F20" i="20"/>
  <c r="AH19" i="20"/>
  <c r="AG19" i="20"/>
  <c r="AF19" i="20"/>
  <c r="AE19" i="20"/>
  <c r="AD19" i="20"/>
  <c r="AC19" i="20"/>
  <c r="AB19" i="20"/>
  <c r="AA19" i="20"/>
  <c r="Z19" i="20"/>
  <c r="Y19" i="20"/>
  <c r="X19" i="20"/>
  <c r="W19" i="20"/>
  <c r="F19" i="20"/>
  <c r="AH18" i="20"/>
  <c r="AG18" i="20"/>
  <c r="AF18" i="20"/>
  <c r="AE18" i="20"/>
  <c r="AD18" i="20"/>
  <c r="AC18" i="20"/>
  <c r="AB18" i="20"/>
  <c r="AA18" i="20"/>
  <c r="Z18" i="20"/>
  <c r="Y18" i="20"/>
  <c r="X18" i="20"/>
  <c r="W18" i="20"/>
  <c r="F18" i="20"/>
  <c r="AH17" i="20"/>
  <c r="AG17" i="20"/>
  <c r="AF17" i="20"/>
  <c r="AE17" i="20"/>
  <c r="AD17" i="20"/>
  <c r="AC17" i="20"/>
  <c r="AB17" i="20"/>
  <c r="AA17" i="20"/>
  <c r="Z17" i="20"/>
  <c r="Y17" i="20"/>
  <c r="X17" i="20"/>
  <c r="W17" i="20"/>
  <c r="F17" i="20"/>
  <c r="AH16" i="20"/>
  <c r="AG16" i="20"/>
  <c r="AF16" i="20"/>
  <c r="AE16" i="20"/>
  <c r="AD16" i="20"/>
  <c r="AC16" i="20"/>
  <c r="AB16" i="20"/>
  <c r="AA16" i="20"/>
  <c r="Z16" i="20"/>
  <c r="Y16" i="20"/>
  <c r="X16" i="20"/>
  <c r="W16" i="20"/>
  <c r="F16" i="20"/>
  <c r="AH15" i="20"/>
  <c r="AG15" i="20"/>
  <c r="AF15" i="20"/>
  <c r="AE15" i="20"/>
  <c r="AD15" i="20"/>
  <c r="AC15" i="20"/>
  <c r="AB15" i="20"/>
  <c r="AA15" i="20"/>
  <c r="Z15" i="20"/>
  <c r="Y15" i="20"/>
  <c r="X15" i="20"/>
  <c r="W15" i="20"/>
  <c r="F15" i="20"/>
  <c r="AH14" i="20"/>
  <c r="AG14" i="20"/>
  <c r="AF14" i="20"/>
  <c r="AE14" i="20"/>
  <c r="AD14" i="20"/>
  <c r="AC14" i="20"/>
  <c r="AB14" i="20"/>
  <c r="AA14" i="20"/>
  <c r="Z14" i="20"/>
  <c r="Y14" i="20"/>
  <c r="X14" i="20"/>
  <c r="W14" i="20"/>
  <c r="F14" i="20"/>
  <c r="AH13" i="20"/>
  <c r="AG13" i="20"/>
  <c r="AF13" i="20"/>
  <c r="AE13" i="20"/>
  <c r="AD13" i="20"/>
  <c r="AC13" i="20"/>
  <c r="AB13" i="20"/>
  <c r="AA13" i="20"/>
  <c r="Z13" i="20"/>
  <c r="Y13" i="20"/>
  <c r="X13" i="20"/>
  <c r="W13" i="20"/>
  <c r="F13" i="20"/>
  <c r="AH12" i="20"/>
  <c r="AG12" i="20"/>
  <c r="AF12" i="20"/>
  <c r="AE12" i="20"/>
  <c r="AD12" i="20"/>
  <c r="AC12" i="20"/>
  <c r="AB12" i="20"/>
  <c r="AA12" i="20"/>
  <c r="Z12" i="20"/>
  <c r="Y12" i="20"/>
  <c r="X12" i="20"/>
  <c r="W12" i="20"/>
  <c r="F12" i="20"/>
  <c r="AH11" i="20"/>
  <c r="AG11" i="20"/>
  <c r="AF11" i="20"/>
  <c r="AE11" i="20"/>
  <c r="AD11" i="20"/>
  <c r="AC11" i="20"/>
  <c r="AB11" i="20"/>
  <c r="AA11" i="20"/>
  <c r="Z11" i="20"/>
  <c r="Y11" i="20"/>
  <c r="X11" i="20"/>
  <c r="W11" i="20"/>
  <c r="F11" i="20"/>
  <c r="AH10" i="20"/>
  <c r="AG10" i="20"/>
  <c r="AF10" i="20"/>
  <c r="AE10" i="20"/>
  <c r="AD10" i="20"/>
  <c r="AC10" i="20"/>
  <c r="AB10" i="20"/>
  <c r="AA10" i="20"/>
  <c r="Z10" i="20"/>
  <c r="Y10" i="20"/>
  <c r="X10" i="20"/>
  <c r="W10" i="20"/>
  <c r="F10" i="20"/>
  <c r="AH9" i="20"/>
  <c r="AG9" i="20"/>
  <c r="AF9" i="20"/>
  <c r="AE9" i="20"/>
  <c r="AD9" i="20"/>
  <c r="AC9" i="20"/>
  <c r="AB9" i="20"/>
  <c r="AA9" i="20"/>
  <c r="Z9" i="20"/>
  <c r="Y9" i="20"/>
  <c r="X9" i="20"/>
  <c r="W9" i="20"/>
  <c r="F9" i="20"/>
  <c r="AH8" i="20"/>
  <c r="AG8" i="20"/>
  <c r="AF8" i="20"/>
  <c r="AE8" i="20"/>
  <c r="AD8" i="20"/>
  <c r="AC8" i="20"/>
  <c r="AB8" i="20"/>
  <c r="AA8" i="20"/>
  <c r="Z8" i="20"/>
  <c r="Y8" i="20"/>
  <c r="X8" i="20"/>
  <c r="W8" i="20"/>
  <c r="F8" i="20"/>
  <c r="AH7" i="20"/>
  <c r="AG7" i="20"/>
  <c r="AF7" i="20"/>
  <c r="AE7" i="20"/>
  <c r="AD7" i="20"/>
  <c r="AC7" i="20"/>
  <c r="AB7" i="20"/>
  <c r="AA7" i="20"/>
  <c r="Z7" i="20"/>
  <c r="Y7" i="20"/>
  <c r="X7" i="20"/>
  <c r="W7" i="20"/>
  <c r="F7" i="20"/>
  <c r="AH6" i="20"/>
  <c r="AG6" i="20"/>
  <c r="AF6" i="20"/>
  <c r="AE6" i="20"/>
  <c r="AD6" i="20"/>
  <c r="AC6" i="20"/>
  <c r="AB6" i="20"/>
  <c r="AA6" i="20"/>
  <c r="Z6" i="20"/>
  <c r="Y6" i="20"/>
  <c r="X6" i="20"/>
  <c r="W6" i="20"/>
  <c r="F6" i="20"/>
  <c r="AH100" i="19"/>
  <c r="AG100" i="19"/>
  <c r="AF100" i="19"/>
  <c r="AE100" i="19"/>
  <c r="AD100" i="19"/>
  <c r="AC100" i="19"/>
  <c r="AB100" i="19"/>
  <c r="AA100" i="19"/>
  <c r="Z100" i="19"/>
  <c r="Y100" i="19"/>
  <c r="X100" i="19"/>
  <c r="W100" i="19"/>
  <c r="F100" i="19"/>
  <c r="AH99" i="19"/>
  <c r="AG99" i="19"/>
  <c r="AF99" i="19"/>
  <c r="AE99" i="19"/>
  <c r="AD99" i="19"/>
  <c r="AC99" i="19"/>
  <c r="AB99" i="19"/>
  <c r="AA99" i="19"/>
  <c r="Z99" i="19"/>
  <c r="Y99" i="19"/>
  <c r="X99" i="19"/>
  <c r="W99" i="19"/>
  <c r="F99" i="19"/>
  <c r="AH98" i="19"/>
  <c r="AG98" i="19"/>
  <c r="AF98" i="19"/>
  <c r="AE98" i="19"/>
  <c r="AD98" i="19"/>
  <c r="AC98" i="19"/>
  <c r="AB98" i="19"/>
  <c r="AA98" i="19"/>
  <c r="Z98" i="19"/>
  <c r="Y98" i="19"/>
  <c r="X98" i="19"/>
  <c r="W98" i="19"/>
  <c r="F98" i="19"/>
  <c r="AH97" i="19"/>
  <c r="AG97" i="19"/>
  <c r="AF97" i="19"/>
  <c r="AE97" i="19"/>
  <c r="AD97" i="19"/>
  <c r="AC97" i="19"/>
  <c r="AB97" i="19"/>
  <c r="AA97" i="19"/>
  <c r="Z97" i="19"/>
  <c r="Y97" i="19"/>
  <c r="X97" i="19"/>
  <c r="W97" i="19"/>
  <c r="F97" i="19"/>
  <c r="AH96" i="19"/>
  <c r="AG96" i="19"/>
  <c r="AF96" i="19"/>
  <c r="AE96" i="19"/>
  <c r="AD96" i="19"/>
  <c r="AC96" i="19"/>
  <c r="AB96" i="19"/>
  <c r="AA96" i="19"/>
  <c r="Z96" i="19"/>
  <c r="Y96" i="19"/>
  <c r="X96" i="19"/>
  <c r="W96" i="19"/>
  <c r="F96" i="19"/>
  <c r="AH95" i="19"/>
  <c r="AG95" i="19"/>
  <c r="AF95" i="19"/>
  <c r="AE95" i="19"/>
  <c r="AD95" i="19"/>
  <c r="AC95" i="19"/>
  <c r="AB95" i="19"/>
  <c r="AA95" i="19"/>
  <c r="Z95" i="19"/>
  <c r="Y95" i="19"/>
  <c r="X95" i="19"/>
  <c r="W95" i="19"/>
  <c r="F95" i="19"/>
  <c r="AH94" i="19"/>
  <c r="AG94" i="19"/>
  <c r="AF94" i="19"/>
  <c r="AE94" i="19"/>
  <c r="AD94" i="19"/>
  <c r="AC94" i="19"/>
  <c r="AB94" i="19"/>
  <c r="AA94" i="19"/>
  <c r="Z94" i="19"/>
  <c r="Y94" i="19"/>
  <c r="X94" i="19"/>
  <c r="W94" i="19"/>
  <c r="F94" i="19"/>
  <c r="AH93" i="19"/>
  <c r="AG93" i="19"/>
  <c r="AF93" i="19"/>
  <c r="AE93" i="19"/>
  <c r="AD93" i="19"/>
  <c r="AC93" i="19"/>
  <c r="AB93" i="19"/>
  <c r="AA93" i="19"/>
  <c r="Z93" i="19"/>
  <c r="Y93" i="19"/>
  <c r="X93" i="19"/>
  <c r="W93" i="19"/>
  <c r="F93" i="19"/>
  <c r="AH92" i="19"/>
  <c r="AG92" i="19"/>
  <c r="AF92" i="19"/>
  <c r="AE92" i="19"/>
  <c r="AD92" i="19"/>
  <c r="AC92" i="19"/>
  <c r="AB92" i="19"/>
  <c r="AA92" i="19"/>
  <c r="Z92" i="19"/>
  <c r="Y92" i="19"/>
  <c r="X92" i="19"/>
  <c r="W92" i="19"/>
  <c r="F92" i="19"/>
  <c r="AH91" i="19"/>
  <c r="AG91" i="19"/>
  <c r="AF91" i="19"/>
  <c r="AE91" i="19"/>
  <c r="AD91" i="19"/>
  <c r="AC91" i="19"/>
  <c r="AB91" i="19"/>
  <c r="AA91" i="19"/>
  <c r="Z91" i="19"/>
  <c r="Y91" i="19"/>
  <c r="X91" i="19"/>
  <c r="W91" i="19"/>
  <c r="F91" i="19"/>
  <c r="AH90" i="19"/>
  <c r="AG90" i="19"/>
  <c r="AF90" i="19"/>
  <c r="AE90" i="19"/>
  <c r="AD90" i="19"/>
  <c r="AC90" i="19"/>
  <c r="AB90" i="19"/>
  <c r="AA90" i="19"/>
  <c r="Z90" i="19"/>
  <c r="Y90" i="19"/>
  <c r="X90" i="19"/>
  <c r="W90" i="19"/>
  <c r="F90" i="19"/>
  <c r="AH89" i="19"/>
  <c r="AG89" i="19"/>
  <c r="AF89" i="19"/>
  <c r="AE89" i="19"/>
  <c r="AD89" i="19"/>
  <c r="AC89" i="19"/>
  <c r="AB89" i="19"/>
  <c r="AA89" i="19"/>
  <c r="Z89" i="19"/>
  <c r="Y89" i="19"/>
  <c r="X89" i="19"/>
  <c r="W89" i="19"/>
  <c r="F89" i="19"/>
  <c r="AH88" i="19"/>
  <c r="AG88" i="19"/>
  <c r="AF88" i="19"/>
  <c r="AE88" i="19"/>
  <c r="AD88" i="19"/>
  <c r="AC88" i="19"/>
  <c r="AB88" i="19"/>
  <c r="AA88" i="19"/>
  <c r="Z88" i="19"/>
  <c r="Y88" i="19"/>
  <c r="X88" i="19"/>
  <c r="W88" i="19"/>
  <c r="F88" i="19"/>
  <c r="AH87" i="19"/>
  <c r="AG87" i="19"/>
  <c r="AF87" i="19"/>
  <c r="AE87" i="19"/>
  <c r="AD87" i="19"/>
  <c r="AC87" i="19"/>
  <c r="AB87" i="19"/>
  <c r="AA87" i="19"/>
  <c r="Z87" i="19"/>
  <c r="Y87" i="19"/>
  <c r="X87" i="19"/>
  <c r="W87" i="19"/>
  <c r="F87" i="19"/>
  <c r="AH86" i="19"/>
  <c r="AG86" i="19"/>
  <c r="AF86" i="19"/>
  <c r="AE86" i="19"/>
  <c r="AD86" i="19"/>
  <c r="AC86" i="19"/>
  <c r="AB86" i="19"/>
  <c r="AA86" i="19"/>
  <c r="Z86" i="19"/>
  <c r="Y86" i="19"/>
  <c r="X86" i="19"/>
  <c r="W86" i="19"/>
  <c r="F86" i="19"/>
  <c r="AH85" i="19"/>
  <c r="AG85" i="19"/>
  <c r="AF85" i="19"/>
  <c r="AE85" i="19"/>
  <c r="AD85" i="19"/>
  <c r="AC85" i="19"/>
  <c r="AB85" i="19"/>
  <c r="AA85" i="19"/>
  <c r="Z85" i="19"/>
  <c r="Y85" i="19"/>
  <c r="X85" i="19"/>
  <c r="W85" i="19"/>
  <c r="F85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F84" i="19"/>
  <c r="AH83" i="19"/>
  <c r="AG83" i="19"/>
  <c r="AF83" i="19"/>
  <c r="AE83" i="19"/>
  <c r="AD83" i="19"/>
  <c r="AC83" i="19"/>
  <c r="AB83" i="19"/>
  <c r="AA83" i="19"/>
  <c r="Z83" i="19"/>
  <c r="Y83" i="19"/>
  <c r="X83" i="19"/>
  <c r="W83" i="19"/>
  <c r="F83" i="19"/>
  <c r="AH82" i="19"/>
  <c r="AG82" i="19"/>
  <c r="AF82" i="19"/>
  <c r="AE82" i="19"/>
  <c r="AD82" i="19"/>
  <c r="AC82" i="19"/>
  <c r="AB82" i="19"/>
  <c r="AA82" i="19"/>
  <c r="Z82" i="19"/>
  <c r="Y82" i="19"/>
  <c r="X82" i="19"/>
  <c r="W82" i="19"/>
  <c r="F82" i="19"/>
  <c r="AH81" i="19"/>
  <c r="AG81" i="19"/>
  <c r="AF81" i="19"/>
  <c r="AE81" i="19"/>
  <c r="AD81" i="19"/>
  <c r="AC81" i="19"/>
  <c r="AB81" i="19"/>
  <c r="AA81" i="19"/>
  <c r="Z81" i="19"/>
  <c r="Y81" i="19"/>
  <c r="X81" i="19"/>
  <c r="W81" i="19"/>
  <c r="F81" i="19"/>
  <c r="AH80" i="19"/>
  <c r="AG80" i="19"/>
  <c r="AF80" i="19"/>
  <c r="AE80" i="19"/>
  <c r="AD80" i="19"/>
  <c r="AC80" i="19"/>
  <c r="AB80" i="19"/>
  <c r="AA80" i="19"/>
  <c r="Z80" i="19"/>
  <c r="Y80" i="19"/>
  <c r="X80" i="19"/>
  <c r="W80" i="19"/>
  <c r="F80" i="19"/>
  <c r="AH79" i="19"/>
  <c r="AG79" i="19"/>
  <c r="AF79" i="19"/>
  <c r="AE79" i="19"/>
  <c r="AD79" i="19"/>
  <c r="AC79" i="19"/>
  <c r="AB79" i="19"/>
  <c r="AA79" i="19"/>
  <c r="Z79" i="19"/>
  <c r="Y79" i="19"/>
  <c r="X79" i="19"/>
  <c r="W79" i="19"/>
  <c r="F79" i="19"/>
  <c r="AH78" i="19"/>
  <c r="AG78" i="19"/>
  <c r="AF78" i="19"/>
  <c r="AE78" i="19"/>
  <c r="AD78" i="19"/>
  <c r="AC78" i="19"/>
  <c r="AB78" i="19"/>
  <c r="AA78" i="19"/>
  <c r="Z78" i="19"/>
  <c r="Y78" i="19"/>
  <c r="X78" i="19"/>
  <c r="W78" i="19"/>
  <c r="F78" i="19"/>
  <c r="AH77" i="19"/>
  <c r="AG77" i="19"/>
  <c r="AF77" i="19"/>
  <c r="AE77" i="19"/>
  <c r="AD77" i="19"/>
  <c r="AC77" i="19"/>
  <c r="AB77" i="19"/>
  <c r="AA77" i="19"/>
  <c r="Z77" i="19"/>
  <c r="Y77" i="19"/>
  <c r="X77" i="19"/>
  <c r="W77" i="19"/>
  <c r="F77" i="19"/>
  <c r="AH76" i="19"/>
  <c r="AG76" i="19"/>
  <c r="AF76" i="19"/>
  <c r="AE76" i="19"/>
  <c r="AD76" i="19"/>
  <c r="AC76" i="19"/>
  <c r="AB76" i="19"/>
  <c r="AA76" i="19"/>
  <c r="Z76" i="19"/>
  <c r="Y76" i="19"/>
  <c r="X76" i="19"/>
  <c r="W76" i="19"/>
  <c r="F76" i="19"/>
  <c r="AH75" i="19"/>
  <c r="AG75" i="19"/>
  <c r="AF75" i="19"/>
  <c r="AE75" i="19"/>
  <c r="AD75" i="19"/>
  <c r="AC75" i="19"/>
  <c r="AB75" i="19"/>
  <c r="AA75" i="19"/>
  <c r="Z75" i="19"/>
  <c r="Y75" i="19"/>
  <c r="X75" i="19"/>
  <c r="W75" i="19"/>
  <c r="F75" i="19"/>
  <c r="AH74" i="19"/>
  <c r="AG74" i="19"/>
  <c r="AF74" i="19"/>
  <c r="AE74" i="19"/>
  <c r="AD74" i="19"/>
  <c r="AC74" i="19"/>
  <c r="AB74" i="19"/>
  <c r="AA74" i="19"/>
  <c r="Z74" i="19"/>
  <c r="Y74" i="19"/>
  <c r="X74" i="19"/>
  <c r="W74" i="19"/>
  <c r="F74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F73" i="19"/>
  <c r="AH72" i="19"/>
  <c r="AG72" i="19"/>
  <c r="AF72" i="19"/>
  <c r="AE72" i="19"/>
  <c r="AD72" i="19"/>
  <c r="AC72" i="19"/>
  <c r="AB72" i="19"/>
  <c r="AA72" i="19"/>
  <c r="Z72" i="19"/>
  <c r="Y72" i="19"/>
  <c r="X72" i="19"/>
  <c r="W72" i="19"/>
  <c r="F72" i="19"/>
  <c r="AH71" i="19"/>
  <c r="AG71" i="19"/>
  <c r="AF71" i="19"/>
  <c r="AE71" i="19"/>
  <c r="AD71" i="19"/>
  <c r="AC71" i="19"/>
  <c r="AB71" i="19"/>
  <c r="AA71" i="19"/>
  <c r="Z71" i="19"/>
  <c r="Y71" i="19"/>
  <c r="X71" i="19"/>
  <c r="W71" i="19"/>
  <c r="F71" i="19"/>
  <c r="AH70" i="19"/>
  <c r="AG70" i="19"/>
  <c r="AF70" i="19"/>
  <c r="AE70" i="19"/>
  <c r="AD70" i="19"/>
  <c r="AC70" i="19"/>
  <c r="AB70" i="19"/>
  <c r="AA70" i="19"/>
  <c r="Z70" i="19"/>
  <c r="Y70" i="19"/>
  <c r="X70" i="19"/>
  <c r="W70" i="19"/>
  <c r="F70" i="19"/>
  <c r="AH69" i="19"/>
  <c r="AG69" i="19"/>
  <c r="AF69" i="19"/>
  <c r="AE69" i="19"/>
  <c r="AD69" i="19"/>
  <c r="AC69" i="19"/>
  <c r="AB69" i="19"/>
  <c r="AA69" i="19"/>
  <c r="Z69" i="19"/>
  <c r="Y69" i="19"/>
  <c r="X69" i="19"/>
  <c r="W69" i="19"/>
  <c r="F69" i="19"/>
  <c r="AH68" i="19"/>
  <c r="AG68" i="19"/>
  <c r="AF68" i="19"/>
  <c r="AE68" i="19"/>
  <c r="AD68" i="19"/>
  <c r="AC68" i="19"/>
  <c r="AB68" i="19"/>
  <c r="AA68" i="19"/>
  <c r="Z68" i="19"/>
  <c r="Y68" i="19"/>
  <c r="X68" i="19"/>
  <c r="W68" i="19"/>
  <c r="F68" i="19"/>
  <c r="AH67" i="19"/>
  <c r="AG67" i="19"/>
  <c r="AF67" i="19"/>
  <c r="AE67" i="19"/>
  <c r="AD67" i="19"/>
  <c r="AC67" i="19"/>
  <c r="AB67" i="19"/>
  <c r="AA67" i="19"/>
  <c r="Z67" i="19"/>
  <c r="Y67" i="19"/>
  <c r="X67" i="19"/>
  <c r="W67" i="19"/>
  <c r="F67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F66" i="19"/>
  <c r="AH65" i="19"/>
  <c r="AG65" i="19"/>
  <c r="AF65" i="19"/>
  <c r="AE65" i="19"/>
  <c r="AD65" i="19"/>
  <c r="AC65" i="19"/>
  <c r="AB65" i="19"/>
  <c r="AA65" i="19"/>
  <c r="Z65" i="19"/>
  <c r="Y65" i="19"/>
  <c r="X65" i="19"/>
  <c r="W65" i="19"/>
  <c r="F65" i="19"/>
  <c r="AH64" i="19"/>
  <c r="AG64" i="19"/>
  <c r="AF64" i="19"/>
  <c r="AE64" i="19"/>
  <c r="AD64" i="19"/>
  <c r="AC64" i="19"/>
  <c r="AB64" i="19"/>
  <c r="AA64" i="19"/>
  <c r="Z64" i="19"/>
  <c r="Y64" i="19"/>
  <c r="X64" i="19"/>
  <c r="W64" i="19"/>
  <c r="F64" i="19"/>
  <c r="AH63" i="19"/>
  <c r="AG63" i="19"/>
  <c r="AF63" i="19"/>
  <c r="AE63" i="19"/>
  <c r="AD63" i="19"/>
  <c r="AC63" i="19"/>
  <c r="AB63" i="19"/>
  <c r="AA63" i="19"/>
  <c r="Z63" i="19"/>
  <c r="Y63" i="19"/>
  <c r="X63" i="19"/>
  <c r="W63" i="19"/>
  <c r="F63" i="19"/>
  <c r="AH62" i="19"/>
  <c r="AG62" i="19"/>
  <c r="AF62" i="19"/>
  <c r="AE62" i="19"/>
  <c r="AD62" i="19"/>
  <c r="AC62" i="19"/>
  <c r="AB62" i="19"/>
  <c r="AA62" i="19"/>
  <c r="Z62" i="19"/>
  <c r="Y62" i="19"/>
  <c r="X62" i="19"/>
  <c r="W62" i="19"/>
  <c r="F62" i="19"/>
  <c r="AH61" i="19"/>
  <c r="AG61" i="19"/>
  <c r="AF61" i="19"/>
  <c r="AE61" i="19"/>
  <c r="AD61" i="19"/>
  <c r="AC61" i="19"/>
  <c r="AB61" i="19"/>
  <c r="AA61" i="19"/>
  <c r="Z61" i="19"/>
  <c r="Y61" i="19"/>
  <c r="X61" i="19"/>
  <c r="W61" i="19"/>
  <c r="F61" i="19"/>
  <c r="AH60" i="19"/>
  <c r="AG60" i="19"/>
  <c r="AF60" i="19"/>
  <c r="AE60" i="19"/>
  <c r="AD60" i="19"/>
  <c r="AC60" i="19"/>
  <c r="AB60" i="19"/>
  <c r="AA60" i="19"/>
  <c r="Z60" i="19"/>
  <c r="Y60" i="19"/>
  <c r="X60" i="19"/>
  <c r="W60" i="19"/>
  <c r="F60" i="19"/>
  <c r="AH59" i="19"/>
  <c r="AG59" i="19"/>
  <c r="AF59" i="19"/>
  <c r="AE59" i="19"/>
  <c r="AD59" i="19"/>
  <c r="AC59" i="19"/>
  <c r="AB59" i="19"/>
  <c r="AA59" i="19"/>
  <c r="Z59" i="19"/>
  <c r="Y59" i="19"/>
  <c r="X59" i="19"/>
  <c r="W59" i="19"/>
  <c r="F59" i="19"/>
  <c r="AH58" i="19"/>
  <c r="AG58" i="19"/>
  <c r="AF58" i="19"/>
  <c r="AE58" i="19"/>
  <c r="AD58" i="19"/>
  <c r="AC58" i="19"/>
  <c r="AB58" i="19"/>
  <c r="AA58" i="19"/>
  <c r="Z58" i="19"/>
  <c r="Y58" i="19"/>
  <c r="X58" i="19"/>
  <c r="W58" i="19"/>
  <c r="F58" i="19"/>
  <c r="AH57" i="19"/>
  <c r="AG57" i="19"/>
  <c r="AF57" i="19"/>
  <c r="AE57" i="19"/>
  <c r="AD57" i="19"/>
  <c r="AC57" i="19"/>
  <c r="AB57" i="19"/>
  <c r="AA57" i="19"/>
  <c r="Z57" i="19"/>
  <c r="Y57" i="19"/>
  <c r="X57" i="19"/>
  <c r="W57" i="19"/>
  <c r="F57" i="19"/>
  <c r="AH56" i="19"/>
  <c r="AG56" i="19"/>
  <c r="AF56" i="19"/>
  <c r="AE56" i="19"/>
  <c r="AD56" i="19"/>
  <c r="AC56" i="19"/>
  <c r="AB56" i="19"/>
  <c r="AA56" i="19"/>
  <c r="Z56" i="19"/>
  <c r="Y56" i="19"/>
  <c r="X56" i="19"/>
  <c r="W56" i="19"/>
  <c r="F56" i="19"/>
  <c r="AH55" i="19"/>
  <c r="AG55" i="19"/>
  <c r="AF55" i="19"/>
  <c r="AE55" i="19"/>
  <c r="AD55" i="19"/>
  <c r="AC55" i="19"/>
  <c r="AB55" i="19"/>
  <c r="AA55" i="19"/>
  <c r="Z55" i="19"/>
  <c r="Y55" i="19"/>
  <c r="X55" i="19"/>
  <c r="W55" i="19"/>
  <c r="F55" i="19"/>
  <c r="AH54" i="19"/>
  <c r="AG54" i="19"/>
  <c r="AF54" i="19"/>
  <c r="AE54" i="19"/>
  <c r="AD54" i="19"/>
  <c r="AC54" i="19"/>
  <c r="AB54" i="19"/>
  <c r="AA54" i="19"/>
  <c r="Z54" i="19"/>
  <c r="Y54" i="19"/>
  <c r="X54" i="19"/>
  <c r="W54" i="19"/>
  <c r="F54" i="19"/>
  <c r="AH53" i="19"/>
  <c r="AG53" i="19"/>
  <c r="AF53" i="19"/>
  <c r="AE53" i="19"/>
  <c r="AD53" i="19"/>
  <c r="AC53" i="19"/>
  <c r="AB53" i="19"/>
  <c r="AA53" i="19"/>
  <c r="Z53" i="19"/>
  <c r="Y53" i="19"/>
  <c r="X53" i="19"/>
  <c r="W53" i="19"/>
  <c r="F53" i="19"/>
  <c r="AH52" i="19"/>
  <c r="AG52" i="19"/>
  <c r="AF52" i="19"/>
  <c r="AE52" i="19"/>
  <c r="AD52" i="19"/>
  <c r="AC52" i="19"/>
  <c r="AB52" i="19"/>
  <c r="AA52" i="19"/>
  <c r="Z52" i="19"/>
  <c r="Y52" i="19"/>
  <c r="X52" i="19"/>
  <c r="W52" i="19"/>
  <c r="F52" i="19"/>
  <c r="AH51" i="19"/>
  <c r="AG51" i="19"/>
  <c r="AF51" i="19"/>
  <c r="AE51" i="19"/>
  <c r="AD51" i="19"/>
  <c r="AC51" i="19"/>
  <c r="AB51" i="19"/>
  <c r="AA51" i="19"/>
  <c r="Z51" i="19"/>
  <c r="Y51" i="19"/>
  <c r="X51" i="19"/>
  <c r="W51" i="19"/>
  <c r="F51" i="19"/>
  <c r="AH50" i="19"/>
  <c r="AG50" i="19"/>
  <c r="AF50" i="19"/>
  <c r="AE50" i="19"/>
  <c r="AD50" i="19"/>
  <c r="AC50" i="19"/>
  <c r="AB50" i="19"/>
  <c r="AA50" i="19"/>
  <c r="Z50" i="19"/>
  <c r="Y50" i="19"/>
  <c r="X50" i="19"/>
  <c r="W50" i="19"/>
  <c r="F50" i="19"/>
  <c r="AH49" i="19"/>
  <c r="AG49" i="19"/>
  <c r="AF49" i="19"/>
  <c r="AE49" i="19"/>
  <c r="AD49" i="19"/>
  <c r="AC49" i="19"/>
  <c r="AB49" i="19"/>
  <c r="AA49" i="19"/>
  <c r="Z49" i="19"/>
  <c r="Y49" i="19"/>
  <c r="X49" i="19"/>
  <c r="W49" i="19"/>
  <c r="F49" i="19"/>
  <c r="AH48" i="19"/>
  <c r="AG48" i="19"/>
  <c r="AF48" i="19"/>
  <c r="AE48" i="19"/>
  <c r="AD48" i="19"/>
  <c r="AC48" i="19"/>
  <c r="AB48" i="19"/>
  <c r="AA48" i="19"/>
  <c r="Z48" i="19"/>
  <c r="Y48" i="19"/>
  <c r="X48" i="19"/>
  <c r="W48" i="19"/>
  <c r="F48" i="19"/>
  <c r="AH47" i="19"/>
  <c r="AG47" i="19"/>
  <c r="AF47" i="19"/>
  <c r="AE47" i="19"/>
  <c r="AD47" i="19"/>
  <c r="AC47" i="19"/>
  <c r="AB47" i="19"/>
  <c r="AA47" i="19"/>
  <c r="Z47" i="19"/>
  <c r="Y47" i="19"/>
  <c r="X47" i="19"/>
  <c r="W47" i="19"/>
  <c r="F47" i="19"/>
  <c r="AH46" i="19"/>
  <c r="AG46" i="19"/>
  <c r="AF46" i="19"/>
  <c r="AE46" i="19"/>
  <c r="AD46" i="19"/>
  <c r="AC46" i="19"/>
  <c r="AB46" i="19"/>
  <c r="AA46" i="19"/>
  <c r="Z46" i="19"/>
  <c r="Y46" i="19"/>
  <c r="X46" i="19"/>
  <c r="W46" i="19"/>
  <c r="F46" i="19"/>
  <c r="AH45" i="19"/>
  <c r="AG45" i="19"/>
  <c r="AF45" i="19"/>
  <c r="AE45" i="19"/>
  <c r="AD45" i="19"/>
  <c r="AC45" i="19"/>
  <c r="AB45" i="19"/>
  <c r="AA45" i="19"/>
  <c r="Z45" i="19"/>
  <c r="Y45" i="19"/>
  <c r="X45" i="19"/>
  <c r="W45" i="19"/>
  <c r="F45" i="19"/>
  <c r="AH44" i="19"/>
  <c r="AG44" i="19"/>
  <c r="AF44" i="19"/>
  <c r="AE44" i="19"/>
  <c r="AD44" i="19"/>
  <c r="AC44" i="19"/>
  <c r="AB44" i="19"/>
  <c r="AA44" i="19"/>
  <c r="Z44" i="19"/>
  <c r="Y44" i="19"/>
  <c r="X44" i="19"/>
  <c r="W44" i="19"/>
  <c r="F44" i="19"/>
  <c r="AH43" i="19"/>
  <c r="AG43" i="19"/>
  <c r="AF43" i="19"/>
  <c r="AE43" i="19"/>
  <c r="AD43" i="19"/>
  <c r="AC43" i="19"/>
  <c r="AB43" i="19"/>
  <c r="AA43" i="19"/>
  <c r="Z43" i="19"/>
  <c r="Y43" i="19"/>
  <c r="X43" i="19"/>
  <c r="W43" i="19"/>
  <c r="F43" i="19"/>
  <c r="AH42" i="19"/>
  <c r="AG42" i="19"/>
  <c r="AF42" i="19"/>
  <c r="AE42" i="19"/>
  <c r="AD42" i="19"/>
  <c r="AC42" i="19"/>
  <c r="AB42" i="19"/>
  <c r="AA42" i="19"/>
  <c r="Z42" i="19"/>
  <c r="Y42" i="19"/>
  <c r="X42" i="19"/>
  <c r="W42" i="19"/>
  <c r="F42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F41" i="19"/>
  <c r="AH40" i="19"/>
  <c r="AG40" i="19"/>
  <c r="AF40" i="19"/>
  <c r="AE40" i="19"/>
  <c r="AD40" i="19"/>
  <c r="AC40" i="19"/>
  <c r="AB40" i="19"/>
  <c r="AA40" i="19"/>
  <c r="Z40" i="19"/>
  <c r="Y40" i="19"/>
  <c r="X40" i="19"/>
  <c r="W40" i="19"/>
  <c r="F40" i="19"/>
  <c r="AH39" i="19"/>
  <c r="AG39" i="19"/>
  <c r="AF39" i="19"/>
  <c r="AE39" i="19"/>
  <c r="AD39" i="19"/>
  <c r="AC39" i="19"/>
  <c r="AB39" i="19"/>
  <c r="AA39" i="19"/>
  <c r="Z39" i="19"/>
  <c r="Y39" i="19"/>
  <c r="X39" i="19"/>
  <c r="W39" i="19"/>
  <c r="F39" i="19"/>
  <c r="AH38" i="19"/>
  <c r="AG38" i="19"/>
  <c r="AF38" i="19"/>
  <c r="AE38" i="19"/>
  <c r="AD38" i="19"/>
  <c r="AC38" i="19"/>
  <c r="AB38" i="19"/>
  <c r="AA38" i="19"/>
  <c r="Z38" i="19"/>
  <c r="Y38" i="19"/>
  <c r="X38" i="19"/>
  <c r="W38" i="19"/>
  <c r="F38" i="19"/>
  <c r="AH37" i="19"/>
  <c r="AG37" i="19"/>
  <c r="AF37" i="19"/>
  <c r="AE37" i="19"/>
  <c r="AD37" i="19"/>
  <c r="AC37" i="19"/>
  <c r="AB37" i="19"/>
  <c r="AA37" i="19"/>
  <c r="Z37" i="19"/>
  <c r="Y37" i="19"/>
  <c r="X37" i="19"/>
  <c r="W37" i="19"/>
  <c r="F37" i="19"/>
  <c r="AH36" i="19"/>
  <c r="AG36" i="19"/>
  <c r="AF36" i="19"/>
  <c r="AE36" i="19"/>
  <c r="AD36" i="19"/>
  <c r="AC36" i="19"/>
  <c r="AB36" i="19"/>
  <c r="AA36" i="19"/>
  <c r="Z36" i="19"/>
  <c r="Y36" i="19"/>
  <c r="X36" i="19"/>
  <c r="W36" i="19"/>
  <c r="F36" i="19"/>
  <c r="AH35" i="19"/>
  <c r="AG35" i="19"/>
  <c r="AF35" i="19"/>
  <c r="AE35" i="19"/>
  <c r="AD35" i="19"/>
  <c r="AC35" i="19"/>
  <c r="AB35" i="19"/>
  <c r="AA35" i="19"/>
  <c r="Z35" i="19"/>
  <c r="Y35" i="19"/>
  <c r="X35" i="19"/>
  <c r="W35" i="19"/>
  <c r="F35" i="19"/>
  <c r="AH34" i="19"/>
  <c r="AG34" i="19"/>
  <c r="AF34" i="19"/>
  <c r="AE34" i="19"/>
  <c r="AD34" i="19"/>
  <c r="AC34" i="19"/>
  <c r="AB34" i="19"/>
  <c r="AA34" i="19"/>
  <c r="Z34" i="19"/>
  <c r="Y34" i="19"/>
  <c r="X34" i="19"/>
  <c r="W34" i="19"/>
  <c r="F34" i="19"/>
  <c r="AH33" i="19"/>
  <c r="AG33" i="19"/>
  <c r="AF33" i="19"/>
  <c r="AE33" i="19"/>
  <c r="AD33" i="19"/>
  <c r="AC33" i="19"/>
  <c r="AB33" i="19"/>
  <c r="AA33" i="19"/>
  <c r="Z33" i="19"/>
  <c r="Y33" i="19"/>
  <c r="X33" i="19"/>
  <c r="W33" i="19"/>
  <c r="F33" i="19"/>
  <c r="AH32" i="19"/>
  <c r="AG32" i="19"/>
  <c r="AF32" i="19"/>
  <c r="AE32" i="19"/>
  <c r="AD32" i="19"/>
  <c r="AC32" i="19"/>
  <c r="AB32" i="19"/>
  <c r="AA32" i="19"/>
  <c r="Z32" i="19"/>
  <c r="Y32" i="19"/>
  <c r="X32" i="19"/>
  <c r="W32" i="19"/>
  <c r="F32" i="19"/>
  <c r="AH31" i="19"/>
  <c r="AG31" i="19"/>
  <c r="AF31" i="19"/>
  <c r="AE31" i="19"/>
  <c r="AD31" i="19"/>
  <c r="AC31" i="19"/>
  <c r="AB31" i="19"/>
  <c r="AA31" i="19"/>
  <c r="Z31" i="19"/>
  <c r="Y31" i="19"/>
  <c r="X31" i="19"/>
  <c r="W31" i="19"/>
  <c r="F31" i="19"/>
  <c r="AH30" i="19"/>
  <c r="AG30" i="19"/>
  <c r="AF30" i="19"/>
  <c r="AE30" i="19"/>
  <c r="AD30" i="19"/>
  <c r="AC30" i="19"/>
  <c r="AB30" i="19"/>
  <c r="AA30" i="19"/>
  <c r="Z30" i="19"/>
  <c r="Y30" i="19"/>
  <c r="X30" i="19"/>
  <c r="W30" i="19"/>
  <c r="F30" i="19"/>
  <c r="AH29" i="19"/>
  <c r="AG29" i="19"/>
  <c r="AF29" i="19"/>
  <c r="AE29" i="19"/>
  <c r="AD29" i="19"/>
  <c r="AC29" i="19"/>
  <c r="AB29" i="19"/>
  <c r="AA29" i="19"/>
  <c r="Z29" i="19"/>
  <c r="Y29" i="19"/>
  <c r="X29" i="19"/>
  <c r="W29" i="19"/>
  <c r="F29" i="19"/>
  <c r="AH28" i="19"/>
  <c r="AG28" i="19"/>
  <c r="AF28" i="19"/>
  <c r="AE28" i="19"/>
  <c r="AD28" i="19"/>
  <c r="AC28" i="19"/>
  <c r="AB28" i="19"/>
  <c r="AA28" i="19"/>
  <c r="Z28" i="19"/>
  <c r="Y28" i="19"/>
  <c r="X28" i="19"/>
  <c r="W28" i="19"/>
  <c r="F28" i="19"/>
  <c r="AH27" i="19"/>
  <c r="AG27" i="19"/>
  <c r="AF27" i="19"/>
  <c r="AE27" i="19"/>
  <c r="AD27" i="19"/>
  <c r="AC27" i="19"/>
  <c r="AB27" i="19"/>
  <c r="AA27" i="19"/>
  <c r="Z27" i="19"/>
  <c r="Y27" i="19"/>
  <c r="X27" i="19"/>
  <c r="W27" i="19"/>
  <c r="F27" i="19"/>
  <c r="AH26" i="19"/>
  <c r="AG26" i="19"/>
  <c r="AF26" i="19"/>
  <c r="AE26" i="19"/>
  <c r="AD26" i="19"/>
  <c r="AC26" i="19"/>
  <c r="AB26" i="19"/>
  <c r="AA26" i="19"/>
  <c r="Z26" i="19"/>
  <c r="Y26" i="19"/>
  <c r="X26" i="19"/>
  <c r="W26" i="19"/>
  <c r="F26" i="19"/>
  <c r="AH25" i="19"/>
  <c r="AG25" i="19"/>
  <c r="AF25" i="19"/>
  <c r="AE25" i="19"/>
  <c r="AD25" i="19"/>
  <c r="AC25" i="19"/>
  <c r="AB25" i="19"/>
  <c r="AA25" i="19"/>
  <c r="Z25" i="19"/>
  <c r="Y25" i="19"/>
  <c r="X25" i="19"/>
  <c r="W25" i="19"/>
  <c r="F25" i="19"/>
  <c r="AH24" i="19"/>
  <c r="AG24" i="19"/>
  <c r="AF24" i="19"/>
  <c r="AE24" i="19"/>
  <c r="AD24" i="19"/>
  <c r="AC24" i="19"/>
  <c r="AB24" i="19"/>
  <c r="AA24" i="19"/>
  <c r="Z24" i="19"/>
  <c r="Y24" i="19"/>
  <c r="X24" i="19"/>
  <c r="W24" i="19"/>
  <c r="F24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F23" i="19"/>
  <c r="AH22" i="19"/>
  <c r="AG22" i="19"/>
  <c r="AF22" i="19"/>
  <c r="AE22" i="19"/>
  <c r="AD22" i="19"/>
  <c r="AC22" i="19"/>
  <c r="AB22" i="19"/>
  <c r="AA22" i="19"/>
  <c r="Z22" i="19"/>
  <c r="Y22" i="19"/>
  <c r="X22" i="19"/>
  <c r="W22" i="19"/>
  <c r="F22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F21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F20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F19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F18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F17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F16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F15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F14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F13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F12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F11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F10" i="19"/>
  <c r="AH9" i="19"/>
  <c r="AG9" i="19"/>
  <c r="AF9" i="19"/>
  <c r="AE9" i="19"/>
  <c r="AD9" i="19"/>
  <c r="AC9" i="19"/>
  <c r="AB9" i="19"/>
  <c r="AA9" i="19"/>
  <c r="Z9" i="19"/>
  <c r="Y9" i="19"/>
  <c r="X9" i="19"/>
  <c r="W9" i="19"/>
  <c r="F9" i="19"/>
  <c r="AH8" i="19"/>
  <c r="AG8" i="19"/>
  <c r="AF8" i="19"/>
  <c r="AE8" i="19"/>
  <c r="AD8" i="19"/>
  <c r="AC8" i="19"/>
  <c r="AB8" i="19"/>
  <c r="AA8" i="19"/>
  <c r="Z8" i="19"/>
  <c r="Y8" i="19"/>
  <c r="X8" i="19"/>
  <c r="W8" i="19"/>
  <c r="F8" i="19"/>
  <c r="AH7" i="19"/>
  <c r="AG7" i="19"/>
  <c r="AF7" i="19"/>
  <c r="AE7" i="19"/>
  <c r="AD7" i="19"/>
  <c r="AC7" i="19"/>
  <c r="AB7" i="19"/>
  <c r="AA7" i="19"/>
  <c r="Z7" i="19"/>
  <c r="Y7" i="19"/>
  <c r="X7" i="19"/>
  <c r="W7" i="19"/>
  <c r="F7" i="19"/>
  <c r="AH6" i="19"/>
  <c r="AG6" i="19"/>
  <c r="AF6" i="19"/>
  <c r="AE6" i="19"/>
  <c r="AD6" i="19"/>
  <c r="AC6" i="19"/>
  <c r="AB6" i="19"/>
  <c r="AA6" i="19"/>
  <c r="Z6" i="19"/>
  <c r="Y6" i="19"/>
  <c r="X6" i="19"/>
  <c r="W6" i="19"/>
  <c r="F6" i="19"/>
  <c r="AH100" i="18"/>
  <c r="AG100" i="18"/>
  <c r="AF100" i="18"/>
  <c r="AE100" i="18"/>
  <c r="AD100" i="18"/>
  <c r="AC100" i="18"/>
  <c r="AB100" i="18"/>
  <c r="AA100" i="18"/>
  <c r="Z100" i="18"/>
  <c r="Y100" i="18"/>
  <c r="X100" i="18"/>
  <c r="W100" i="18"/>
  <c r="F100" i="18"/>
  <c r="AH99" i="18"/>
  <c r="AG99" i="18"/>
  <c r="AF99" i="18"/>
  <c r="AE99" i="18"/>
  <c r="AD99" i="18"/>
  <c r="AC99" i="18"/>
  <c r="AB99" i="18"/>
  <c r="AA99" i="18"/>
  <c r="Z99" i="18"/>
  <c r="Y99" i="18"/>
  <c r="X99" i="18"/>
  <c r="W99" i="18"/>
  <c r="F99" i="18"/>
  <c r="AH98" i="18"/>
  <c r="AG98" i="18"/>
  <c r="AF98" i="18"/>
  <c r="AE98" i="18"/>
  <c r="AD98" i="18"/>
  <c r="AC98" i="18"/>
  <c r="AB98" i="18"/>
  <c r="AA98" i="18"/>
  <c r="Z98" i="18"/>
  <c r="Y98" i="18"/>
  <c r="X98" i="18"/>
  <c r="W98" i="18"/>
  <c r="F98" i="18"/>
  <c r="AH97" i="18"/>
  <c r="AG97" i="18"/>
  <c r="AF97" i="18"/>
  <c r="AE97" i="18"/>
  <c r="AD97" i="18"/>
  <c r="AC97" i="18"/>
  <c r="AB97" i="18"/>
  <c r="AA97" i="18"/>
  <c r="Z97" i="18"/>
  <c r="Y97" i="18"/>
  <c r="X97" i="18"/>
  <c r="W97" i="18"/>
  <c r="F97" i="18"/>
  <c r="AH96" i="18"/>
  <c r="AG96" i="18"/>
  <c r="AF96" i="18"/>
  <c r="AE96" i="18"/>
  <c r="AD96" i="18"/>
  <c r="AC96" i="18"/>
  <c r="AB96" i="18"/>
  <c r="AA96" i="18"/>
  <c r="Z96" i="18"/>
  <c r="Y96" i="18"/>
  <c r="X96" i="18"/>
  <c r="W96" i="18"/>
  <c r="F96" i="18"/>
  <c r="AH95" i="18"/>
  <c r="AG95" i="18"/>
  <c r="AF95" i="18"/>
  <c r="AE95" i="18"/>
  <c r="AD95" i="18"/>
  <c r="AC95" i="18"/>
  <c r="AB95" i="18"/>
  <c r="AA95" i="18"/>
  <c r="Z95" i="18"/>
  <c r="Y95" i="18"/>
  <c r="X95" i="18"/>
  <c r="W95" i="18"/>
  <c r="F95" i="18"/>
  <c r="AH94" i="18"/>
  <c r="AG94" i="18"/>
  <c r="AF94" i="18"/>
  <c r="AE94" i="18"/>
  <c r="AD94" i="18"/>
  <c r="AC94" i="18"/>
  <c r="AB94" i="18"/>
  <c r="AA94" i="18"/>
  <c r="Z94" i="18"/>
  <c r="Y94" i="18"/>
  <c r="X94" i="18"/>
  <c r="W94" i="18"/>
  <c r="F94" i="18"/>
  <c r="AH93" i="18"/>
  <c r="AG93" i="18"/>
  <c r="AF93" i="18"/>
  <c r="AE93" i="18"/>
  <c r="AD93" i="18"/>
  <c r="AC93" i="18"/>
  <c r="AB93" i="18"/>
  <c r="AA93" i="18"/>
  <c r="Z93" i="18"/>
  <c r="Y93" i="18"/>
  <c r="X93" i="18"/>
  <c r="W93" i="18"/>
  <c r="F93" i="18"/>
  <c r="AH92" i="18"/>
  <c r="AG92" i="18"/>
  <c r="AF92" i="18"/>
  <c r="AE92" i="18"/>
  <c r="AD92" i="18"/>
  <c r="AC92" i="18"/>
  <c r="AB92" i="18"/>
  <c r="AA92" i="18"/>
  <c r="Z92" i="18"/>
  <c r="Y92" i="18"/>
  <c r="X92" i="18"/>
  <c r="W92" i="18"/>
  <c r="F92" i="18"/>
  <c r="AH91" i="18"/>
  <c r="AG91" i="18"/>
  <c r="AF91" i="18"/>
  <c r="AE91" i="18"/>
  <c r="AD91" i="18"/>
  <c r="AC91" i="18"/>
  <c r="AB91" i="18"/>
  <c r="AA91" i="18"/>
  <c r="Z91" i="18"/>
  <c r="Y91" i="18"/>
  <c r="X91" i="18"/>
  <c r="W91" i="18"/>
  <c r="F91" i="18"/>
  <c r="AH90" i="18"/>
  <c r="AG90" i="18"/>
  <c r="AF90" i="18"/>
  <c r="AE90" i="18"/>
  <c r="AD90" i="18"/>
  <c r="AC90" i="18"/>
  <c r="AB90" i="18"/>
  <c r="AA90" i="18"/>
  <c r="Z90" i="18"/>
  <c r="Y90" i="18"/>
  <c r="X90" i="18"/>
  <c r="W90" i="18"/>
  <c r="F90" i="18"/>
  <c r="AH89" i="18"/>
  <c r="AG89" i="18"/>
  <c r="AF89" i="18"/>
  <c r="AE89" i="18"/>
  <c r="AD89" i="18"/>
  <c r="AC89" i="18"/>
  <c r="AB89" i="18"/>
  <c r="AA89" i="18"/>
  <c r="Z89" i="18"/>
  <c r="Y89" i="18"/>
  <c r="X89" i="18"/>
  <c r="W89" i="18"/>
  <c r="F89" i="18"/>
  <c r="AH88" i="18"/>
  <c r="AG88" i="18"/>
  <c r="AF88" i="18"/>
  <c r="AE88" i="18"/>
  <c r="AD88" i="18"/>
  <c r="AC88" i="18"/>
  <c r="AB88" i="18"/>
  <c r="AA88" i="18"/>
  <c r="Z88" i="18"/>
  <c r="Y88" i="18"/>
  <c r="X88" i="18"/>
  <c r="W88" i="18"/>
  <c r="F88" i="18"/>
  <c r="AH87" i="18"/>
  <c r="AG87" i="18"/>
  <c r="AF87" i="18"/>
  <c r="AE87" i="18"/>
  <c r="AD87" i="18"/>
  <c r="AC87" i="18"/>
  <c r="AB87" i="18"/>
  <c r="AA87" i="18"/>
  <c r="Z87" i="18"/>
  <c r="Y87" i="18"/>
  <c r="X87" i="18"/>
  <c r="W87" i="18"/>
  <c r="F87" i="18"/>
  <c r="AH86" i="18"/>
  <c r="AG86" i="18"/>
  <c r="AF86" i="18"/>
  <c r="AE86" i="18"/>
  <c r="AD86" i="18"/>
  <c r="AC86" i="18"/>
  <c r="AB86" i="18"/>
  <c r="AA86" i="18"/>
  <c r="Z86" i="18"/>
  <c r="Y86" i="18"/>
  <c r="X86" i="18"/>
  <c r="W86" i="18"/>
  <c r="F86" i="18"/>
  <c r="AH85" i="18"/>
  <c r="AG85" i="18"/>
  <c r="AF85" i="18"/>
  <c r="AE85" i="18"/>
  <c r="AD85" i="18"/>
  <c r="AC85" i="18"/>
  <c r="AB85" i="18"/>
  <c r="AA85" i="18"/>
  <c r="Z85" i="18"/>
  <c r="Y85" i="18"/>
  <c r="X85" i="18"/>
  <c r="W85" i="18"/>
  <c r="F85" i="18"/>
  <c r="AH84" i="18"/>
  <c r="AG84" i="18"/>
  <c r="AF84" i="18"/>
  <c r="AE84" i="18"/>
  <c r="AD84" i="18"/>
  <c r="AC84" i="18"/>
  <c r="AB84" i="18"/>
  <c r="AA84" i="18"/>
  <c r="Z84" i="18"/>
  <c r="Y84" i="18"/>
  <c r="X84" i="18"/>
  <c r="W84" i="18"/>
  <c r="F84" i="18"/>
  <c r="AH83" i="18"/>
  <c r="AG83" i="18"/>
  <c r="AF83" i="18"/>
  <c r="AE83" i="18"/>
  <c r="AD83" i="18"/>
  <c r="AC83" i="18"/>
  <c r="AB83" i="18"/>
  <c r="AA83" i="18"/>
  <c r="Z83" i="18"/>
  <c r="Y83" i="18"/>
  <c r="X83" i="18"/>
  <c r="W83" i="18"/>
  <c r="F83" i="18"/>
  <c r="AH82" i="18"/>
  <c r="AG82" i="18"/>
  <c r="AF82" i="18"/>
  <c r="AE82" i="18"/>
  <c r="AD82" i="18"/>
  <c r="AC82" i="18"/>
  <c r="AB82" i="18"/>
  <c r="AA82" i="18"/>
  <c r="Z82" i="18"/>
  <c r="Y82" i="18"/>
  <c r="X82" i="18"/>
  <c r="W82" i="18"/>
  <c r="F82" i="18"/>
  <c r="AH81" i="18"/>
  <c r="AG81" i="18"/>
  <c r="AF81" i="18"/>
  <c r="AE81" i="18"/>
  <c r="AD81" i="18"/>
  <c r="AC81" i="18"/>
  <c r="AB81" i="18"/>
  <c r="AA81" i="18"/>
  <c r="Z81" i="18"/>
  <c r="Y81" i="18"/>
  <c r="X81" i="18"/>
  <c r="W81" i="18"/>
  <c r="F81" i="18"/>
  <c r="AH80" i="18"/>
  <c r="AG80" i="18"/>
  <c r="AF80" i="18"/>
  <c r="AE80" i="18"/>
  <c r="AD80" i="18"/>
  <c r="AC80" i="18"/>
  <c r="AB80" i="18"/>
  <c r="AA80" i="18"/>
  <c r="Z80" i="18"/>
  <c r="Y80" i="18"/>
  <c r="X80" i="18"/>
  <c r="W80" i="18"/>
  <c r="F80" i="18"/>
  <c r="AH79" i="18"/>
  <c r="AG79" i="18"/>
  <c r="AF79" i="18"/>
  <c r="AE79" i="18"/>
  <c r="AD79" i="18"/>
  <c r="AC79" i="18"/>
  <c r="AB79" i="18"/>
  <c r="AA79" i="18"/>
  <c r="Z79" i="18"/>
  <c r="Y79" i="18"/>
  <c r="X79" i="18"/>
  <c r="W79" i="18"/>
  <c r="F79" i="18"/>
  <c r="AH78" i="18"/>
  <c r="AG78" i="18"/>
  <c r="AF78" i="18"/>
  <c r="AE78" i="18"/>
  <c r="AD78" i="18"/>
  <c r="AC78" i="18"/>
  <c r="AB78" i="18"/>
  <c r="AA78" i="18"/>
  <c r="Z78" i="18"/>
  <c r="Y78" i="18"/>
  <c r="X78" i="18"/>
  <c r="W78" i="18"/>
  <c r="F78" i="18"/>
  <c r="AH77" i="18"/>
  <c r="AG77" i="18"/>
  <c r="AF77" i="18"/>
  <c r="AE77" i="18"/>
  <c r="AD77" i="18"/>
  <c r="AC77" i="18"/>
  <c r="AB77" i="18"/>
  <c r="AA77" i="18"/>
  <c r="Z77" i="18"/>
  <c r="Y77" i="18"/>
  <c r="X77" i="18"/>
  <c r="W77" i="18"/>
  <c r="F77" i="18"/>
  <c r="AH76" i="18"/>
  <c r="AG76" i="18"/>
  <c r="AF76" i="18"/>
  <c r="AE76" i="18"/>
  <c r="AD76" i="18"/>
  <c r="AC76" i="18"/>
  <c r="AB76" i="18"/>
  <c r="AA76" i="18"/>
  <c r="Z76" i="18"/>
  <c r="Y76" i="18"/>
  <c r="X76" i="18"/>
  <c r="W76" i="18"/>
  <c r="F76" i="18"/>
  <c r="AH75" i="18"/>
  <c r="AG75" i="18"/>
  <c r="AF75" i="18"/>
  <c r="AE75" i="18"/>
  <c r="AD75" i="18"/>
  <c r="AC75" i="18"/>
  <c r="AB75" i="18"/>
  <c r="AA75" i="18"/>
  <c r="Z75" i="18"/>
  <c r="Y75" i="18"/>
  <c r="X75" i="18"/>
  <c r="W75" i="18"/>
  <c r="F75" i="18"/>
  <c r="AH74" i="18"/>
  <c r="AG74" i="18"/>
  <c r="AF74" i="18"/>
  <c r="AE74" i="18"/>
  <c r="AD74" i="18"/>
  <c r="AC74" i="18"/>
  <c r="AB74" i="18"/>
  <c r="AA74" i="18"/>
  <c r="Z74" i="18"/>
  <c r="Y74" i="18"/>
  <c r="X74" i="18"/>
  <c r="W74" i="18"/>
  <c r="F74" i="18"/>
  <c r="AH73" i="18"/>
  <c r="AG73" i="18"/>
  <c r="AF73" i="18"/>
  <c r="AE73" i="18"/>
  <c r="AD73" i="18"/>
  <c r="AC73" i="18"/>
  <c r="AB73" i="18"/>
  <c r="AA73" i="18"/>
  <c r="Z73" i="18"/>
  <c r="Y73" i="18"/>
  <c r="X73" i="18"/>
  <c r="W73" i="18"/>
  <c r="F73" i="18"/>
  <c r="AH72" i="18"/>
  <c r="AG72" i="18"/>
  <c r="AF72" i="18"/>
  <c r="AE72" i="18"/>
  <c r="AD72" i="18"/>
  <c r="AC72" i="18"/>
  <c r="AB72" i="18"/>
  <c r="AA72" i="18"/>
  <c r="Z72" i="18"/>
  <c r="Y72" i="18"/>
  <c r="X72" i="18"/>
  <c r="W72" i="18"/>
  <c r="F72" i="18"/>
  <c r="AH71" i="18"/>
  <c r="AG71" i="18"/>
  <c r="AF71" i="18"/>
  <c r="AE71" i="18"/>
  <c r="AD71" i="18"/>
  <c r="AC71" i="18"/>
  <c r="AB71" i="18"/>
  <c r="AA71" i="18"/>
  <c r="Z71" i="18"/>
  <c r="Y71" i="18"/>
  <c r="X71" i="18"/>
  <c r="W71" i="18"/>
  <c r="F71" i="18"/>
  <c r="AH70" i="18"/>
  <c r="AG70" i="18"/>
  <c r="AF70" i="18"/>
  <c r="AE70" i="18"/>
  <c r="AD70" i="18"/>
  <c r="AC70" i="18"/>
  <c r="AB70" i="18"/>
  <c r="AA70" i="18"/>
  <c r="Z70" i="18"/>
  <c r="Y70" i="18"/>
  <c r="X70" i="18"/>
  <c r="W70" i="18"/>
  <c r="F70" i="18"/>
  <c r="AH69" i="18"/>
  <c r="AG69" i="18"/>
  <c r="AF69" i="18"/>
  <c r="AE69" i="18"/>
  <c r="AD69" i="18"/>
  <c r="AC69" i="18"/>
  <c r="AB69" i="18"/>
  <c r="AA69" i="18"/>
  <c r="Z69" i="18"/>
  <c r="Y69" i="18"/>
  <c r="X69" i="18"/>
  <c r="W69" i="18"/>
  <c r="F69" i="18"/>
  <c r="AH68" i="18"/>
  <c r="AG68" i="18"/>
  <c r="AF68" i="18"/>
  <c r="AE68" i="18"/>
  <c r="AD68" i="18"/>
  <c r="AC68" i="18"/>
  <c r="AB68" i="18"/>
  <c r="AA68" i="18"/>
  <c r="Z68" i="18"/>
  <c r="Y68" i="18"/>
  <c r="X68" i="18"/>
  <c r="W68" i="18"/>
  <c r="F68" i="18"/>
  <c r="AH67" i="18"/>
  <c r="AG67" i="18"/>
  <c r="AF67" i="18"/>
  <c r="AE67" i="18"/>
  <c r="AD67" i="18"/>
  <c r="AC67" i="18"/>
  <c r="AB67" i="18"/>
  <c r="AA67" i="18"/>
  <c r="Z67" i="18"/>
  <c r="Y67" i="18"/>
  <c r="X67" i="18"/>
  <c r="W67" i="18"/>
  <c r="F67" i="18"/>
  <c r="AH66" i="18"/>
  <c r="AG66" i="18"/>
  <c r="AF66" i="18"/>
  <c r="AE66" i="18"/>
  <c r="AD66" i="18"/>
  <c r="AC66" i="18"/>
  <c r="AB66" i="18"/>
  <c r="AA66" i="18"/>
  <c r="Z66" i="18"/>
  <c r="Y66" i="18"/>
  <c r="X66" i="18"/>
  <c r="W66" i="18"/>
  <c r="F66" i="18"/>
  <c r="AH65" i="18"/>
  <c r="AG65" i="18"/>
  <c r="AF65" i="18"/>
  <c r="AE65" i="18"/>
  <c r="AD65" i="18"/>
  <c r="AC65" i="18"/>
  <c r="AB65" i="18"/>
  <c r="AA65" i="18"/>
  <c r="Z65" i="18"/>
  <c r="Y65" i="18"/>
  <c r="X65" i="18"/>
  <c r="W65" i="18"/>
  <c r="F65" i="18"/>
  <c r="AH64" i="18"/>
  <c r="AG64" i="18"/>
  <c r="AF64" i="18"/>
  <c r="AE64" i="18"/>
  <c r="AD64" i="18"/>
  <c r="AC64" i="18"/>
  <c r="AB64" i="18"/>
  <c r="AA64" i="18"/>
  <c r="Z64" i="18"/>
  <c r="Y64" i="18"/>
  <c r="X64" i="18"/>
  <c r="W64" i="18"/>
  <c r="F64" i="18"/>
  <c r="AH63" i="18"/>
  <c r="AG63" i="18"/>
  <c r="AF63" i="18"/>
  <c r="AE63" i="18"/>
  <c r="AD63" i="18"/>
  <c r="AC63" i="18"/>
  <c r="AB63" i="18"/>
  <c r="AA63" i="18"/>
  <c r="Z63" i="18"/>
  <c r="Y63" i="18"/>
  <c r="X63" i="18"/>
  <c r="W63" i="18"/>
  <c r="F63" i="18"/>
  <c r="AH62" i="18"/>
  <c r="AG62" i="18"/>
  <c r="AF62" i="18"/>
  <c r="AE62" i="18"/>
  <c r="AD62" i="18"/>
  <c r="AC62" i="18"/>
  <c r="AB62" i="18"/>
  <c r="AA62" i="18"/>
  <c r="Z62" i="18"/>
  <c r="Y62" i="18"/>
  <c r="X62" i="18"/>
  <c r="W62" i="18"/>
  <c r="F62" i="18"/>
  <c r="AH61" i="18"/>
  <c r="AG61" i="18"/>
  <c r="AF61" i="18"/>
  <c r="AE61" i="18"/>
  <c r="AD61" i="18"/>
  <c r="AC61" i="18"/>
  <c r="AB61" i="18"/>
  <c r="AA61" i="18"/>
  <c r="Z61" i="18"/>
  <c r="Y61" i="18"/>
  <c r="X61" i="18"/>
  <c r="W61" i="18"/>
  <c r="F61" i="18"/>
  <c r="AH60" i="18"/>
  <c r="AG60" i="18"/>
  <c r="AF60" i="18"/>
  <c r="AE60" i="18"/>
  <c r="AD60" i="18"/>
  <c r="AC60" i="18"/>
  <c r="AB60" i="18"/>
  <c r="AA60" i="18"/>
  <c r="Z60" i="18"/>
  <c r="Y60" i="18"/>
  <c r="X60" i="18"/>
  <c r="W60" i="18"/>
  <c r="F60" i="18"/>
  <c r="AH59" i="18"/>
  <c r="AG59" i="18"/>
  <c r="AF59" i="18"/>
  <c r="AE59" i="18"/>
  <c r="AD59" i="18"/>
  <c r="AC59" i="18"/>
  <c r="AB59" i="18"/>
  <c r="AA59" i="18"/>
  <c r="Z59" i="18"/>
  <c r="Y59" i="18"/>
  <c r="X59" i="18"/>
  <c r="W59" i="18"/>
  <c r="F59" i="18"/>
  <c r="AH58" i="18"/>
  <c r="AG58" i="18"/>
  <c r="AF58" i="18"/>
  <c r="AE58" i="18"/>
  <c r="AD58" i="18"/>
  <c r="AC58" i="18"/>
  <c r="AB58" i="18"/>
  <c r="AA58" i="18"/>
  <c r="Z58" i="18"/>
  <c r="Y58" i="18"/>
  <c r="X58" i="18"/>
  <c r="W58" i="18"/>
  <c r="F58" i="18"/>
  <c r="AH57" i="18"/>
  <c r="AG57" i="18"/>
  <c r="AF57" i="18"/>
  <c r="AE57" i="18"/>
  <c r="AD57" i="18"/>
  <c r="AC57" i="18"/>
  <c r="AB57" i="18"/>
  <c r="AA57" i="18"/>
  <c r="Z57" i="18"/>
  <c r="Y57" i="18"/>
  <c r="X57" i="18"/>
  <c r="W57" i="18"/>
  <c r="F57" i="18"/>
  <c r="AH56" i="18"/>
  <c r="AG56" i="18"/>
  <c r="AF56" i="18"/>
  <c r="AE56" i="18"/>
  <c r="AD56" i="18"/>
  <c r="AC56" i="18"/>
  <c r="AB56" i="18"/>
  <c r="AA56" i="18"/>
  <c r="Z56" i="18"/>
  <c r="Y56" i="18"/>
  <c r="X56" i="18"/>
  <c r="W56" i="18"/>
  <c r="F56" i="18"/>
  <c r="AH55" i="18"/>
  <c r="AG55" i="18"/>
  <c r="AF55" i="18"/>
  <c r="AE55" i="18"/>
  <c r="AD55" i="18"/>
  <c r="AC55" i="18"/>
  <c r="AB55" i="18"/>
  <c r="AA55" i="18"/>
  <c r="Z55" i="18"/>
  <c r="Y55" i="18"/>
  <c r="X55" i="18"/>
  <c r="W55" i="18"/>
  <c r="F55" i="18"/>
  <c r="AH54" i="18"/>
  <c r="AG54" i="18"/>
  <c r="AF54" i="18"/>
  <c r="AE54" i="18"/>
  <c r="AD54" i="18"/>
  <c r="AC54" i="18"/>
  <c r="AB54" i="18"/>
  <c r="AA54" i="18"/>
  <c r="Z54" i="18"/>
  <c r="Y54" i="18"/>
  <c r="X54" i="18"/>
  <c r="W54" i="18"/>
  <c r="F54" i="18"/>
  <c r="AH53" i="18"/>
  <c r="AG53" i="18"/>
  <c r="AF53" i="18"/>
  <c r="AE53" i="18"/>
  <c r="AD53" i="18"/>
  <c r="AC53" i="18"/>
  <c r="AB53" i="18"/>
  <c r="AA53" i="18"/>
  <c r="Z53" i="18"/>
  <c r="Y53" i="18"/>
  <c r="X53" i="18"/>
  <c r="W53" i="18"/>
  <c r="F53" i="18"/>
  <c r="AH52" i="18"/>
  <c r="AG52" i="18"/>
  <c r="AF52" i="18"/>
  <c r="AE52" i="18"/>
  <c r="AD52" i="18"/>
  <c r="AC52" i="18"/>
  <c r="AB52" i="18"/>
  <c r="AA52" i="18"/>
  <c r="Z52" i="18"/>
  <c r="Y52" i="18"/>
  <c r="X52" i="18"/>
  <c r="W52" i="18"/>
  <c r="F52" i="18"/>
  <c r="AH51" i="18"/>
  <c r="AG51" i="18"/>
  <c r="AF51" i="18"/>
  <c r="AE51" i="18"/>
  <c r="AD51" i="18"/>
  <c r="AC51" i="18"/>
  <c r="AB51" i="18"/>
  <c r="AA51" i="18"/>
  <c r="Z51" i="18"/>
  <c r="Y51" i="18"/>
  <c r="X51" i="18"/>
  <c r="W51" i="18"/>
  <c r="F51" i="18"/>
  <c r="AH50" i="18"/>
  <c r="AG50" i="18"/>
  <c r="AF50" i="18"/>
  <c r="AE50" i="18"/>
  <c r="AD50" i="18"/>
  <c r="AC50" i="18"/>
  <c r="AB50" i="18"/>
  <c r="AA50" i="18"/>
  <c r="Z50" i="18"/>
  <c r="Y50" i="18"/>
  <c r="X50" i="18"/>
  <c r="W50" i="18"/>
  <c r="F50" i="18"/>
  <c r="AH49" i="18"/>
  <c r="AG49" i="18"/>
  <c r="AF49" i="18"/>
  <c r="AE49" i="18"/>
  <c r="AD49" i="18"/>
  <c r="AC49" i="18"/>
  <c r="AB49" i="18"/>
  <c r="AA49" i="18"/>
  <c r="Z49" i="18"/>
  <c r="Y49" i="18"/>
  <c r="X49" i="18"/>
  <c r="W49" i="18"/>
  <c r="F49" i="18"/>
  <c r="AH48" i="18"/>
  <c r="AG48" i="18"/>
  <c r="AF48" i="18"/>
  <c r="AE48" i="18"/>
  <c r="AD48" i="18"/>
  <c r="AC48" i="18"/>
  <c r="AB48" i="18"/>
  <c r="AA48" i="18"/>
  <c r="Z48" i="18"/>
  <c r="Y48" i="18"/>
  <c r="X48" i="18"/>
  <c r="W48" i="18"/>
  <c r="F48" i="18"/>
  <c r="AH47" i="18"/>
  <c r="AG47" i="18"/>
  <c r="AF47" i="18"/>
  <c r="AE47" i="18"/>
  <c r="AD47" i="18"/>
  <c r="AC47" i="18"/>
  <c r="AB47" i="18"/>
  <c r="AA47" i="18"/>
  <c r="Z47" i="18"/>
  <c r="Y47" i="18"/>
  <c r="X47" i="18"/>
  <c r="W47" i="18"/>
  <c r="F47" i="18"/>
  <c r="AH46" i="18"/>
  <c r="AG46" i="18"/>
  <c r="AF46" i="18"/>
  <c r="AE46" i="18"/>
  <c r="AD46" i="18"/>
  <c r="AC46" i="18"/>
  <c r="AB46" i="18"/>
  <c r="AA46" i="18"/>
  <c r="Z46" i="18"/>
  <c r="Y46" i="18"/>
  <c r="X46" i="18"/>
  <c r="W46" i="18"/>
  <c r="F46" i="18"/>
  <c r="AH45" i="18"/>
  <c r="AG45" i="18"/>
  <c r="AF45" i="18"/>
  <c r="AE45" i="18"/>
  <c r="AD45" i="18"/>
  <c r="AC45" i="18"/>
  <c r="AB45" i="18"/>
  <c r="AA45" i="18"/>
  <c r="Z45" i="18"/>
  <c r="Y45" i="18"/>
  <c r="X45" i="18"/>
  <c r="W45" i="18"/>
  <c r="F45" i="18"/>
  <c r="AH44" i="18"/>
  <c r="AG44" i="18"/>
  <c r="AF44" i="18"/>
  <c r="AE44" i="18"/>
  <c r="AD44" i="18"/>
  <c r="AC44" i="18"/>
  <c r="AB44" i="18"/>
  <c r="AA44" i="18"/>
  <c r="Z44" i="18"/>
  <c r="Y44" i="18"/>
  <c r="X44" i="18"/>
  <c r="W44" i="18"/>
  <c r="F44" i="18"/>
  <c r="AH43" i="18"/>
  <c r="AG43" i="18"/>
  <c r="AF43" i="18"/>
  <c r="AE43" i="18"/>
  <c r="AD43" i="18"/>
  <c r="AC43" i="18"/>
  <c r="AB43" i="18"/>
  <c r="AA43" i="18"/>
  <c r="Z43" i="18"/>
  <c r="Y43" i="18"/>
  <c r="X43" i="18"/>
  <c r="W43" i="18"/>
  <c r="F43" i="18"/>
  <c r="AH42" i="18"/>
  <c r="AG42" i="18"/>
  <c r="AF42" i="18"/>
  <c r="AE42" i="18"/>
  <c r="AD42" i="18"/>
  <c r="AC42" i="18"/>
  <c r="AB42" i="18"/>
  <c r="AA42" i="18"/>
  <c r="Z42" i="18"/>
  <c r="Y42" i="18"/>
  <c r="X42" i="18"/>
  <c r="W42" i="18"/>
  <c r="F42" i="18"/>
  <c r="AH41" i="18"/>
  <c r="AG41" i="18"/>
  <c r="AF41" i="18"/>
  <c r="AE41" i="18"/>
  <c r="AD41" i="18"/>
  <c r="AC41" i="18"/>
  <c r="AB41" i="18"/>
  <c r="AA41" i="18"/>
  <c r="Z41" i="18"/>
  <c r="Y41" i="18"/>
  <c r="X41" i="18"/>
  <c r="W41" i="18"/>
  <c r="F41" i="18"/>
  <c r="AH40" i="18"/>
  <c r="AG40" i="18"/>
  <c r="AF40" i="18"/>
  <c r="AE40" i="18"/>
  <c r="AD40" i="18"/>
  <c r="AC40" i="18"/>
  <c r="AB40" i="18"/>
  <c r="AA40" i="18"/>
  <c r="Z40" i="18"/>
  <c r="Y40" i="18"/>
  <c r="X40" i="18"/>
  <c r="W40" i="18"/>
  <c r="F40" i="18"/>
  <c r="AH39" i="18"/>
  <c r="AG39" i="18"/>
  <c r="AF39" i="18"/>
  <c r="AE39" i="18"/>
  <c r="AD39" i="18"/>
  <c r="AC39" i="18"/>
  <c r="AB39" i="18"/>
  <c r="AA39" i="18"/>
  <c r="Z39" i="18"/>
  <c r="Y39" i="18"/>
  <c r="X39" i="18"/>
  <c r="W39" i="18"/>
  <c r="F39" i="18"/>
  <c r="AH38" i="18"/>
  <c r="AG38" i="18"/>
  <c r="AF38" i="18"/>
  <c r="AE38" i="18"/>
  <c r="AD38" i="18"/>
  <c r="AC38" i="18"/>
  <c r="AB38" i="18"/>
  <c r="AA38" i="18"/>
  <c r="Z38" i="18"/>
  <c r="Y38" i="18"/>
  <c r="X38" i="18"/>
  <c r="W38" i="18"/>
  <c r="F38" i="18"/>
  <c r="AH37" i="18"/>
  <c r="AG37" i="18"/>
  <c r="AF37" i="18"/>
  <c r="AE37" i="18"/>
  <c r="AD37" i="18"/>
  <c r="AC37" i="18"/>
  <c r="AB37" i="18"/>
  <c r="AA37" i="18"/>
  <c r="Z37" i="18"/>
  <c r="Y37" i="18"/>
  <c r="X37" i="18"/>
  <c r="W37" i="18"/>
  <c r="F37" i="18"/>
  <c r="AH36" i="18"/>
  <c r="AG36" i="18"/>
  <c r="AF36" i="18"/>
  <c r="AE36" i="18"/>
  <c r="AD36" i="18"/>
  <c r="AC36" i="18"/>
  <c r="AB36" i="18"/>
  <c r="AA36" i="18"/>
  <c r="Z36" i="18"/>
  <c r="Y36" i="18"/>
  <c r="X36" i="18"/>
  <c r="W36" i="18"/>
  <c r="F36" i="18"/>
  <c r="AH35" i="18"/>
  <c r="AG35" i="18"/>
  <c r="AF35" i="18"/>
  <c r="AE35" i="18"/>
  <c r="AD35" i="18"/>
  <c r="AC35" i="18"/>
  <c r="AB35" i="18"/>
  <c r="AA35" i="18"/>
  <c r="Z35" i="18"/>
  <c r="Y35" i="18"/>
  <c r="X35" i="18"/>
  <c r="W35" i="18"/>
  <c r="F35" i="18"/>
  <c r="AH34" i="18"/>
  <c r="AG34" i="18"/>
  <c r="AF34" i="18"/>
  <c r="AE34" i="18"/>
  <c r="AD34" i="18"/>
  <c r="AC34" i="18"/>
  <c r="AB34" i="18"/>
  <c r="AA34" i="18"/>
  <c r="Z34" i="18"/>
  <c r="Y34" i="18"/>
  <c r="X34" i="18"/>
  <c r="W34" i="18"/>
  <c r="F34" i="18"/>
  <c r="AH33" i="18"/>
  <c r="AG33" i="18"/>
  <c r="AF33" i="18"/>
  <c r="AE33" i="18"/>
  <c r="AD33" i="18"/>
  <c r="AC33" i="18"/>
  <c r="AB33" i="18"/>
  <c r="AA33" i="18"/>
  <c r="Z33" i="18"/>
  <c r="Y33" i="18"/>
  <c r="X33" i="18"/>
  <c r="W33" i="18"/>
  <c r="F33" i="18"/>
  <c r="AH32" i="18"/>
  <c r="AG32" i="18"/>
  <c r="AF32" i="18"/>
  <c r="AE32" i="18"/>
  <c r="AD32" i="18"/>
  <c r="AC32" i="18"/>
  <c r="AB32" i="18"/>
  <c r="AA32" i="18"/>
  <c r="Z32" i="18"/>
  <c r="Y32" i="18"/>
  <c r="X32" i="18"/>
  <c r="W32" i="18"/>
  <c r="F32" i="18"/>
  <c r="AH31" i="18"/>
  <c r="AG31" i="18"/>
  <c r="AF31" i="18"/>
  <c r="AE31" i="18"/>
  <c r="AD31" i="18"/>
  <c r="AC31" i="18"/>
  <c r="AB31" i="18"/>
  <c r="AA31" i="18"/>
  <c r="Z31" i="18"/>
  <c r="Y31" i="18"/>
  <c r="X31" i="18"/>
  <c r="W31" i="18"/>
  <c r="F31" i="18"/>
  <c r="AH30" i="18"/>
  <c r="AG30" i="18"/>
  <c r="AF30" i="18"/>
  <c r="AE30" i="18"/>
  <c r="AD30" i="18"/>
  <c r="AC30" i="18"/>
  <c r="AB30" i="18"/>
  <c r="AA30" i="18"/>
  <c r="Z30" i="18"/>
  <c r="Y30" i="18"/>
  <c r="X30" i="18"/>
  <c r="W30" i="18"/>
  <c r="F30" i="18"/>
  <c r="AH29" i="18"/>
  <c r="AG29" i="18"/>
  <c r="AF29" i="18"/>
  <c r="AE29" i="18"/>
  <c r="AD29" i="18"/>
  <c r="AC29" i="18"/>
  <c r="AB29" i="18"/>
  <c r="AA29" i="18"/>
  <c r="Z29" i="18"/>
  <c r="Y29" i="18"/>
  <c r="X29" i="18"/>
  <c r="W29" i="18"/>
  <c r="F29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F28" i="18"/>
  <c r="AH27" i="18"/>
  <c r="AG27" i="18"/>
  <c r="AF27" i="18"/>
  <c r="AE27" i="18"/>
  <c r="AD27" i="18"/>
  <c r="AC27" i="18"/>
  <c r="AB27" i="18"/>
  <c r="AA27" i="18"/>
  <c r="Z27" i="18"/>
  <c r="Y27" i="18"/>
  <c r="X27" i="18"/>
  <c r="W27" i="18"/>
  <c r="F27" i="18"/>
  <c r="AH26" i="18"/>
  <c r="AG26" i="18"/>
  <c r="AF26" i="18"/>
  <c r="AE26" i="18"/>
  <c r="AD26" i="18"/>
  <c r="AC26" i="18"/>
  <c r="AB26" i="18"/>
  <c r="AA26" i="18"/>
  <c r="Z26" i="18"/>
  <c r="Y26" i="18"/>
  <c r="X26" i="18"/>
  <c r="W26" i="18"/>
  <c r="F26" i="18"/>
  <c r="AH25" i="18"/>
  <c r="AG25" i="18"/>
  <c r="AF25" i="18"/>
  <c r="AE25" i="18"/>
  <c r="AD25" i="18"/>
  <c r="AC25" i="18"/>
  <c r="AB25" i="18"/>
  <c r="AA25" i="18"/>
  <c r="Z25" i="18"/>
  <c r="Y25" i="18"/>
  <c r="X25" i="18"/>
  <c r="W25" i="18"/>
  <c r="F25" i="18"/>
  <c r="AH24" i="18"/>
  <c r="AG24" i="18"/>
  <c r="AF24" i="18"/>
  <c r="AE24" i="18"/>
  <c r="AD24" i="18"/>
  <c r="AC24" i="18"/>
  <c r="AB24" i="18"/>
  <c r="AA24" i="18"/>
  <c r="Z24" i="18"/>
  <c r="Y24" i="18"/>
  <c r="X24" i="18"/>
  <c r="W24" i="18"/>
  <c r="F24" i="18"/>
  <c r="AH23" i="18"/>
  <c r="AG23" i="18"/>
  <c r="AF23" i="18"/>
  <c r="AE23" i="18"/>
  <c r="AD23" i="18"/>
  <c r="AC23" i="18"/>
  <c r="AB23" i="18"/>
  <c r="AA23" i="18"/>
  <c r="Z23" i="18"/>
  <c r="Y23" i="18"/>
  <c r="X23" i="18"/>
  <c r="W23" i="18"/>
  <c r="F23" i="18"/>
  <c r="AH22" i="18"/>
  <c r="AG22" i="18"/>
  <c r="AF22" i="18"/>
  <c r="AE22" i="18"/>
  <c r="AD22" i="18"/>
  <c r="AC22" i="18"/>
  <c r="AB22" i="18"/>
  <c r="AA22" i="18"/>
  <c r="Z22" i="18"/>
  <c r="Y22" i="18"/>
  <c r="X22" i="18"/>
  <c r="W22" i="18"/>
  <c r="F22" i="18"/>
  <c r="AH21" i="18"/>
  <c r="AG21" i="18"/>
  <c r="AF21" i="18"/>
  <c r="AE21" i="18"/>
  <c r="AD21" i="18"/>
  <c r="AC21" i="18"/>
  <c r="AB21" i="18"/>
  <c r="AA21" i="18"/>
  <c r="Z21" i="18"/>
  <c r="Y21" i="18"/>
  <c r="X21" i="18"/>
  <c r="W21" i="18"/>
  <c r="F21" i="18"/>
  <c r="AH20" i="18"/>
  <c r="AG20" i="18"/>
  <c r="AF20" i="18"/>
  <c r="AE20" i="18"/>
  <c r="AD20" i="18"/>
  <c r="AC20" i="18"/>
  <c r="AB20" i="18"/>
  <c r="AA20" i="18"/>
  <c r="Z20" i="18"/>
  <c r="Y20" i="18"/>
  <c r="X20" i="18"/>
  <c r="W20" i="18"/>
  <c r="F20" i="18"/>
  <c r="AH19" i="18"/>
  <c r="AG19" i="18"/>
  <c r="AF19" i="18"/>
  <c r="AE19" i="18"/>
  <c r="AD19" i="18"/>
  <c r="AC19" i="18"/>
  <c r="AB19" i="18"/>
  <c r="AA19" i="18"/>
  <c r="Z19" i="18"/>
  <c r="Y19" i="18"/>
  <c r="X19" i="18"/>
  <c r="W19" i="18"/>
  <c r="F19" i="18"/>
  <c r="AH18" i="18"/>
  <c r="AG18" i="18"/>
  <c r="AF18" i="18"/>
  <c r="AE18" i="18"/>
  <c r="AD18" i="18"/>
  <c r="AC18" i="18"/>
  <c r="AB18" i="18"/>
  <c r="AA18" i="18"/>
  <c r="Z18" i="18"/>
  <c r="Y18" i="18"/>
  <c r="X18" i="18"/>
  <c r="W18" i="18"/>
  <c r="F18" i="18"/>
  <c r="AH17" i="18"/>
  <c r="AG17" i="18"/>
  <c r="AF17" i="18"/>
  <c r="AE17" i="18"/>
  <c r="AD17" i="18"/>
  <c r="AC17" i="18"/>
  <c r="AB17" i="18"/>
  <c r="AA17" i="18"/>
  <c r="Z17" i="18"/>
  <c r="Y17" i="18"/>
  <c r="X17" i="18"/>
  <c r="W17" i="18"/>
  <c r="F17" i="18"/>
  <c r="AH16" i="18"/>
  <c r="AG16" i="18"/>
  <c r="AF16" i="18"/>
  <c r="AE16" i="18"/>
  <c r="AD16" i="18"/>
  <c r="AC16" i="18"/>
  <c r="AB16" i="18"/>
  <c r="AA16" i="18"/>
  <c r="Z16" i="18"/>
  <c r="Y16" i="18"/>
  <c r="X16" i="18"/>
  <c r="W16" i="18"/>
  <c r="F16" i="18"/>
  <c r="AH15" i="18"/>
  <c r="AG15" i="18"/>
  <c r="AF15" i="18"/>
  <c r="AE15" i="18"/>
  <c r="AD15" i="18"/>
  <c r="AC15" i="18"/>
  <c r="AB15" i="18"/>
  <c r="AA15" i="18"/>
  <c r="Z15" i="18"/>
  <c r="Y15" i="18"/>
  <c r="X15" i="18"/>
  <c r="W15" i="18"/>
  <c r="F15" i="18"/>
  <c r="AH14" i="18"/>
  <c r="AG14" i="18"/>
  <c r="AF14" i="18"/>
  <c r="AE14" i="18"/>
  <c r="AD14" i="18"/>
  <c r="AC14" i="18"/>
  <c r="AB14" i="18"/>
  <c r="AA14" i="18"/>
  <c r="Z14" i="18"/>
  <c r="Y14" i="18"/>
  <c r="X14" i="18"/>
  <c r="W14" i="18"/>
  <c r="F14" i="18"/>
  <c r="AH13" i="18"/>
  <c r="AG13" i="18"/>
  <c r="AF13" i="18"/>
  <c r="AE13" i="18"/>
  <c r="AD13" i="18"/>
  <c r="AC13" i="18"/>
  <c r="AB13" i="18"/>
  <c r="AA13" i="18"/>
  <c r="Z13" i="18"/>
  <c r="Y13" i="18"/>
  <c r="X13" i="18"/>
  <c r="W13" i="18"/>
  <c r="F13" i="18"/>
  <c r="AH12" i="18"/>
  <c r="AG12" i="18"/>
  <c r="AF12" i="18"/>
  <c r="AE12" i="18"/>
  <c r="AD12" i="18"/>
  <c r="AC12" i="18"/>
  <c r="AB12" i="18"/>
  <c r="AA12" i="18"/>
  <c r="Z12" i="18"/>
  <c r="Y12" i="18"/>
  <c r="X12" i="18"/>
  <c r="W12" i="18"/>
  <c r="F12" i="18"/>
  <c r="AH11" i="18"/>
  <c r="AG11" i="18"/>
  <c r="AF11" i="18"/>
  <c r="AE11" i="18"/>
  <c r="AD11" i="18"/>
  <c r="AC11" i="18"/>
  <c r="AB11" i="18"/>
  <c r="AA11" i="18"/>
  <c r="Z11" i="18"/>
  <c r="Y11" i="18"/>
  <c r="X11" i="18"/>
  <c r="W11" i="18"/>
  <c r="F11" i="18"/>
  <c r="AH10" i="18"/>
  <c r="AG10" i="18"/>
  <c r="AF10" i="18"/>
  <c r="AE10" i="18"/>
  <c r="AD10" i="18"/>
  <c r="AC10" i="18"/>
  <c r="AB10" i="18"/>
  <c r="AA10" i="18"/>
  <c r="Z10" i="18"/>
  <c r="Y10" i="18"/>
  <c r="X10" i="18"/>
  <c r="W10" i="18"/>
  <c r="F10" i="18"/>
  <c r="AH9" i="18"/>
  <c r="AG9" i="18"/>
  <c r="AF9" i="18"/>
  <c r="AE9" i="18"/>
  <c r="AD9" i="18"/>
  <c r="AC9" i="18"/>
  <c r="AB9" i="18"/>
  <c r="AA9" i="18"/>
  <c r="Z9" i="18"/>
  <c r="Y9" i="18"/>
  <c r="X9" i="18"/>
  <c r="W9" i="18"/>
  <c r="F9" i="18"/>
  <c r="AH8" i="18"/>
  <c r="AG8" i="18"/>
  <c r="AF8" i="18"/>
  <c r="AE8" i="18"/>
  <c r="AD8" i="18"/>
  <c r="AC8" i="18"/>
  <c r="AB8" i="18"/>
  <c r="AA8" i="18"/>
  <c r="Z8" i="18"/>
  <c r="Y8" i="18"/>
  <c r="X8" i="18"/>
  <c r="W8" i="18"/>
  <c r="F8" i="18"/>
  <c r="AH7" i="18"/>
  <c r="AG7" i="18"/>
  <c r="AF7" i="18"/>
  <c r="AE7" i="18"/>
  <c r="AD7" i="18"/>
  <c r="AC7" i="18"/>
  <c r="AB7" i="18"/>
  <c r="AA7" i="18"/>
  <c r="Z7" i="18"/>
  <c r="Y7" i="18"/>
  <c r="X7" i="18"/>
  <c r="W7" i="18"/>
  <c r="F7" i="18"/>
  <c r="AH6" i="18"/>
  <c r="AG6" i="18"/>
  <c r="AF6" i="18"/>
  <c r="AE6" i="18"/>
  <c r="AD6" i="18"/>
  <c r="AC6" i="18"/>
  <c r="AB6" i="18"/>
  <c r="AA6" i="18"/>
  <c r="Z6" i="18"/>
  <c r="Y6" i="18"/>
  <c r="X6" i="18"/>
  <c r="W6" i="18"/>
  <c r="F6" i="18"/>
  <c r="AH100" i="17"/>
  <c r="AG100" i="17"/>
  <c r="AF100" i="17"/>
  <c r="AE100" i="17"/>
  <c r="AD100" i="17"/>
  <c r="AC100" i="17"/>
  <c r="AB100" i="17"/>
  <c r="AA100" i="17"/>
  <c r="Z100" i="17"/>
  <c r="Y100" i="17"/>
  <c r="X100" i="17"/>
  <c r="W100" i="17"/>
  <c r="F100" i="17"/>
  <c r="AH99" i="17"/>
  <c r="AG99" i="17"/>
  <c r="AF99" i="17"/>
  <c r="AE99" i="17"/>
  <c r="AD99" i="17"/>
  <c r="AC99" i="17"/>
  <c r="AB99" i="17"/>
  <c r="AA99" i="17"/>
  <c r="Z99" i="17"/>
  <c r="Y99" i="17"/>
  <c r="X99" i="17"/>
  <c r="W99" i="17"/>
  <c r="F99" i="17"/>
  <c r="AH98" i="17"/>
  <c r="AG98" i="17"/>
  <c r="AF98" i="17"/>
  <c r="AE98" i="17"/>
  <c r="AD98" i="17"/>
  <c r="AC98" i="17"/>
  <c r="AB98" i="17"/>
  <c r="AA98" i="17"/>
  <c r="Z98" i="17"/>
  <c r="Y98" i="17"/>
  <c r="X98" i="17"/>
  <c r="W98" i="17"/>
  <c r="F98" i="17"/>
  <c r="AH97" i="17"/>
  <c r="AG97" i="17"/>
  <c r="AF97" i="17"/>
  <c r="AE97" i="17"/>
  <c r="AD97" i="17"/>
  <c r="AC97" i="17"/>
  <c r="AB97" i="17"/>
  <c r="AA97" i="17"/>
  <c r="Z97" i="17"/>
  <c r="Y97" i="17"/>
  <c r="X97" i="17"/>
  <c r="W97" i="17"/>
  <c r="F97" i="17"/>
  <c r="AH96" i="17"/>
  <c r="AG96" i="17"/>
  <c r="AF96" i="17"/>
  <c r="AE96" i="17"/>
  <c r="AD96" i="17"/>
  <c r="AC96" i="17"/>
  <c r="AB96" i="17"/>
  <c r="AA96" i="17"/>
  <c r="Z96" i="17"/>
  <c r="Y96" i="17"/>
  <c r="X96" i="17"/>
  <c r="W96" i="17"/>
  <c r="F96" i="17"/>
  <c r="AH95" i="17"/>
  <c r="AG95" i="17"/>
  <c r="AF95" i="17"/>
  <c r="AE95" i="17"/>
  <c r="AD95" i="17"/>
  <c r="AC95" i="17"/>
  <c r="AB95" i="17"/>
  <c r="AA95" i="17"/>
  <c r="Z95" i="17"/>
  <c r="Y95" i="17"/>
  <c r="X95" i="17"/>
  <c r="W95" i="17"/>
  <c r="F95" i="17"/>
  <c r="AH94" i="17"/>
  <c r="AG94" i="17"/>
  <c r="AF94" i="17"/>
  <c r="AE94" i="17"/>
  <c r="AD94" i="17"/>
  <c r="AC94" i="17"/>
  <c r="AB94" i="17"/>
  <c r="AA94" i="17"/>
  <c r="Z94" i="17"/>
  <c r="Y94" i="17"/>
  <c r="X94" i="17"/>
  <c r="W94" i="17"/>
  <c r="F94" i="17"/>
  <c r="AH93" i="17"/>
  <c r="AG93" i="17"/>
  <c r="AF93" i="17"/>
  <c r="AE93" i="17"/>
  <c r="AD93" i="17"/>
  <c r="AC93" i="17"/>
  <c r="AB93" i="17"/>
  <c r="AA93" i="17"/>
  <c r="Z93" i="17"/>
  <c r="Y93" i="17"/>
  <c r="X93" i="17"/>
  <c r="W93" i="17"/>
  <c r="F93" i="17"/>
  <c r="AH92" i="17"/>
  <c r="AG92" i="17"/>
  <c r="AF92" i="17"/>
  <c r="AE92" i="17"/>
  <c r="AD92" i="17"/>
  <c r="AC92" i="17"/>
  <c r="AB92" i="17"/>
  <c r="AA92" i="17"/>
  <c r="Z92" i="17"/>
  <c r="Y92" i="17"/>
  <c r="X92" i="17"/>
  <c r="W92" i="17"/>
  <c r="F92" i="17"/>
  <c r="AH91" i="17"/>
  <c r="AG91" i="17"/>
  <c r="AF91" i="17"/>
  <c r="AE91" i="17"/>
  <c r="AD91" i="17"/>
  <c r="AC91" i="17"/>
  <c r="AB91" i="17"/>
  <c r="AA91" i="17"/>
  <c r="Z91" i="17"/>
  <c r="Y91" i="17"/>
  <c r="X91" i="17"/>
  <c r="W91" i="17"/>
  <c r="F91" i="17"/>
  <c r="AH90" i="17"/>
  <c r="AG90" i="17"/>
  <c r="AF90" i="17"/>
  <c r="AE90" i="17"/>
  <c r="AD90" i="17"/>
  <c r="AC90" i="17"/>
  <c r="AB90" i="17"/>
  <c r="AA90" i="17"/>
  <c r="Z90" i="17"/>
  <c r="Y90" i="17"/>
  <c r="X90" i="17"/>
  <c r="W90" i="17"/>
  <c r="F90" i="17"/>
  <c r="AH89" i="17"/>
  <c r="AG89" i="17"/>
  <c r="AF89" i="17"/>
  <c r="AE89" i="17"/>
  <c r="AD89" i="17"/>
  <c r="AC89" i="17"/>
  <c r="AB89" i="17"/>
  <c r="AA89" i="17"/>
  <c r="Z89" i="17"/>
  <c r="Y89" i="17"/>
  <c r="X89" i="17"/>
  <c r="W89" i="17"/>
  <c r="F89" i="17"/>
  <c r="AH88" i="17"/>
  <c r="AG88" i="17"/>
  <c r="AF88" i="17"/>
  <c r="AE88" i="17"/>
  <c r="AD88" i="17"/>
  <c r="AC88" i="17"/>
  <c r="AB88" i="17"/>
  <c r="AA88" i="17"/>
  <c r="Z88" i="17"/>
  <c r="Y88" i="17"/>
  <c r="X88" i="17"/>
  <c r="W88" i="17"/>
  <c r="F88" i="17"/>
  <c r="AH87" i="17"/>
  <c r="AG87" i="17"/>
  <c r="AF87" i="17"/>
  <c r="AE87" i="17"/>
  <c r="AD87" i="17"/>
  <c r="AC87" i="17"/>
  <c r="AB87" i="17"/>
  <c r="AA87" i="17"/>
  <c r="Z87" i="17"/>
  <c r="Y87" i="17"/>
  <c r="X87" i="17"/>
  <c r="W87" i="17"/>
  <c r="F87" i="17"/>
  <c r="AH86" i="17"/>
  <c r="AG86" i="17"/>
  <c r="AF86" i="17"/>
  <c r="AE86" i="17"/>
  <c r="AD86" i="17"/>
  <c r="AC86" i="17"/>
  <c r="AB86" i="17"/>
  <c r="AA86" i="17"/>
  <c r="Z86" i="17"/>
  <c r="Y86" i="17"/>
  <c r="X86" i="17"/>
  <c r="W86" i="17"/>
  <c r="F86" i="17"/>
  <c r="AH85" i="17"/>
  <c r="AG85" i="17"/>
  <c r="AF85" i="17"/>
  <c r="AE85" i="17"/>
  <c r="AD85" i="17"/>
  <c r="AC85" i="17"/>
  <c r="AB85" i="17"/>
  <c r="AA85" i="17"/>
  <c r="Z85" i="17"/>
  <c r="Y85" i="17"/>
  <c r="X85" i="17"/>
  <c r="W85" i="17"/>
  <c r="F85" i="17"/>
  <c r="AH84" i="17"/>
  <c r="AG84" i="17"/>
  <c r="AF84" i="17"/>
  <c r="AE84" i="17"/>
  <c r="AD84" i="17"/>
  <c r="AC84" i="17"/>
  <c r="AB84" i="17"/>
  <c r="AA84" i="17"/>
  <c r="Z84" i="17"/>
  <c r="Y84" i="17"/>
  <c r="X84" i="17"/>
  <c r="W84" i="17"/>
  <c r="F84" i="17"/>
  <c r="AH83" i="17"/>
  <c r="AG83" i="17"/>
  <c r="AF83" i="17"/>
  <c r="AE83" i="17"/>
  <c r="AD83" i="17"/>
  <c r="AC83" i="17"/>
  <c r="AB83" i="17"/>
  <c r="AA83" i="17"/>
  <c r="Z83" i="17"/>
  <c r="Y83" i="17"/>
  <c r="X83" i="17"/>
  <c r="W83" i="17"/>
  <c r="F83" i="17"/>
  <c r="AH82" i="17"/>
  <c r="AG82" i="17"/>
  <c r="AF82" i="17"/>
  <c r="AE82" i="17"/>
  <c r="AD82" i="17"/>
  <c r="AC82" i="17"/>
  <c r="AB82" i="17"/>
  <c r="AA82" i="17"/>
  <c r="Z82" i="17"/>
  <c r="Y82" i="17"/>
  <c r="X82" i="17"/>
  <c r="W82" i="17"/>
  <c r="F82" i="17"/>
  <c r="AH81" i="17"/>
  <c r="AG81" i="17"/>
  <c r="AF81" i="17"/>
  <c r="AE81" i="17"/>
  <c r="AD81" i="17"/>
  <c r="AC81" i="17"/>
  <c r="AB81" i="17"/>
  <c r="AA81" i="17"/>
  <c r="Z81" i="17"/>
  <c r="Y81" i="17"/>
  <c r="X81" i="17"/>
  <c r="W81" i="17"/>
  <c r="F81" i="17"/>
  <c r="AH80" i="17"/>
  <c r="AG80" i="17"/>
  <c r="AF80" i="17"/>
  <c r="AE80" i="17"/>
  <c r="AD80" i="17"/>
  <c r="AC80" i="17"/>
  <c r="AB80" i="17"/>
  <c r="AA80" i="17"/>
  <c r="Z80" i="17"/>
  <c r="Y80" i="17"/>
  <c r="X80" i="17"/>
  <c r="W80" i="17"/>
  <c r="F80" i="17"/>
  <c r="AH79" i="17"/>
  <c r="AG79" i="17"/>
  <c r="AF79" i="17"/>
  <c r="AE79" i="17"/>
  <c r="AD79" i="17"/>
  <c r="AC79" i="17"/>
  <c r="AB79" i="17"/>
  <c r="AA79" i="17"/>
  <c r="Z79" i="17"/>
  <c r="Y79" i="17"/>
  <c r="X79" i="17"/>
  <c r="W79" i="17"/>
  <c r="F79" i="17"/>
  <c r="AH78" i="17"/>
  <c r="AG78" i="17"/>
  <c r="AF78" i="17"/>
  <c r="AE78" i="17"/>
  <c r="AD78" i="17"/>
  <c r="AC78" i="17"/>
  <c r="AB78" i="17"/>
  <c r="AA78" i="17"/>
  <c r="Z78" i="17"/>
  <c r="Y78" i="17"/>
  <c r="X78" i="17"/>
  <c r="W78" i="17"/>
  <c r="F78" i="17"/>
  <c r="AH77" i="17"/>
  <c r="AG77" i="17"/>
  <c r="AF77" i="17"/>
  <c r="AE77" i="17"/>
  <c r="AD77" i="17"/>
  <c r="AC77" i="17"/>
  <c r="AB77" i="17"/>
  <c r="AA77" i="17"/>
  <c r="Z77" i="17"/>
  <c r="Y77" i="17"/>
  <c r="X77" i="17"/>
  <c r="W77" i="17"/>
  <c r="F77" i="17"/>
  <c r="AH76" i="17"/>
  <c r="AG76" i="17"/>
  <c r="AF76" i="17"/>
  <c r="AE76" i="17"/>
  <c r="AD76" i="17"/>
  <c r="AC76" i="17"/>
  <c r="AB76" i="17"/>
  <c r="AA76" i="17"/>
  <c r="Z76" i="17"/>
  <c r="Y76" i="17"/>
  <c r="X76" i="17"/>
  <c r="W76" i="17"/>
  <c r="F76" i="17"/>
  <c r="AH75" i="17"/>
  <c r="AG75" i="17"/>
  <c r="AF75" i="17"/>
  <c r="AE75" i="17"/>
  <c r="AD75" i="17"/>
  <c r="AC75" i="17"/>
  <c r="AB75" i="17"/>
  <c r="AA75" i="17"/>
  <c r="Z75" i="17"/>
  <c r="Y75" i="17"/>
  <c r="X75" i="17"/>
  <c r="W75" i="17"/>
  <c r="F75" i="17"/>
  <c r="AH74" i="17"/>
  <c r="AG74" i="17"/>
  <c r="AF74" i="17"/>
  <c r="AE74" i="17"/>
  <c r="AD74" i="17"/>
  <c r="AC74" i="17"/>
  <c r="AB74" i="17"/>
  <c r="AA74" i="17"/>
  <c r="Z74" i="17"/>
  <c r="Y74" i="17"/>
  <c r="X74" i="17"/>
  <c r="W74" i="17"/>
  <c r="F74" i="17"/>
  <c r="AH73" i="17"/>
  <c r="AG73" i="17"/>
  <c r="AF73" i="17"/>
  <c r="AE73" i="17"/>
  <c r="AD73" i="17"/>
  <c r="AC73" i="17"/>
  <c r="AB73" i="17"/>
  <c r="AA73" i="17"/>
  <c r="Z73" i="17"/>
  <c r="Y73" i="17"/>
  <c r="X73" i="17"/>
  <c r="W73" i="17"/>
  <c r="F73" i="17"/>
  <c r="AH72" i="17"/>
  <c r="AG72" i="17"/>
  <c r="AF72" i="17"/>
  <c r="AE72" i="17"/>
  <c r="AD72" i="17"/>
  <c r="AC72" i="17"/>
  <c r="AB72" i="17"/>
  <c r="AA72" i="17"/>
  <c r="Z72" i="17"/>
  <c r="Y72" i="17"/>
  <c r="X72" i="17"/>
  <c r="W72" i="17"/>
  <c r="F72" i="17"/>
  <c r="AH71" i="17"/>
  <c r="AG71" i="17"/>
  <c r="AF71" i="17"/>
  <c r="AE71" i="17"/>
  <c r="AD71" i="17"/>
  <c r="AC71" i="17"/>
  <c r="AB71" i="17"/>
  <c r="AA71" i="17"/>
  <c r="Z71" i="17"/>
  <c r="Y71" i="17"/>
  <c r="X71" i="17"/>
  <c r="W71" i="17"/>
  <c r="F71" i="17"/>
  <c r="AH70" i="17"/>
  <c r="AG70" i="17"/>
  <c r="AF70" i="17"/>
  <c r="AE70" i="17"/>
  <c r="AD70" i="17"/>
  <c r="AC70" i="17"/>
  <c r="AB70" i="17"/>
  <c r="AA70" i="17"/>
  <c r="Z70" i="17"/>
  <c r="Y70" i="17"/>
  <c r="X70" i="17"/>
  <c r="W70" i="17"/>
  <c r="F70" i="17"/>
  <c r="AH69" i="17"/>
  <c r="AG69" i="17"/>
  <c r="AF69" i="17"/>
  <c r="AE69" i="17"/>
  <c r="AD69" i="17"/>
  <c r="AC69" i="17"/>
  <c r="AB69" i="17"/>
  <c r="AA69" i="17"/>
  <c r="Z69" i="17"/>
  <c r="Y69" i="17"/>
  <c r="X69" i="17"/>
  <c r="W69" i="17"/>
  <c r="F69" i="17"/>
  <c r="AH68" i="17"/>
  <c r="AG68" i="17"/>
  <c r="AF68" i="17"/>
  <c r="AE68" i="17"/>
  <c r="AD68" i="17"/>
  <c r="AC68" i="17"/>
  <c r="AB68" i="17"/>
  <c r="AA68" i="17"/>
  <c r="Z68" i="17"/>
  <c r="Y68" i="17"/>
  <c r="X68" i="17"/>
  <c r="W68" i="17"/>
  <c r="F68" i="17"/>
  <c r="AH67" i="17"/>
  <c r="AG67" i="17"/>
  <c r="AF67" i="17"/>
  <c r="AE67" i="17"/>
  <c r="AD67" i="17"/>
  <c r="AC67" i="17"/>
  <c r="AB67" i="17"/>
  <c r="AA67" i="17"/>
  <c r="Z67" i="17"/>
  <c r="Y67" i="17"/>
  <c r="X67" i="17"/>
  <c r="W67" i="17"/>
  <c r="F67" i="17"/>
  <c r="AH66" i="17"/>
  <c r="AG66" i="17"/>
  <c r="AF66" i="17"/>
  <c r="AE66" i="17"/>
  <c r="AD66" i="17"/>
  <c r="AC66" i="17"/>
  <c r="AB66" i="17"/>
  <c r="AA66" i="17"/>
  <c r="Z66" i="17"/>
  <c r="Y66" i="17"/>
  <c r="X66" i="17"/>
  <c r="W66" i="17"/>
  <c r="F66" i="17"/>
  <c r="AH65" i="17"/>
  <c r="AG65" i="17"/>
  <c r="AF65" i="17"/>
  <c r="AE65" i="17"/>
  <c r="AD65" i="17"/>
  <c r="AC65" i="17"/>
  <c r="AB65" i="17"/>
  <c r="AA65" i="17"/>
  <c r="Z65" i="17"/>
  <c r="Y65" i="17"/>
  <c r="X65" i="17"/>
  <c r="W65" i="17"/>
  <c r="F65" i="17"/>
  <c r="AH64" i="17"/>
  <c r="AG64" i="17"/>
  <c r="AF64" i="17"/>
  <c r="AE64" i="17"/>
  <c r="AD64" i="17"/>
  <c r="AC64" i="17"/>
  <c r="AB64" i="17"/>
  <c r="AA64" i="17"/>
  <c r="Z64" i="17"/>
  <c r="Y64" i="17"/>
  <c r="X64" i="17"/>
  <c r="W64" i="17"/>
  <c r="F64" i="17"/>
  <c r="AH63" i="17"/>
  <c r="AG63" i="17"/>
  <c r="AF63" i="17"/>
  <c r="AE63" i="17"/>
  <c r="AD63" i="17"/>
  <c r="AC63" i="17"/>
  <c r="AB63" i="17"/>
  <c r="AA63" i="17"/>
  <c r="Z63" i="17"/>
  <c r="Y63" i="17"/>
  <c r="X63" i="17"/>
  <c r="W63" i="17"/>
  <c r="F63" i="17"/>
  <c r="AH62" i="17"/>
  <c r="AG62" i="17"/>
  <c r="AF62" i="17"/>
  <c r="AE62" i="17"/>
  <c r="AD62" i="17"/>
  <c r="AC62" i="17"/>
  <c r="AB62" i="17"/>
  <c r="AA62" i="17"/>
  <c r="Z62" i="17"/>
  <c r="Y62" i="17"/>
  <c r="X62" i="17"/>
  <c r="W62" i="17"/>
  <c r="F62" i="17"/>
  <c r="AH61" i="17"/>
  <c r="AG61" i="17"/>
  <c r="AF61" i="17"/>
  <c r="AE61" i="17"/>
  <c r="AD61" i="17"/>
  <c r="AC61" i="17"/>
  <c r="AB61" i="17"/>
  <c r="AA61" i="17"/>
  <c r="Z61" i="17"/>
  <c r="Y61" i="17"/>
  <c r="X61" i="17"/>
  <c r="W61" i="17"/>
  <c r="F61" i="17"/>
  <c r="AH60" i="17"/>
  <c r="AG60" i="17"/>
  <c r="AF60" i="17"/>
  <c r="AE60" i="17"/>
  <c r="AD60" i="17"/>
  <c r="AC60" i="17"/>
  <c r="AB60" i="17"/>
  <c r="AA60" i="17"/>
  <c r="Z60" i="17"/>
  <c r="Y60" i="17"/>
  <c r="X60" i="17"/>
  <c r="W60" i="17"/>
  <c r="F60" i="17"/>
  <c r="AH59" i="17"/>
  <c r="AG59" i="17"/>
  <c r="AF59" i="17"/>
  <c r="AE59" i="17"/>
  <c r="AD59" i="17"/>
  <c r="AC59" i="17"/>
  <c r="AB59" i="17"/>
  <c r="AA59" i="17"/>
  <c r="Z59" i="17"/>
  <c r="Y59" i="17"/>
  <c r="X59" i="17"/>
  <c r="W59" i="17"/>
  <c r="F59" i="17"/>
  <c r="AH58" i="17"/>
  <c r="AG58" i="17"/>
  <c r="AF58" i="17"/>
  <c r="AE58" i="17"/>
  <c r="AD58" i="17"/>
  <c r="AC58" i="17"/>
  <c r="AB58" i="17"/>
  <c r="AA58" i="17"/>
  <c r="Z58" i="17"/>
  <c r="Y58" i="17"/>
  <c r="X58" i="17"/>
  <c r="W58" i="17"/>
  <c r="F58" i="17"/>
  <c r="AH57" i="17"/>
  <c r="AG57" i="17"/>
  <c r="AF57" i="17"/>
  <c r="AE57" i="17"/>
  <c r="AD57" i="17"/>
  <c r="AC57" i="17"/>
  <c r="AB57" i="17"/>
  <c r="AA57" i="17"/>
  <c r="Z57" i="17"/>
  <c r="Y57" i="17"/>
  <c r="X57" i="17"/>
  <c r="W57" i="17"/>
  <c r="F57" i="17"/>
  <c r="AH56" i="17"/>
  <c r="AG56" i="17"/>
  <c r="AF56" i="17"/>
  <c r="AE56" i="17"/>
  <c r="AD56" i="17"/>
  <c r="AC56" i="17"/>
  <c r="AB56" i="17"/>
  <c r="AA56" i="17"/>
  <c r="Z56" i="17"/>
  <c r="Y56" i="17"/>
  <c r="X56" i="17"/>
  <c r="W56" i="17"/>
  <c r="F56" i="17"/>
  <c r="AH55" i="17"/>
  <c r="AG55" i="17"/>
  <c r="AF55" i="17"/>
  <c r="AE55" i="17"/>
  <c r="AD55" i="17"/>
  <c r="AC55" i="17"/>
  <c r="AB55" i="17"/>
  <c r="AA55" i="17"/>
  <c r="Z55" i="17"/>
  <c r="Y55" i="17"/>
  <c r="X55" i="17"/>
  <c r="W55" i="17"/>
  <c r="F55" i="17"/>
  <c r="AH54" i="17"/>
  <c r="AG54" i="17"/>
  <c r="AF54" i="17"/>
  <c r="AE54" i="17"/>
  <c r="AD54" i="17"/>
  <c r="AC54" i="17"/>
  <c r="AB54" i="17"/>
  <c r="AA54" i="17"/>
  <c r="Z54" i="17"/>
  <c r="Y54" i="17"/>
  <c r="X54" i="17"/>
  <c r="W54" i="17"/>
  <c r="F54" i="17"/>
  <c r="AH53" i="17"/>
  <c r="AG53" i="17"/>
  <c r="AF53" i="17"/>
  <c r="AE53" i="17"/>
  <c r="AD53" i="17"/>
  <c r="AC53" i="17"/>
  <c r="AB53" i="17"/>
  <c r="AA53" i="17"/>
  <c r="Z53" i="17"/>
  <c r="Y53" i="17"/>
  <c r="X53" i="17"/>
  <c r="W53" i="17"/>
  <c r="F53" i="17"/>
  <c r="AH52" i="17"/>
  <c r="AG52" i="17"/>
  <c r="AF52" i="17"/>
  <c r="AE52" i="17"/>
  <c r="AD52" i="17"/>
  <c r="AC52" i="17"/>
  <c r="AB52" i="17"/>
  <c r="AA52" i="17"/>
  <c r="Z52" i="17"/>
  <c r="Y52" i="17"/>
  <c r="X52" i="17"/>
  <c r="W52" i="17"/>
  <c r="F52" i="17"/>
  <c r="AH51" i="17"/>
  <c r="AG51" i="17"/>
  <c r="AF51" i="17"/>
  <c r="AE51" i="17"/>
  <c r="AD51" i="17"/>
  <c r="AC51" i="17"/>
  <c r="AB51" i="17"/>
  <c r="AA51" i="17"/>
  <c r="Z51" i="17"/>
  <c r="Y51" i="17"/>
  <c r="X51" i="17"/>
  <c r="W51" i="17"/>
  <c r="F51" i="17"/>
  <c r="AH50" i="17"/>
  <c r="AG50" i="17"/>
  <c r="AF50" i="17"/>
  <c r="AE50" i="17"/>
  <c r="AD50" i="17"/>
  <c r="AC50" i="17"/>
  <c r="AB50" i="17"/>
  <c r="AA50" i="17"/>
  <c r="Z50" i="17"/>
  <c r="Y50" i="17"/>
  <c r="X50" i="17"/>
  <c r="W50" i="17"/>
  <c r="F50" i="17"/>
  <c r="AH49" i="17"/>
  <c r="AG49" i="17"/>
  <c r="AF49" i="17"/>
  <c r="AE49" i="17"/>
  <c r="AD49" i="17"/>
  <c r="AC49" i="17"/>
  <c r="AB49" i="17"/>
  <c r="AA49" i="17"/>
  <c r="Z49" i="17"/>
  <c r="Y49" i="17"/>
  <c r="X49" i="17"/>
  <c r="W49" i="17"/>
  <c r="F49" i="17"/>
  <c r="AH48" i="17"/>
  <c r="AG48" i="17"/>
  <c r="AF48" i="17"/>
  <c r="AE48" i="17"/>
  <c r="AD48" i="17"/>
  <c r="AC48" i="17"/>
  <c r="AB48" i="17"/>
  <c r="AA48" i="17"/>
  <c r="Z48" i="17"/>
  <c r="Y48" i="17"/>
  <c r="X48" i="17"/>
  <c r="W48" i="17"/>
  <c r="F48" i="17"/>
  <c r="AH47" i="17"/>
  <c r="AG47" i="17"/>
  <c r="AF47" i="17"/>
  <c r="AE47" i="17"/>
  <c r="AD47" i="17"/>
  <c r="AC47" i="17"/>
  <c r="AB47" i="17"/>
  <c r="AA47" i="17"/>
  <c r="Z47" i="17"/>
  <c r="Y47" i="17"/>
  <c r="X47" i="17"/>
  <c r="W47" i="17"/>
  <c r="F47" i="17"/>
  <c r="AH46" i="17"/>
  <c r="AG46" i="17"/>
  <c r="AF46" i="17"/>
  <c r="AE46" i="17"/>
  <c r="AD46" i="17"/>
  <c r="AC46" i="17"/>
  <c r="AB46" i="17"/>
  <c r="AA46" i="17"/>
  <c r="Z46" i="17"/>
  <c r="Y46" i="17"/>
  <c r="X46" i="17"/>
  <c r="W46" i="17"/>
  <c r="F46" i="17"/>
  <c r="AH45" i="17"/>
  <c r="AG45" i="17"/>
  <c r="AF45" i="17"/>
  <c r="AE45" i="17"/>
  <c r="AD45" i="17"/>
  <c r="AC45" i="17"/>
  <c r="AB45" i="17"/>
  <c r="AA45" i="17"/>
  <c r="Z45" i="17"/>
  <c r="Y45" i="17"/>
  <c r="X45" i="17"/>
  <c r="W45" i="17"/>
  <c r="F45" i="17"/>
  <c r="AH44" i="17"/>
  <c r="AG44" i="17"/>
  <c r="AF44" i="17"/>
  <c r="AE44" i="17"/>
  <c r="AD44" i="17"/>
  <c r="AC44" i="17"/>
  <c r="AB44" i="17"/>
  <c r="AA44" i="17"/>
  <c r="Z44" i="17"/>
  <c r="Y44" i="17"/>
  <c r="X44" i="17"/>
  <c r="W44" i="17"/>
  <c r="F44" i="17"/>
  <c r="AH43" i="17"/>
  <c r="AG43" i="17"/>
  <c r="AF43" i="17"/>
  <c r="AE43" i="17"/>
  <c r="AD43" i="17"/>
  <c r="AC43" i="17"/>
  <c r="AB43" i="17"/>
  <c r="AA43" i="17"/>
  <c r="Z43" i="17"/>
  <c r="Y43" i="17"/>
  <c r="X43" i="17"/>
  <c r="W43" i="17"/>
  <c r="F43" i="17"/>
  <c r="AH42" i="17"/>
  <c r="AG42" i="17"/>
  <c r="AF42" i="17"/>
  <c r="AE42" i="17"/>
  <c r="AD42" i="17"/>
  <c r="AC42" i="17"/>
  <c r="AB42" i="17"/>
  <c r="AA42" i="17"/>
  <c r="Z42" i="17"/>
  <c r="Y42" i="17"/>
  <c r="X42" i="17"/>
  <c r="W42" i="17"/>
  <c r="F42" i="17"/>
  <c r="AH41" i="17"/>
  <c r="AG41" i="17"/>
  <c r="AF41" i="17"/>
  <c r="AE41" i="17"/>
  <c r="AD41" i="17"/>
  <c r="AC41" i="17"/>
  <c r="AB41" i="17"/>
  <c r="AA41" i="17"/>
  <c r="Z41" i="17"/>
  <c r="Y41" i="17"/>
  <c r="X41" i="17"/>
  <c r="W41" i="17"/>
  <c r="F41" i="17"/>
  <c r="AH40" i="17"/>
  <c r="AG40" i="17"/>
  <c r="AF40" i="17"/>
  <c r="AE40" i="17"/>
  <c r="AD40" i="17"/>
  <c r="AC40" i="17"/>
  <c r="AB40" i="17"/>
  <c r="AA40" i="17"/>
  <c r="Z40" i="17"/>
  <c r="Y40" i="17"/>
  <c r="X40" i="17"/>
  <c r="W40" i="17"/>
  <c r="F40" i="17"/>
  <c r="AH39" i="17"/>
  <c r="AG39" i="17"/>
  <c r="AF39" i="17"/>
  <c r="AE39" i="17"/>
  <c r="AD39" i="17"/>
  <c r="AC39" i="17"/>
  <c r="AB39" i="17"/>
  <c r="AA39" i="17"/>
  <c r="Z39" i="17"/>
  <c r="Y39" i="17"/>
  <c r="X39" i="17"/>
  <c r="W39" i="17"/>
  <c r="F39" i="17"/>
  <c r="AH38" i="17"/>
  <c r="AG38" i="17"/>
  <c r="AF38" i="17"/>
  <c r="AE38" i="17"/>
  <c r="AD38" i="17"/>
  <c r="AC38" i="17"/>
  <c r="AB38" i="17"/>
  <c r="AA38" i="17"/>
  <c r="Z38" i="17"/>
  <c r="Y38" i="17"/>
  <c r="X38" i="17"/>
  <c r="W38" i="17"/>
  <c r="F38" i="17"/>
  <c r="AH37" i="17"/>
  <c r="AG37" i="17"/>
  <c r="AF37" i="17"/>
  <c r="AE37" i="17"/>
  <c r="AD37" i="17"/>
  <c r="AC37" i="17"/>
  <c r="AB37" i="17"/>
  <c r="AA37" i="17"/>
  <c r="Z37" i="17"/>
  <c r="Y37" i="17"/>
  <c r="X37" i="17"/>
  <c r="W37" i="17"/>
  <c r="F37" i="17"/>
  <c r="AH36" i="17"/>
  <c r="AG36" i="17"/>
  <c r="AF36" i="17"/>
  <c r="AE36" i="17"/>
  <c r="AD36" i="17"/>
  <c r="AC36" i="17"/>
  <c r="AB36" i="17"/>
  <c r="AA36" i="17"/>
  <c r="Z36" i="17"/>
  <c r="Y36" i="17"/>
  <c r="X36" i="17"/>
  <c r="W36" i="17"/>
  <c r="F36" i="17"/>
  <c r="AH35" i="17"/>
  <c r="AG35" i="17"/>
  <c r="AF35" i="17"/>
  <c r="AE35" i="17"/>
  <c r="AD35" i="17"/>
  <c r="AC35" i="17"/>
  <c r="AB35" i="17"/>
  <c r="AA35" i="17"/>
  <c r="Z35" i="17"/>
  <c r="Y35" i="17"/>
  <c r="X35" i="17"/>
  <c r="W35" i="17"/>
  <c r="F35" i="17"/>
  <c r="AH34" i="17"/>
  <c r="AG34" i="17"/>
  <c r="AF34" i="17"/>
  <c r="AE34" i="17"/>
  <c r="AD34" i="17"/>
  <c r="AC34" i="17"/>
  <c r="AB34" i="17"/>
  <c r="AA34" i="17"/>
  <c r="Z34" i="17"/>
  <c r="Y34" i="17"/>
  <c r="X34" i="17"/>
  <c r="W34" i="17"/>
  <c r="F34" i="17"/>
  <c r="AH33" i="17"/>
  <c r="AG33" i="17"/>
  <c r="AF33" i="17"/>
  <c r="AE33" i="17"/>
  <c r="AD33" i="17"/>
  <c r="AC33" i="17"/>
  <c r="AB33" i="17"/>
  <c r="AA33" i="17"/>
  <c r="Z33" i="17"/>
  <c r="Y33" i="17"/>
  <c r="X33" i="17"/>
  <c r="W33" i="17"/>
  <c r="F33" i="17"/>
  <c r="AH32" i="17"/>
  <c r="AG32" i="17"/>
  <c r="AF32" i="17"/>
  <c r="AE32" i="17"/>
  <c r="AD32" i="17"/>
  <c r="AC32" i="17"/>
  <c r="AB32" i="17"/>
  <c r="AA32" i="17"/>
  <c r="Z32" i="17"/>
  <c r="Y32" i="17"/>
  <c r="X32" i="17"/>
  <c r="W32" i="17"/>
  <c r="F32" i="17"/>
  <c r="AH31" i="17"/>
  <c r="AG31" i="17"/>
  <c r="AF31" i="17"/>
  <c r="AE31" i="17"/>
  <c r="AD31" i="17"/>
  <c r="AC31" i="17"/>
  <c r="AB31" i="17"/>
  <c r="AA31" i="17"/>
  <c r="Z31" i="17"/>
  <c r="Y31" i="17"/>
  <c r="X31" i="17"/>
  <c r="W31" i="17"/>
  <c r="F31" i="17"/>
  <c r="AH30" i="17"/>
  <c r="AG30" i="17"/>
  <c r="AF30" i="17"/>
  <c r="AE30" i="17"/>
  <c r="AD30" i="17"/>
  <c r="AC30" i="17"/>
  <c r="AB30" i="17"/>
  <c r="AA30" i="17"/>
  <c r="Z30" i="17"/>
  <c r="Y30" i="17"/>
  <c r="X30" i="17"/>
  <c r="W30" i="17"/>
  <c r="F30" i="17"/>
  <c r="AH29" i="17"/>
  <c r="AG29" i="17"/>
  <c r="AF29" i="17"/>
  <c r="AE29" i="17"/>
  <c r="AD29" i="17"/>
  <c r="AC29" i="17"/>
  <c r="AB29" i="17"/>
  <c r="AA29" i="17"/>
  <c r="Z29" i="17"/>
  <c r="Y29" i="17"/>
  <c r="X29" i="17"/>
  <c r="W29" i="17"/>
  <c r="F29" i="17"/>
  <c r="AH28" i="17"/>
  <c r="AG28" i="17"/>
  <c r="AF28" i="17"/>
  <c r="AE28" i="17"/>
  <c r="AD28" i="17"/>
  <c r="AC28" i="17"/>
  <c r="AB28" i="17"/>
  <c r="AA28" i="17"/>
  <c r="Z28" i="17"/>
  <c r="Y28" i="17"/>
  <c r="X28" i="17"/>
  <c r="W28" i="17"/>
  <c r="F28" i="17"/>
  <c r="AH27" i="17"/>
  <c r="AG27" i="17"/>
  <c r="AF27" i="17"/>
  <c r="AE27" i="17"/>
  <c r="AD27" i="17"/>
  <c r="AC27" i="17"/>
  <c r="AB27" i="17"/>
  <c r="AA27" i="17"/>
  <c r="Z27" i="17"/>
  <c r="Y27" i="17"/>
  <c r="X27" i="17"/>
  <c r="W27" i="17"/>
  <c r="F27" i="17"/>
  <c r="AH26" i="17"/>
  <c r="AG26" i="17"/>
  <c r="AF26" i="17"/>
  <c r="AE26" i="17"/>
  <c r="AD26" i="17"/>
  <c r="AC26" i="17"/>
  <c r="AB26" i="17"/>
  <c r="AA26" i="17"/>
  <c r="Z26" i="17"/>
  <c r="Y26" i="17"/>
  <c r="X26" i="17"/>
  <c r="W26" i="17"/>
  <c r="F26" i="17"/>
  <c r="AH25" i="17"/>
  <c r="AG25" i="17"/>
  <c r="AF25" i="17"/>
  <c r="AE25" i="17"/>
  <c r="AD25" i="17"/>
  <c r="AC25" i="17"/>
  <c r="AB25" i="17"/>
  <c r="AA25" i="17"/>
  <c r="Z25" i="17"/>
  <c r="Y25" i="17"/>
  <c r="X25" i="17"/>
  <c r="W25" i="17"/>
  <c r="F25" i="17"/>
  <c r="AH24" i="17"/>
  <c r="AG24" i="17"/>
  <c r="AF24" i="17"/>
  <c r="AE24" i="17"/>
  <c r="AD24" i="17"/>
  <c r="AC24" i="17"/>
  <c r="AB24" i="17"/>
  <c r="AA24" i="17"/>
  <c r="Z24" i="17"/>
  <c r="Y24" i="17"/>
  <c r="X24" i="17"/>
  <c r="W24" i="17"/>
  <c r="F24" i="17"/>
  <c r="AH23" i="17"/>
  <c r="AG23" i="17"/>
  <c r="AF23" i="17"/>
  <c r="AE23" i="17"/>
  <c r="AD23" i="17"/>
  <c r="AC23" i="17"/>
  <c r="AB23" i="17"/>
  <c r="AA23" i="17"/>
  <c r="Z23" i="17"/>
  <c r="Y23" i="17"/>
  <c r="X23" i="17"/>
  <c r="W23" i="17"/>
  <c r="F23" i="17"/>
  <c r="AH22" i="17"/>
  <c r="AG22" i="17"/>
  <c r="AF22" i="17"/>
  <c r="AE22" i="17"/>
  <c r="AD22" i="17"/>
  <c r="AC22" i="17"/>
  <c r="AB22" i="17"/>
  <c r="AA22" i="17"/>
  <c r="Z22" i="17"/>
  <c r="Y22" i="17"/>
  <c r="X22" i="17"/>
  <c r="W22" i="17"/>
  <c r="F22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F21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F20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F19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F18" i="17"/>
  <c r="AH17" i="17"/>
  <c r="AG17" i="17"/>
  <c r="AF17" i="17"/>
  <c r="AE17" i="17"/>
  <c r="AD17" i="17"/>
  <c r="AC17" i="17"/>
  <c r="AB17" i="17"/>
  <c r="AA17" i="17"/>
  <c r="Z17" i="17"/>
  <c r="Y17" i="17"/>
  <c r="X17" i="17"/>
  <c r="W17" i="17"/>
  <c r="F17" i="17"/>
  <c r="AH16" i="17"/>
  <c r="AG16" i="17"/>
  <c r="AF16" i="17"/>
  <c r="AE16" i="17"/>
  <c r="AD16" i="17"/>
  <c r="AC16" i="17"/>
  <c r="AB16" i="17"/>
  <c r="AA16" i="17"/>
  <c r="Z16" i="17"/>
  <c r="Y16" i="17"/>
  <c r="X16" i="17"/>
  <c r="W16" i="17"/>
  <c r="F16" i="17"/>
  <c r="AH15" i="17"/>
  <c r="AG15" i="17"/>
  <c r="AF15" i="17"/>
  <c r="AE15" i="17"/>
  <c r="AD15" i="17"/>
  <c r="AC15" i="17"/>
  <c r="AB15" i="17"/>
  <c r="AA15" i="17"/>
  <c r="Z15" i="17"/>
  <c r="Y15" i="17"/>
  <c r="X15" i="17"/>
  <c r="W15" i="17"/>
  <c r="F15" i="17"/>
  <c r="AH14" i="17"/>
  <c r="AG14" i="17"/>
  <c r="AF14" i="17"/>
  <c r="AE14" i="17"/>
  <c r="AD14" i="17"/>
  <c r="AC14" i="17"/>
  <c r="AB14" i="17"/>
  <c r="AA14" i="17"/>
  <c r="Z14" i="17"/>
  <c r="Y14" i="17"/>
  <c r="X14" i="17"/>
  <c r="W14" i="17"/>
  <c r="F14" i="17"/>
  <c r="AH13" i="17"/>
  <c r="AG13" i="17"/>
  <c r="AF13" i="17"/>
  <c r="AE13" i="17"/>
  <c r="AD13" i="17"/>
  <c r="AC13" i="17"/>
  <c r="AB13" i="17"/>
  <c r="AA13" i="17"/>
  <c r="Z13" i="17"/>
  <c r="Y13" i="17"/>
  <c r="X13" i="17"/>
  <c r="W13" i="17"/>
  <c r="F13" i="17"/>
  <c r="AH12" i="17"/>
  <c r="AG12" i="17"/>
  <c r="AF12" i="17"/>
  <c r="AE12" i="17"/>
  <c r="AD12" i="17"/>
  <c r="AC12" i="17"/>
  <c r="AB12" i="17"/>
  <c r="AA12" i="17"/>
  <c r="Z12" i="17"/>
  <c r="Y12" i="17"/>
  <c r="X12" i="17"/>
  <c r="W12" i="17"/>
  <c r="F12" i="17"/>
  <c r="AH11" i="17"/>
  <c r="AG11" i="17"/>
  <c r="AF11" i="17"/>
  <c r="AE11" i="17"/>
  <c r="AD11" i="17"/>
  <c r="AC11" i="17"/>
  <c r="AB11" i="17"/>
  <c r="AA11" i="17"/>
  <c r="Z11" i="17"/>
  <c r="Y11" i="17"/>
  <c r="X11" i="17"/>
  <c r="W11" i="17"/>
  <c r="F11" i="17"/>
  <c r="AH10" i="17"/>
  <c r="AG10" i="17"/>
  <c r="AF10" i="17"/>
  <c r="AE10" i="17"/>
  <c r="AD10" i="17"/>
  <c r="AC10" i="17"/>
  <c r="AB10" i="17"/>
  <c r="AA10" i="17"/>
  <c r="Z10" i="17"/>
  <c r="Y10" i="17"/>
  <c r="X10" i="17"/>
  <c r="W10" i="17"/>
  <c r="F10" i="17"/>
  <c r="AH9" i="17"/>
  <c r="AG9" i="17"/>
  <c r="AF9" i="17"/>
  <c r="AE9" i="17"/>
  <c r="AD9" i="17"/>
  <c r="AC9" i="17"/>
  <c r="AB9" i="17"/>
  <c r="AA9" i="17"/>
  <c r="Z9" i="17"/>
  <c r="Y9" i="17"/>
  <c r="X9" i="17"/>
  <c r="W9" i="17"/>
  <c r="F9" i="17"/>
  <c r="AH8" i="17"/>
  <c r="AG8" i="17"/>
  <c r="AF8" i="17"/>
  <c r="AE8" i="17"/>
  <c r="AD8" i="17"/>
  <c r="AC8" i="17"/>
  <c r="AB8" i="17"/>
  <c r="AA8" i="17"/>
  <c r="Z8" i="17"/>
  <c r="Y8" i="17"/>
  <c r="X8" i="17"/>
  <c r="W8" i="17"/>
  <c r="F8" i="17"/>
  <c r="AH7" i="17"/>
  <c r="AG7" i="17"/>
  <c r="AF7" i="17"/>
  <c r="AE7" i="17"/>
  <c r="AD7" i="17"/>
  <c r="AC7" i="17"/>
  <c r="AB7" i="17"/>
  <c r="AA7" i="17"/>
  <c r="Z7" i="17"/>
  <c r="Y7" i="17"/>
  <c r="X7" i="17"/>
  <c r="W7" i="17"/>
  <c r="F7" i="17"/>
  <c r="AH6" i="17"/>
  <c r="AG6" i="17"/>
  <c r="AF6" i="17"/>
  <c r="AE6" i="17"/>
  <c r="AD6" i="17"/>
  <c r="AC6" i="17"/>
  <c r="AB6" i="17"/>
  <c r="AA6" i="17"/>
  <c r="Z6" i="17"/>
  <c r="Y6" i="17"/>
  <c r="X6" i="17"/>
  <c r="W6" i="17"/>
  <c r="F6" i="17"/>
  <c r="AH100" i="16"/>
  <c r="AG100" i="16"/>
  <c r="AF100" i="16"/>
  <c r="AE100" i="16"/>
  <c r="AD100" i="16"/>
  <c r="AC100" i="16"/>
  <c r="AB100" i="16"/>
  <c r="AA100" i="16"/>
  <c r="Z100" i="16"/>
  <c r="Y100" i="16"/>
  <c r="X100" i="16"/>
  <c r="W100" i="16"/>
  <c r="F100" i="16"/>
  <c r="AH99" i="16"/>
  <c r="AG99" i="16"/>
  <c r="AF99" i="16"/>
  <c r="AE99" i="16"/>
  <c r="AD99" i="16"/>
  <c r="AC99" i="16"/>
  <c r="AB99" i="16"/>
  <c r="AA99" i="16"/>
  <c r="Z99" i="16"/>
  <c r="Y99" i="16"/>
  <c r="X99" i="16"/>
  <c r="W99" i="16"/>
  <c r="F99" i="16"/>
  <c r="AH98" i="16"/>
  <c r="AG98" i="16"/>
  <c r="AF98" i="16"/>
  <c r="AE98" i="16"/>
  <c r="AD98" i="16"/>
  <c r="AC98" i="16"/>
  <c r="AB98" i="16"/>
  <c r="AA98" i="16"/>
  <c r="Z98" i="16"/>
  <c r="Y98" i="16"/>
  <c r="X98" i="16"/>
  <c r="W98" i="16"/>
  <c r="F98" i="16"/>
  <c r="AH97" i="16"/>
  <c r="AG97" i="16"/>
  <c r="AF97" i="16"/>
  <c r="AE97" i="16"/>
  <c r="AD97" i="16"/>
  <c r="AC97" i="16"/>
  <c r="AB97" i="16"/>
  <c r="AA97" i="16"/>
  <c r="Z97" i="16"/>
  <c r="Y97" i="16"/>
  <c r="X97" i="16"/>
  <c r="W97" i="16"/>
  <c r="F97" i="16"/>
  <c r="AH96" i="16"/>
  <c r="AG96" i="16"/>
  <c r="AF96" i="16"/>
  <c r="AE96" i="16"/>
  <c r="AD96" i="16"/>
  <c r="AC96" i="16"/>
  <c r="AB96" i="16"/>
  <c r="AA96" i="16"/>
  <c r="Z96" i="16"/>
  <c r="Y96" i="16"/>
  <c r="X96" i="16"/>
  <c r="W96" i="16"/>
  <c r="F96" i="16"/>
  <c r="AH95" i="16"/>
  <c r="AG95" i="16"/>
  <c r="AF95" i="16"/>
  <c r="AE95" i="16"/>
  <c r="AD95" i="16"/>
  <c r="AC95" i="16"/>
  <c r="AB95" i="16"/>
  <c r="AA95" i="16"/>
  <c r="Z95" i="16"/>
  <c r="Y95" i="16"/>
  <c r="X95" i="16"/>
  <c r="W95" i="16"/>
  <c r="F95" i="16"/>
  <c r="AH94" i="16"/>
  <c r="AG94" i="16"/>
  <c r="AF94" i="16"/>
  <c r="AE94" i="16"/>
  <c r="AD94" i="16"/>
  <c r="AC94" i="16"/>
  <c r="AB94" i="16"/>
  <c r="AA94" i="16"/>
  <c r="Z94" i="16"/>
  <c r="Y94" i="16"/>
  <c r="X94" i="16"/>
  <c r="W94" i="16"/>
  <c r="F94" i="16"/>
  <c r="AH93" i="16"/>
  <c r="AG93" i="16"/>
  <c r="AF93" i="16"/>
  <c r="AE93" i="16"/>
  <c r="AD93" i="16"/>
  <c r="AC93" i="16"/>
  <c r="AB93" i="16"/>
  <c r="AA93" i="16"/>
  <c r="Z93" i="16"/>
  <c r="Y93" i="16"/>
  <c r="X93" i="16"/>
  <c r="W93" i="16"/>
  <c r="F93" i="16"/>
  <c r="AH92" i="16"/>
  <c r="AG92" i="16"/>
  <c r="AF92" i="16"/>
  <c r="AE92" i="16"/>
  <c r="AD92" i="16"/>
  <c r="AC92" i="16"/>
  <c r="AB92" i="16"/>
  <c r="AA92" i="16"/>
  <c r="Z92" i="16"/>
  <c r="Y92" i="16"/>
  <c r="X92" i="16"/>
  <c r="W92" i="16"/>
  <c r="F92" i="16"/>
  <c r="AH91" i="16"/>
  <c r="AG91" i="16"/>
  <c r="AF91" i="16"/>
  <c r="AE91" i="16"/>
  <c r="AD91" i="16"/>
  <c r="AC91" i="16"/>
  <c r="AB91" i="16"/>
  <c r="AA91" i="16"/>
  <c r="Z91" i="16"/>
  <c r="Y91" i="16"/>
  <c r="X91" i="16"/>
  <c r="W91" i="16"/>
  <c r="F91" i="16"/>
  <c r="AH90" i="16"/>
  <c r="AG90" i="16"/>
  <c r="AF90" i="16"/>
  <c r="AE90" i="16"/>
  <c r="AD90" i="16"/>
  <c r="AC90" i="16"/>
  <c r="AB90" i="16"/>
  <c r="AA90" i="16"/>
  <c r="Z90" i="16"/>
  <c r="Y90" i="16"/>
  <c r="X90" i="16"/>
  <c r="W90" i="16"/>
  <c r="F90" i="16"/>
  <c r="AH89" i="16"/>
  <c r="AG89" i="16"/>
  <c r="AF89" i="16"/>
  <c r="AE89" i="16"/>
  <c r="AD89" i="16"/>
  <c r="AC89" i="16"/>
  <c r="AB89" i="16"/>
  <c r="AA89" i="16"/>
  <c r="Z89" i="16"/>
  <c r="Y89" i="16"/>
  <c r="X89" i="16"/>
  <c r="W89" i="16"/>
  <c r="F89" i="16"/>
  <c r="AH88" i="16"/>
  <c r="AG88" i="16"/>
  <c r="AF88" i="16"/>
  <c r="AE88" i="16"/>
  <c r="AD88" i="16"/>
  <c r="AC88" i="16"/>
  <c r="AB88" i="16"/>
  <c r="AA88" i="16"/>
  <c r="Z88" i="16"/>
  <c r="Y88" i="16"/>
  <c r="X88" i="16"/>
  <c r="W88" i="16"/>
  <c r="F88" i="16"/>
  <c r="AH87" i="16"/>
  <c r="AG87" i="16"/>
  <c r="AF87" i="16"/>
  <c r="AE87" i="16"/>
  <c r="AD87" i="16"/>
  <c r="AC87" i="16"/>
  <c r="AB87" i="16"/>
  <c r="AA87" i="16"/>
  <c r="Z87" i="16"/>
  <c r="Y87" i="16"/>
  <c r="X87" i="16"/>
  <c r="W87" i="16"/>
  <c r="F87" i="16"/>
  <c r="AH86" i="16"/>
  <c r="AG86" i="16"/>
  <c r="AF86" i="16"/>
  <c r="AE86" i="16"/>
  <c r="AD86" i="16"/>
  <c r="AC86" i="16"/>
  <c r="AB86" i="16"/>
  <c r="AA86" i="16"/>
  <c r="Z86" i="16"/>
  <c r="Y86" i="16"/>
  <c r="X86" i="16"/>
  <c r="W86" i="16"/>
  <c r="F86" i="16"/>
  <c r="AH85" i="16"/>
  <c r="AG85" i="16"/>
  <c r="AF85" i="16"/>
  <c r="AE85" i="16"/>
  <c r="AD85" i="16"/>
  <c r="AC85" i="16"/>
  <c r="AB85" i="16"/>
  <c r="AA85" i="16"/>
  <c r="Z85" i="16"/>
  <c r="Y85" i="16"/>
  <c r="X85" i="16"/>
  <c r="W85" i="16"/>
  <c r="F85" i="16"/>
  <c r="AH84" i="16"/>
  <c r="AG84" i="16"/>
  <c r="AF84" i="16"/>
  <c r="AE84" i="16"/>
  <c r="AD84" i="16"/>
  <c r="AC84" i="16"/>
  <c r="AB84" i="16"/>
  <c r="AA84" i="16"/>
  <c r="Z84" i="16"/>
  <c r="Y84" i="16"/>
  <c r="X84" i="16"/>
  <c r="W84" i="16"/>
  <c r="F84" i="16"/>
  <c r="AH83" i="16"/>
  <c r="AG83" i="16"/>
  <c r="AF83" i="16"/>
  <c r="AE83" i="16"/>
  <c r="AD83" i="16"/>
  <c r="AC83" i="16"/>
  <c r="AB83" i="16"/>
  <c r="AA83" i="16"/>
  <c r="Z83" i="16"/>
  <c r="Y83" i="16"/>
  <c r="X83" i="16"/>
  <c r="W83" i="16"/>
  <c r="F83" i="16"/>
  <c r="AH82" i="16"/>
  <c r="AG82" i="16"/>
  <c r="AF82" i="16"/>
  <c r="AE82" i="16"/>
  <c r="AD82" i="16"/>
  <c r="AC82" i="16"/>
  <c r="AB82" i="16"/>
  <c r="AA82" i="16"/>
  <c r="Z82" i="16"/>
  <c r="Y82" i="16"/>
  <c r="X82" i="16"/>
  <c r="W82" i="16"/>
  <c r="F82" i="16"/>
  <c r="AH81" i="16"/>
  <c r="AG81" i="16"/>
  <c r="AF81" i="16"/>
  <c r="AE81" i="16"/>
  <c r="AD81" i="16"/>
  <c r="AC81" i="16"/>
  <c r="AB81" i="16"/>
  <c r="AA81" i="16"/>
  <c r="Z81" i="16"/>
  <c r="Y81" i="16"/>
  <c r="X81" i="16"/>
  <c r="W81" i="16"/>
  <c r="F81" i="16"/>
  <c r="AH80" i="16"/>
  <c r="AG80" i="16"/>
  <c r="AF80" i="16"/>
  <c r="AE80" i="16"/>
  <c r="AD80" i="16"/>
  <c r="AC80" i="16"/>
  <c r="AB80" i="16"/>
  <c r="AA80" i="16"/>
  <c r="Z80" i="16"/>
  <c r="Y80" i="16"/>
  <c r="X80" i="16"/>
  <c r="W80" i="16"/>
  <c r="F80" i="16"/>
  <c r="AH79" i="16"/>
  <c r="AG79" i="16"/>
  <c r="AF79" i="16"/>
  <c r="AE79" i="16"/>
  <c r="AD79" i="16"/>
  <c r="AC79" i="16"/>
  <c r="AB79" i="16"/>
  <c r="AA79" i="16"/>
  <c r="Z79" i="16"/>
  <c r="Y79" i="16"/>
  <c r="X79" i="16"/>
  <c r="W79" i="16"/>
  <c r="F79" i="16"/>
  <c r="AH78" i="16"/>
  <c r="AG78" i="16"/>
  <c r="AF78" i="16"/>
  <c r="AE78" i="16"/>
  <c r="AD78" i="16"/>
  <c r="AC78" i="16"/>
  <c r="AB78" i="16"/>
  <c r="AA78" i="16"/>
  <c r="Z78" i="16"/>
  <c r="Y78" i="16"/>
  <c r="X78" i="16"/>
  <c r="W78" i="16"/>
  <c r="F78" i="16"/>
  <c r="AH77" i="16"/>
  <c r="AG77" i="16"/>
  <c r="AF77" i="16"/>
  <c r="AE77" i="16"/>
  <c r="AD77" i="16"/>
  <c r="AC77" i="16"/>
  <c r="AB77" i="16"/>
  <c r="AA77" i="16"/>
  <c r="Z77" i="16"/>
  <c r="Y77" i="16"/>
  <c r="X77" i="16"/>
  <c r="W77" i="16"/>
  <c r="F77" i="16"/>
  <c r="AH76" i="16"/>
  <c r="AG76" i="16"/>
  <c r="AF76" i="16"/>
  <c r="AE76" i="16"/>
  <c r="AD76" i="16"/>
  <c r="AC76" i="16"/>
  <c r="AB76" i="16"/>
  <c r="AA76" i="16"/>
  <c r="Z76" i="16"/>
  <c r="Y76" i="16"/>
  <c r="X76" i="16"/>
  <c r="W76" i="16"/>
  <c r="F76" i="16"/>
  <c r="AH75" i="16"/>
  <c r="AG75" i="16"/>
  <c r="AF75" i="16"/>
  <c r="AE75" i="16"/>
  <c r="AD75" i="16"/>
  <c r="AC75" i="16"/>
  <c r="AB75" i="16"/>
  <c r="AA75" i="16"/>
  <c r="Z75" i="16"/>
  <c r="Y75" i="16"/>
  <c r="X75" i="16"/>
  <c r="W75" i="16"/>
  <c r="F75" i="16"/>
  <c r="AH74" i="16"/>
  <c r="AG74" i="16"/>
  <c r="AF74" i="16"/>
  <c r="AE74" i="16"/>
  <c r="AD74" i="16"/>
  <c r="AC74" i="16"/>
  <c r="AB74" i="16"/>
  <c r="AA74" i="16"/>
  <c r="Z74" i="16"/>
  <c r="Y74" i="16"/>
  <c r="X74" i="16"/>
  <c r="W74" i="16"/>
  <c r="F74" i="16"/>
  <c r="AH73" i="16"/>
  <c r="AG73" i="16"/>
  <c r="AF73" i="16"/>
  <c r="AE73" i="16"/>
  <c r="AD73" i="16"/>
  <c r="AC73" i="16"/>
  <c r="AB73" i="16"/>
  <c r="AA73" i="16"/>
  <c r="Z73" i="16"/>
  <c r="Y73" i="16"/>
  <c r="X73" i="16"/>
  <c r="W73" i="16"/>
  <c r="F73" i="16"/>
  <c r="AH72" i="16"/>
  <c r="AG72" i="16"/>
  <c r="AF72" i="16"/>
  <c r="AE72" i="16"/>
  <c r="AD72" i="16"/>
  <c r="AC72" i="16"/>
  <c r="AB72" i="16"/>
  <c r="AA72" i="16"/>
  <c r="Z72" i="16"/>
  <c r="Y72" i="16"/>
  <c r="X72" i="16"/>
  <c r="W72" i="16"/>
  <c r="F72" i="16"/>
  <c r="AH71" i="16"/>
  <c r="AG71" i="16"/>
  <c r="AF71" i="16"/>
  <c r="AE71" i="16"/>
  <c r="AD71" i="16"/>
  <c r="AC71" i="16"/>
  <c r="AB71" i="16"/>
  <c r="AA71" i="16"/>
  <c r="Z71" i="16"/>
  <c r="Y71" i="16"/>
  <c r="X71" i="16"/>
  <c r="W71" i="16"/>
  <c r="F71" i="16"/>
  <c r="AH70" i="16"/>
  <c r="AG70" i="16"/>
  <c r="AF70" i="16"/>
  <c r="AE70" i="16"/>
  <c r="AD70" i="16"/>
  <c r="AC70" i="16"/>
  <c r="AB70" i="16"/>
  <c r="AA70" i="16"/>
  <c r="Z70" i="16"/>
  <c r="Y70" i="16"/>
  <c r="X70" i="16"/>
  <c r="W70" i="16"/>
  <c r="F70" i="16"/>
  <c r="AH69" i="16"/>
  <c r="AG69" i="16"/>
  <c r="AF69" i="16"/>
  <c r="AE69" i="16"/>
  <c r="AD69" i="16"/>
  <c r="AC69" i="16"/>
  <c r="AB69" i="16"/>
  <c r="AA69" i="16"/>
  <c r="Z69" i="16"/>
  <c r="Y69" i="16"/>
  <c r="X69" i="16"/>
  <c r="W69" i="16"/>
  <c r="F69" i="16"/>
  <c r="AH68" i="16"/>
  <c r="AG68" i="16"/>
  <c r="AF68" i="16"/>
  <c r="AE68" i="16"/>
  <c r="AD68" i="16"/>
  <c r="AC68" i="16"/>
  <c r="AB68" i="16"/>
  <c r="AA68" i="16"/>
  <c r="Z68" i="16"/>
  <c r="Y68" i="16"/>
  <c r="X68" i="16"/>
  <c r="W68" i="16"/>
  <c r="F68" i="16"/>
  <c r="AH67" i="16"/>
  <c r="AG67" i="16"/>
  <c r="AF67" i="16"/>
  <c r="AE67" i="16"/>
  <c r="AD67" i="16"/>
  <c r="AC67" i="16"/>
  <c r="AB67" i="16"/>
  <c r="AA67" i="16"/>
  <c r="Z67" i="16"/>
  <c r="Y67" i="16"/>
  <c r="X67" i="16"/>
  <c r="W67" i="16"/>
  <c r="F67" i="16"/>
  <c r="AH66" i="16"/>
  <c r="AG66" i="16"/>
  <c r="AF66" i="16"/>
  <c r="AE66" i="16"/>
  <c r="AD66" i="16"/>
  <c r="AC66" i="16"/>
  <c r="AB66" i="16"/>
  <c r="AA66" i="16"/>
  <c r="Z66" i="16"/>
  <c r="Y66" i="16"/>
  <c r="X66" i="16"/>
  <c r="W66" i="16"/>
  <c r="F66" i="16"/>
  <c r="AH65" i="16"/>
  <c r="AG65" i="16"/>
  <c r="AF65" i="16"/>
  <c r="AE65" i="16"/>
  <c r="AD65" i="16"/>
  <c r="AC65" i="16"/>
  <c r="AB65" i="16"/>
  <c r="AA65" i="16"/>
  <c r="Z65" i="16"/>
  <c r="Y65" i="16"/>
  <c r="X65" i="16"/>
  <c r="W65" i="16"/>
  <c r="F65" i="16"/>
  <c r="AH64" i="16"/>
  <c r="AG64" i="16"/>
  <c r="AF64" i="16"/>
  <c r="AE64" i="16"/>
  <c r="AD64" i="16"/>
  <c r="AC64" i="16"/>
  <c r="AB64" i="16"/>
  <c r="AA64" i="16"/>
  <c r="Z64" i="16"/>
  <c r="Y64" i="16"/>
  <c r="X64" i="16"/>
  <c r="W64" i="16"/>
  <c r="F64" i="16"/>
  <c r="AH63" i="16"/>
  <c r="AG63" i="16"/>
  <c r="AF63" i="16"/>
  <c r="AE63" i="16"/>
  <c r="AD63" i="16"/>
  <c r="AC63" i="16"/>
  <c r="AB63" i="16"/>
  <c r="AA63" i="16"/>
  <c r="Z63" i="16"/>
  <c r="Y63" i="16"/>
  <c r="X63" i="16"/>
  <c r="W63" i="16"/>
  <c r="F63" i="16"/>
  <c r="AH62" i="16"/>
  <c r="AG62" i="16"/>
  <c r="AF62" i="16"/>
  <c r="AE62" i="16"/>
  <c r="AD62" i="16"/>
  <c r="AC62" i="16"/>
  <c r="AB62" i="16"/>
  <c r="AA62" i="16"/>
  <c r="Z62" i="16"/>
  <c r="Y62" i="16"/>
  <c r="X62" i="16"/>
  <c r="W62" i="16"/>
  <c r="F62" i="16"/>
  <c r="AH61" i="16"/>
  <c r="AG61" i="16"/>
  <c r="AF61" i="16"/>
  <c r="AE61" i="16"/>
  <c r="AD61" i="16"/>
  <c r="AC61" i="16"/>
  <c r="AB61" i="16"/>
  <c r="AA61" i="16"/>
  <c r="Z61" i="16"/>
  <c r="Y61" i="16"/>
  <c r="X61" i="16"/>
  <c r="W61" i="16"/>
  <c r="F61" i="16"/>
  <c r="AH60" i="16"/>
  <c r="AG60" i="16"/>
  <c r="AF60" i="16"/>
  <c r="AE60" i="16"/>
  <c r="AD60" i="16"/>
  <c r="AC60" i="16"/>
  <c r="AB60" i="16"/>
  <c r="AA60" i="16"/>
  <c r="Z60" i="16"/>
  <c r="Y60" i="16"/>
  <c r="X60" i="16"/>
  <c r="W60" i="16"/>
  <c r="F60" i="16"/>
  <c r="AH59" i="16"/>
  <c r="AG59" i="16"/>
  <c r="AF59" i="16"/>
  <c r="AE59" i="16"/>
  <c r="AD59" i="16"/>
  <c r="AC59" i="16"/>
  <c r="AB59" i="16"/>
  <c r="AA59" i="16"/>
  <c r="Z59" i="16"/>
  <c r="Y59" i="16"/>
  <c r="X59" i="16"/>
  <c r="W59" i="16"/>
  <c r="F59" i="16"/>
  <c r="AH58" i="16"/>
  <c r="AG58" i="16"/>
  <c r="AF58" i="16"/>
  <c r="AE58" i="16"/>
  <c r="AD58" i="16"/>
  <c r="AC58" i="16"/>
  <c r="AB58" i="16"/>
  <c r="AA58" i="16"/>
  <c r="Z58" i="16"/>
  <c r="Y58" i="16"/>
  <c r="X58" i="16"/>
  <c r="W58" i="16"/>
  <c r="F58" i="16"/>
  <c r="AH57" i="16"/>
  <c r="AG57" i="16"/>
  <c r="AF57" i="16"/>
  <c r="AE57" i="16"/>
  <c r="AD57" i="16"/>
  <c r="AC57" i="16"/>
  <c r="AB57" i="16"/>
  <c r="AA57" i="16"/>
  <c r="Z57" i="16"/>
  <c r="Y57" i="16"/>
  <c r="X57" i="16"/>
  <c r="W57" i="16"/>
  <c r="F57" i="16"/>
  <c r="AH56" i="16"/>
  <c r="AG56" i="16"/>
  <c r="AF56" i="16"/>
  <c r="AE56" i="16"/>
  <c r="AD56" i="16"/>
  <c r="AC56" i="16"/>
  <c r="AB56" i="16"/>
  <c r="AA56" i="16"/>
  <c r="Z56" i="16"/>
  <c r="Y56" i="16"/>
  <c r="X56" i="16"/>
  <c r="W56" i="16"/>
  <c r="F56" i="16"/>
  <c r="AH55" i="16"/>
  <c r="AG55" i="16"/>
  <c r="AF55" i="16"/>
  <c r="AE55" i="16"/>
  <c r="AD55" i="16"/>
  <c r="AC55" i="16"/>
  <c r="AB55" i="16"/>
  <c r="AA55" i="16"/>
  <c r="Z55" i="16"/>
  <c r="Y55" i="16"/>
  <c r="X55" i="16"/>
  <c r="W55" i="16"/>
  <c r="F55" i="16"/>
  <c r="AH54" i="16"/>
  <c r="AG54" i="16"/>
  <c r="AF54" i="16"/>
  <c r="AE54" i="16"/>
  <c r="AD54" i="16"/>
  <c r="AC54" i="16"/>
  <c r="AB54" i="16"/>
  <c r="AA54" i="16"/>
  <c r="Z54" i="16"/>
  <c r="Y54" i="16"/>
  <c r="X54" i="16"/>
  <c r="W54" i="16"/>
  <c r="F54" i="16"/>
  <c r="AH53" i="16"/>
  <c r="AG53" i="16"/>
  <c r="AF53" i="16"/>
  <c r="AE53" i="16"/>
  <c r="AD53" i="16"/>
  <c r="AC53" i="16"/>
  <c r="AB53" i="16"/>
  <c r="AA53" i="16"/>
  <c r="Z53" i="16"/>
  <c r="Y53" i="16"/>
  <c r="X53" i="16"/>
  <c r="W53" i="16"/>
  <c r="F53" i="16"/>
  <c r="AH52" i="16"/>
  <c r="AG52" i="16"/>
  <c r="AF52" i="16"/>
  <c r="AE52" i="16"/>
  <c r="AD52" i="16"/>
  <c r="AC52" i="16"/>
  <c r="AB52" i="16"/>
  <c r="AA52" i="16"/>
  <c r="Z52" i="16"/>
  <c r="Y52" i="16"/>
  <c r="X52" i="16"/>
  <c r="W52" i="16"/>
  <c r="F52" i="16"/>
  <c r="AH51" i="16"/>
  <c r="AG51" i="16"/>
  <c r="AF51" i="16"/>
  <c r="AE51" i="16"/>
  <c r="AD51" i="16"/>
  <c r="AC51" i="16"/>
  <c r="AB51" i="16"/>
  <c r="AA51" i="16"/>
  <c r="Z51" i="16"/>
  <c r="Y51" i="16"/>
  <c r="X51" i="16"/>
  <c r="W51" i="16"/>
  <c r="F51" i="16"/>
  <c r="AH50" i="16"/>
  <c r="AG50" i="16"/>
  <c r="AF50" i="16"/>
  <c r="AE50" i="16"/>
  <c r="AD50" i="16"/>
  <c r="AC50" i="16"/>
  <c r="AB50" i="16"/>
  <c r="AA50" i="16"/>
  <c r="Z50" i="16"/>
  <c r="Y50" i="16"/>
  <c r="X50" i="16"/>
  <c r="W50" i="16"/>
  <c r="F50" i="16"/>
  <c r="AH49" i="16"/>
  <c r="AG49" i="16"/>
  <c r="AF49" i="16"/>
  <c r="AE49" i="16"/>
  <c r="AD49" i="16"/>
  <c r="AC49" i="16"/>
  <c r="AB49" i="16"/>
  <c r="AA49" i="16"/>
  <c r="Z49" i="16"/>
  <c r="Y49" i="16"/>
  <c r="X49" i="16"/>
  <c r="W49" i="16"/>
  <c r="F49" i="16"/>
  <c r="AH48" i="16"/>
  <c r="AG48" i="16"/>
  <c r="AF48" i="16"/>
  <c r="AE48" i="16"/>
  <c r="AD48" i="16"/>
  <c r="AC48" i="16"/>
  <c r="AB48" i="16"/>
  <c r="AA48" i="16"/>
  <c r="Z48" i="16"/>
  <c r="Y48" i="16"/>
  <c r="X48" i="16"/>
  <c r="W48" i="16"/>
  <c r="F48" i="16"/>
  <c r="AH47" i="16"/>
  <c r="AG47" i="16"/>
  <c r="AF47" i="16"/>
  <c r="AE47" i="16"/>
  <c r="AD47" i="16"/>
  <c r="AC47" i="16"/>
  <c r="AB47" i="16"/>
  <c r="AA47" i="16"/>
  <c r="Z47" i="16"/>
  <c r="Y47" i="16"/>
  <c r="X47" i="16"/>
  <c r="W47" i="16"/>
  <c r="F47" i="16"/>
  <c r="AH46" i="16"/>
  <c r="AG46" i="16"/>
  <c r="AF46" i="16"/>
  <c r="AE46" i="16"/>
  <c r="AD46" i="16"/>
  <c r="AC46" i="16"/>
  <c r="AB46" i="16"/>
  <c r="AA46" i="16"/>
  <c r="Z46" i="16"/>
  <c r="Y46" i="16"/>
  <c r="X46" i="16"/>
  <c r="W46" i="16"/>
  <c r="F46" i="16"/>
  <c r="AH45" i="16"/>
  <c r="AG45" i="16"/>
  <c r="AF45" i="16"/>
  <c r="AE45" i="16"/>
  <c r="AD45" i="16"/>
  <c r="AC45" i="16"/>
  <c r="AB45" i="16"/>
  <c r="AA45" i="16"/>
  <c r="Z45" i="16"/>
  <c r="Y45" i="16"/>
  <c r="X45" i="16"/>
  <c r="W45" i="16"/>
  <c r="F45" i="16"/>
  <c r="AH44" i="16"/>
  <c r="AG44" i="16"/>
  <c r="AF44" i="16"/>
  <c r="AE44" i="16"/>
  <c r="AD44" i="16"/>
  <c r="AC44" i="16"/>
  <c r="AB44" i="16"/>
  <c r="AA44" i="16"/>
  <c r="Z44" i="16"/>
  <c r="Y44" i="16"/>
  <c r="X44" i="16"/>
  <c r="W44" i="16"/>
  <c r="F44" i="16"/>
  <c r="AH43" i="16"/>
  <c r="AG43" i="16"/>
  <c r="AF43" i="16"/>
  <c r="AE43" i="16"/>
  <c r="AD43" i="16"/>
  <c r="AC43" i="16"/>
  <c r="AB43" i="16"/>
  <c r="AA43" i="16"/>
  <c r="Z43" i="16"/>
  <c r="Y43" i="16"/>
  <c r="X43" i="16"/>
  <c r="W43" i="16"/>
  <c r="F43" i="16"/>
  <c r="AH42" i="16"/>
  <c r="AG42" i="16"/>
  <c r="AF42" i="16"/>
  <c r="AE42" i="16"/>
  <c r="AD42" i="16"/>
  <c r="AC42" i="16"/>
  <c r="AB42" i="16"/>
  <c r="AA42" i="16"/>
  <c r="Z42" i="16"/>
  <c r="Y42" i="16"/>
  <c r="X42" i="16"/>
  <c r="W42" i="16"/>
  <c r="F42" i="16"/>
  <c r="AH41" i="16"/>
  <c r="AG41" i="16"/>
  <c r="AF41" i="16"/>
  <c r="AE41" i="16"/>
  <c r="AD41" i="16"/>
  <c r="AC41" i="16"/>
  <c r="AB41" i="16"/>
  <c r="AA41" i="16"/>
  <c r="Z41" i="16"/>
  <c r="Y41" i="16"/>
  <c r="X41" i="16"/>
  <c r="W41" i="16"/>
  <c r="F41" i="16"/>
  <c r="AH40" i="16"/>
  <c r="AG40" i="16"/>
  <c r="AF40" i="16"/>
  <c r="AE40" i="16"/>
  <c r="AD40" i="16"/>
  <c r="AC40" i="16"/>
  <c r="AB40" i="16"/>
  <c r="AA40" i="16"/>
  <c r="Z40" i="16"/>
  <c r="Y40" i="16"/>
  <c r="X40" i="16"/>
  <c r="W40" i="16"/>
  <c r="F40" i="16"/>
  <c r="AH39" i="16"/>
  <c r="AG39" i="16"/>
  <c r="AF39" i="16"/>
  <c r="AE39" i="16"/>
  <c r="AD39" i="16"/>
  <c r="AC39" i="16"/>
  <c r="AB39" i="16"/>
  <c r="AA39" i="16"/>
  <c r="Z39" i="16"/>
  <c r="Y39" i="16"/>
  <c r="X39" i="16"/>
  <c r="W39" i="16"/>
  <c r="F39" i="16"/>
  <c r="AH38" i="16"/>
  <c r="AG38" i="16"/>
  <c r="AF38" i="16"/>
  <c r="AE38" i="16"/>
  <c r="AD38" i="16"/>
  <c r="AC38" i="16"/>
  <c r="AB38" i="16"/>
  <c r="AA38" i="16"/>
  <c r="Z38" i="16"/>
  <c r="Y38" i="16"/>
  <c r="X38" i="16"/>
  <c r="W38" i="16"/>
  <c r="F38" i="16"/>
  <c r="AH37" i="16"/>
  <c r="AG37" i="16"/>
  <c r="AF37" i="16"/>
  <c r="AE37" i="16"/>
  <c r="AD37" i="16"/>
  <c r="AC37" i="16"/>
  <c r="AB37" i="16"/>
  <c r="AA37" i="16"/>
  <c r="Z37" i="16"/>
  <c r="Y37" i="16"/>
  <c r="X37" i="16"/>
  <c r="W37" i="16"/>
  <c r="F37" i="16"/>
  <c r="AH36" i="16"/>
  <c r="AG36" i="16"/>
  <c r="AF36" i="16"/>
  <c r="AE36" i="16"/>
  <c r="AD36" i="16"/>
  <c r="AC36" i="16"/>
  <c r="AB36" i="16"/>
  <c r="AA36" i="16"/>
  <c r="Z36" i="16"/>
  <c r="Y36" i="16"/>
  <c r="X36" i="16"/>
  <c r="W36" i="16"/>
  <c r="F36" i="16"/>
  <c r="AH35" i="16"/>
  <c r="AG35" i="16"/>
  <c r="AF35" i="16"/>
  <c r="AE35" i="16"/>
  <c r="AD35" i="16"/>
  <c r="AC35" i="16"/>
  <c r="AB35" i="16"/>
  <c r="AA35" i="16"/>
  <c r="Z35" i="16"/>
  <c r="Y35" i="16"/>
  <c r="X35" i="16"/>
  <c r="W35" i="16"/>
  <c r="F35" i="16"/>
  <c r="AH34" i="16"/>
  <c r="AG34" i="16"/>
  <c r="AF34" i="16"/>
  <c r="AE34" i="16"/>
  <c r="AD34" i="16"/>
  <c r="AC34" i="16"/>
  <c r="AB34" i="16"/>
  <c r="AA34" i="16"/>
  <c r="Z34" i="16"/>
  <c r="Y34" i="16"/>
  <c r="X34" i="16"/>
  <c r="W34" i="16"/>
  <c r="F34" i="16"/>
  <c r="AH33" i="16"/>
  <c r="AG33" i="16"/>
  <c r="AF33" i="16"/>
  <c r="AE33" i="16"/>
  <c r="AD33" i="16"/>
  <c r="AC33" i="16"/>
  <c r="AB33" i="16"/>
  <c r="AA33" i="16"/>
  <c r="Z33" i="16"/>
  <c r="Y33" i="16"/>
  <c r="X33" i="16"/>
  <c r="W33" i="16"/>
  <c r="F33" i="16"/>
  <c r="AH32" i="16"/>
  <c r="AG32" i="16"/>
  <c r="AF32" i="16"/>
  <c r="AE32" i="16"/>
  <c r="AD32" i="16"/>
  <c r="AC32" i="16"/>
  <c r="AB32" i="16"/>
  <c r="AA32" i="16"/>
  <c r="Z32" i="16"/>
  <c r="Y32" i="16"/>
  <c r="X32" i="16"/>
  <c r="W32" i="16"/>
  <c r="F32" i="16"/>
  <c r="AH31" i="16"/>
  <c r="AG31" i="16"/>
  <c r="AF31" i="16"/>
  <c r="AE31" i="16"/>
  <c r="AD31" i="16"/>
  <c r="AC31" i="16"/>
  <c r="AB31" i="16"/>
  <c r="AA31" i="16"/>
  <c r="Z31" i="16"/>
  <c r="Y31" i="16"/>
  <c r="X31" i="16"/>
  <c r="W31" i="16"/>
  <c r="F31" i="16"/>
  <c r="AH30" i="16"/>
  <c r="AG30" i="16"/>
  <c r="AF30" i="16"/>
  <c r="AE30" i="16"/>
  <c r="AD30" i="16"/>
  <c r="AC30" i="16"/>
  <c r="AB30" i="16"/>
  <c r="AA30" i="16"/>
  <c r="Z30" i="16"/>
  <c r="Y30" i="16"/>
  <c r="X30" i="16"/>
  <c r="W30" i="16"/>
  <c r="F30" i="16"/>
  <c r="AH29" i="16"/>
  <c r="AG29" i="16"/>
  <c r="AF29" i="16"/>
  <c r="AE29" i="16"/>
  <c r="AD29" i="16"/>
  <c r="AC29" i="16"/>
  <c r="AB29" i="16"/>
  <c r="AA29" i="16"/>
  <c r="Z29" i="16"/>
  <c r="Y29" i="16"/>
  <c r="X29" i="16"/>
  <c r="W29" i="16"/>
  <c r="F29" i="16"/>
  <c r="AH28" i="16"/>
  <c r="AG28" i="16"/>
  <c r="AF28" i="16"/>
  <c r="AE28" i="16"/>
  <c r="AD28" i="16"/>
  <c r="AC28" i="16"/>
  <c r="AB28" i="16"/>
  <c r="AA28" i="16"/>
  <c r="Z28" i="16"/>
  <c r="Y28" i="16"/>
  <c r="X28" i="16"/>
  <c r="W28" i="16"/>
  <c r="F28" i="16"/>
  <c r="AH27" i="16"/>
  <c r="AG27" i="16"/>
  <c r="AF27" i="16"/>
  <c r="AE27" i="16"/>
  <c r="AD27" i="16"/>
  <c r="AC27" i="16"/>
  <c r="AB27" i="16"/>
  <c r="AA27" i="16"/>
  <c r="Z27" i="16"/>
  <c r="Y27" i="16"/>
  <c r="X27" i="16"/>
  <c r="W27" i="16"/>
  <c r="F27" i="16"/>
  <c r="AH26" i="16"/>
  <c r="AG26" i="16"/>
  <c r="AF26" i="16"/>
  <c r="AE26" i="16"/>
  <c r="AD26" i="16"/>
  <c r="AC26" i="16"/>
  <c r="AB26" i="16"/>
  <c r="AA26" i="16"/>
  <c r="Z26" i="16"/>
  <c r="Y26" i="16"/>
  <c r="X26" i="16"/>
  <c r="W26" i="16"/>
  <c r="F26" i="16"/>
  <c r="AH25" i="16"/>
  <c r="AG25" i="16"/>
  <c r="AF25" i="16"/>
  <c r="AE25" i="16"/>
  <c r="AD25" i="16"/>
  <c r="AC25" i="16"/>
  <c r="AB25" i="16"/>
  <c r="AA25" i="16"/>
  <c r="Z25" i="16"/>
  <c r="Y25" i="16"/>
  <c r="X25" i="16"/>
  <c r="W25" i="16"/>
  <c r="F25" i="16"/>
  <c r="AH24" i="16"/>
  <c r="AG24" i="16"/>
  <c r="AF24" i="16"/>
  <c r="AE24" i="16"/>
  <c r="AD24" i="16"/>
  <c r="AC24" i="16"/>
  <c r="AB24" i="16"/>
  <c r="AA24" i="16"/>
  <c r="Z24" i="16"/>
  <c r="Y24" i="16"/>
  <c r="X24" i="16"/>
  <c r="W24" i="16"/>
  <c r="F24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F23" i="16"/>
  <c r="AH22" i="16"/>
  <c r="AG22" i="16"/>
  <c r="AF22" i="16"/>
  <c r="AE22" i="16"/>
  <c r="AD22" i="16"/>
  <c r="AC22" i="16"/>
  <c r="AB22" i="16"/>
  <c r="AA22" i="16"/>
  <c r="Z22" i="16"/>
  <c r="Y22" i="16"/>
  <c r="X22" i="16"/>
  <c r="W22" i="16"/>
  <c r="F22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F21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F20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F19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F18" i="16"/>
  <c r="AH17" i="16"/>
  <c r="AG17" i="16"/>
  <c r="AF17" i="16"/>
  <c r="AE17" i="16"/>
  <c r="AD17" i="16"/>
  <c r="AC17" i="16"/>
  <c r="AB17" i="16"/>
  <c r="AA17" i="16"/>
  <c r="Z17" i="16"/>
  <c r="Y17" i="16"/>
  <c r="X17" i="16"/>
  <c r="W17" i="16"/>
  <c r="F17" i="16"/>
  <c r="AH16" i="16"/>
  <c r="AG16" i="16"/>
  <c r="AF16" i="16"/>
  <c r="AE16" i="16"/>
  <c r="AD16" i="16"/>
  <c r="AC16" i="16"/>
  <c r="AB16" i="16"/>
  <c r="AA16" i="16"/>
  <c r="Z16" i="16"/>
  <c r="Y16" i="16"/>
  <c r="X16" i="16"/>
  <c r="W16" i="16"/>
  <c r="F16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F15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F14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F13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F12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F11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F10" i="16"/>
  <c r="AH9" i="16"/>
  <c r="AG9" i="16"/>
  <c r="AF9" i="16"/>
  <c r="AE9" i="16"/>
  <c r="AD9" i="16"/>
  <c r="AC9" i="16"/>
  <c r="AB9" i="16"/>
  <c r="AA9" i="16"/>
  <c r="Z9" i="16"/>
  <c r="Y9" i="16"/>
  <c r="X9" i="16"/>
  <c r="W9" i="16"/>
  <c r="F9" i="16"/>
  <c r="AH8" i="16"/>
  <c r="AG8" i="16"/>
  <c r="AF8" i="16"/>
  <c r="AE8" i="16"/>
  <c r="AD8" i="16"/>
  <c r="AC8" i="16"/>
  <c r="AB8" i="16"/>
  <c r="AA8" i="16"/>
  <c r="Z8" i="16"/>
  <c r="Y8" i="16"/>
  <c r="X8" i="16"/>
  <c r="W8" i="16"/>
  <c r="F8" i="16"/>
  <c r="AH7" i="16"/>
  <c r="AG7" i="16"/>
  <c r="AF7" i="16"/>
  <c r="AE7" i="16"/>
  <c r="AD7" i="16"/>
  <c r="AC7" i="16"/>
  <c r="AB7" i="16"/>
  <c r="AA7" i="16"/>
  <c r="Z7" i="16"/>
  <c r="Y7" i="16"/>
  <c r="X7" i="16"/>
  <c r="W7" i="16"/>
  <c r="F7" i="16"/>
  <c r="AH6" i="16"/>
  <c r="AG6" i="16"/>
  <c r="AF6" i="16"/>
  <c r="AE6" i="16"/>
  <c r="AD6" i="16"/>
  <c r="AC6" i="16"/>
  <c r="AB6" i="16"/>
  <c r="AA6" i="16"/>
  <c r="Z6" i="16"/>
  <c r="Y6" i="16"/>
  <c r="X6" i="16"/>
  <c r="W6" i="16"/>
  <c r="F6" i="16"/>
  <c r="AH100" i="15"/>
  <c r="AG100" i="15"/>
  <c r="AF100" i="15"/>
  <c r="AE100" i="15"/>
  <c r="AD100" i="15"/>
  <c r="AC100" i="15"/>
  <c r="AB100" i="15"/>
  <c r="AA100" i="15"/>
  <c r="Z100" i="15"/>
  <c r="Y100" i="15"/>
  <c r="X100" i="15"/>
  <c r="W100" i="15"/>
  <c r="F100" i="15"/>
  <c r="AH99" i="15"/>
  <c r="AG99" i="15"/>
  <c r="AF99" i="15"/>
  <c r="AE99" i="15"/>
  <c r="AD99" i="15"/>
  <c r="AC99" i="15"/>
  <c r="AB99" i="15"/>
  <c r="AA99" i="15"/>
  <c r="Z99" i="15"/>
  <c r="Y99" i="15"/>
  <c r="X99" i="15"/>
  <c r="W99" i="15"/>
  <c r="F99" i="15"/>
  <c r="AH98" i="15"/>
  <c r="AG98" i="15"/>
  <c r="AF98" i="15"/>
  <c r="AE98" i="15"/>
  <c r="AD98" i="15"/>
  <c r="AC98" i="15"/>
  <c r="AB98" i="15"/>
  <c r="AA98" i="15"/>
  <c r="Z98" i="15"/>
  <c r="Y98" i="15"/>
  <c r="X98" i="15"/>
  <c r="W98" i="15"/>
  <c r="F98" i="15"/>
  <c r="AH97" i="15"/>
  <c r="AG97" i="15"/>
  <c r="AF97" i="15"/>
  <c r="AE97" i="15"/>
  <c r="AD97" i="15"/>
  <c r="AC97" i="15"/>
  <c r="AB97" i="15"/>
  <c r="AA97" i="15"/>
  <c r="Z97" i="15"/>
  <c r="Y97" i="15"/>
  <c r="X97" i="15"/>
  <c r="W97" i="15"/>
  <c r="F97" i="15"/>
  <c r="AH96" i="15"/>
  <c r="AG96" i="15"/>
  <c r="AF96" i="15"/>
  <c r="AE96" i="15"/>
  <c r="AD96" i="15"/>
  <c r="AC96" i="15"/>
  <c r="AB96" i="15"/>
  <c r="AA96" i="15"/>
  <c r="Z96" i="15"/>
  <c r="Y96" i="15"/>
  <c r="X96" i="15"/>
  <c r="W96" i="15"/>
  <c r="F96" i="15"/>
  <c r="AH95" i="15"/>
  <c r="AG95" i="15"/>
  <c r="AF95" i="15"/>
  <c r="AE95" i="15"/>
  <c r="AD95" i="15"/>
  <c r="AC95" i="15"/>
  <c r="AB95" i="15"/>
  <c r="AA95" i="15"/>
  <c r="Z95" i="15"/>
  <c r="Y95" i="15"/>
  <c r="X95" i="15"/>
  <c r="W95" i="15"/>
  <c r="F95" i="15"/>
  <c r="AH94" i="15"/>
  <c r="AG94" i="15"/>
  <c r="AF94" i="15"/>
  <c r="AE94" i="15"/>
  <c r="AD94" i="15"/>
  <c r="AC94" i="15"/>
  <c r="AB94" i="15"/>
  <c r="AA94" i="15"/>
  <c r="Z94" i="15"/>
  <c r="Y94" i="15"/>
  <c r="X94" i="15"/>
  <c r="W94" i="15"/>
  <c r="F94" i="15"/>
  <c r="AH93" i="15"/>
  <c r="AG93" i="15"/>
  <c r="AF93" i="15"/>
  <c r="AE93" i="15"/>
  <c r="AD93" i="15"/>
  <c r="AC93" i="15"/>
  <c r="AB93" i="15"/>
  <c r="AA93" i="15"/>
  <c r="Z93" i="15"/>
  <c r="Y93" i="15"/>
  <c r="X93" i="15"/>
  <c r="W93" i="15"/>
  <c r="F93" i="15"/>
  <c r="AH92" i="15"/>
  <c r="AG92" i="15"/>
  <c r="AF92" i="15"/>
  <c r="AE92" i="15"/>
  <c r="AD92" i="15"/>
  <c r="AC92" i="15"/>
  <c r="AB92" i="15"/>
  <c r="AA92" i="15"/>
  <c r="Z92" i="15"/>
  <c r="Y92" i="15"/>
  <c r="X92" i="15"/>
  <c r="W92" i="15"/>
  <c r="F92" i="15"/>
  <c r="AH91" i="15"/>
  <c r="AG91" i="15"/>
  <c r="AF91" i="15"/>
  <c r="AE91" i="15"/>
  <c r="AD91" i="15"/>
  <c r="AC91" i="15"/>
  <c r="AB91" i="15"/>
  <c r="AA91" i="15"/>
  <c r="Z91" i="15"/>
  <c r="Y91" i="15"/>
  <c r="X91" i="15"/>
  <c r="W91" i="15"/>
  <c r="F91" i="15"/>
  <c r="AH90" i="15"/>
  <c r="AG90" i="15"/>
  <c r="AF90" i="15"/>
  <c r="AE90" i="15"/>
  <c r="AD90" i="15"/>
  <c r="AC90" i="15"/>
  <c r="AB90" i="15"/>
  <c r="AA90" i="15"/>
  <c r="Z90" i="15"/>
  <c r="Y90" i="15"/>
  <c r="X90" i="15"/>
  <c r="W90" i="15"/>
  <c r="F90" i="15"/>
  <c r="AH89" i="15"/>
  <c r="AG89" i="15"/>
  <c r="AF89" i="15"/>
  <c r="AE89" i="15"/>
  <c r="AD89" i="15"/>
  <c r="AC89" i="15"/>
  <c r="AB89" i="15"/>
  <c r="AA89" i="15"/>
  <c r="Z89" i="15"/>
  <c r="Y89" i="15"/>
  <c r="X89" i="15"/>
  <c r="W89" i="15"/>
  <c r="F89" i="15"/>
  <c r="AH88" i="15"/>
  <c r="AG88" i="15"/>
  <c r="AF88" i="15"/>
  <c r="AE88" i="15"/>
  <c r="AD88" i="15"/>
  <c r="AC88" i="15"/>
  <c r="AB88" i="15"/>
  <c r="AA88" i="15"/>
  <c r="Z88" i="15"/>
  <c r="Y88" i="15"/>
  <c r="X88" i="15"/>
  <c r="W88" i="15"/>
  <c r="F88" i="15"/>
  <c r="AH87" i="15"/>
  <c r="AG87" i="15"/>
  <c r="AF87" i="15"/>
  <c r="AE87" i="15"/>
  <c r="AD87" i="15"/>
  <c r="AC87" i="15"/>
  <c r="AB87" i="15"/>
  <c r="AA87" i="15"/>
  <c r="Z87" i="15"/>
  <c r="Y87" i="15"/>
  <c r="X87" i="15"/>
  <c r="W87" i="15"/>
  <c r="F87" i="15"/>
  <c r="AH86" i="15"/>
  <c r="AG86" i="15"/>
  <c r="AF86" i="15"/>
  <c r="AE86" i="15"/>
  <c r="AD86" i="15"/>
  <c r="AC86" i="15"/>
  <c r="AB86" i="15"/>
  <c r="AA86" i="15"/>
  <c r="Z86" i="15"/>
  <c r="Y86" i="15"/>
  <c r="X86" i="15"/>
  <c r="W86" i="15"/>
  <c r="F86" i="15"/>
  <c r="AH85" i="15"/>
  <c r="AG85" i="15"/>
  <c r="AF85" i="15"/>
  <c r="AE85" i="15"/>
  <c r="AD85" i="15"/>
  <c r="AC85" i="15"/>
  <c r="AB85" i="15"/>
  <c r="AA85" i="15"/>
  <c r="Z85" i="15"/>
  <c r="Y85" i="15"/>
  <c r="X85" i="15"/>
  <c r="W85" i="15"/>
  <c r="F85" i="15"/>
  <c r="AH84" i="15"/>
  <c r="AG84" i="15"/>
  <c r="AF84" i="15"/>
  <c r="AE84" i="15"/>
  <c r="AD84" i="15"/>
  <c r="AC84" i="15"/>
  <c r="AB84" i="15"/>
  <c r="AA84" i="15"/>
  <c r="Z84" i="15"/>
  <c r="Y84" i="15"/>
  <c r="X84" i="15"/>
  <c r="W84" i="15"/>
  <c r="F84" i="15"/>
  <c r="AH83" i="15"/>
  <c r="AG83" i="15"/>
  <c r="AF83" i="15"/>
  <c r="AE83" i="15"/>
  <c r="AD83" i="15"/>
  <c r="AC83" i="15"/>
  <c r="AB83" i="15"/>
  <c r="AA83" i="15"/>
  <c r="Z83" i="15"/>
  <c r="Y83" i="15"/>
  <c r="X83" i="15"/>
  <c r="W83" i="15"/>
  <c r="F83" i="15"/>
  <c r="AH82" i="15"/>
  <c r="AG82" i="15"/>
  <c r="AF82" i="15"/>
  <c r="AE82" i="15"/>
  <c r="AD82" i="15"/>
  <c r="AC82" i="15"/>
  <c r="AB82" i="15"/>
  <c r="AA82" i="15"/>
  <c r="Z82" i="15"/>
  <c r="Y82" i="15"/>
  <c r="X82" i="15"/>
  <c r="W82" i="15"/>
  <c r="F82" i="15"/>
  <c r="AH81" i="15"/>
  <c r="AG81" i="15"/>
  <c r="AF81" i="15"/>
  <c r="AE81" i="15"/>
  <c r="AD81" i="15"/>
  <c r="AC81" i="15"/>
  <c r="AB81" i="15"/>
  <c r="AA81" i="15"/>
  <c r="Z81" i="15"/>
  <c r="Y81" i="15"/>
  <c r="X81" i="15"/>
  <c r="W81" i="15"/>
  <c r="F81" i="15"/>
  <c r="AH80" i="15"/>
  <c r="AG80" i="15"/>
  <c r="AF80" i="15"/>
  <c r="AE80" i="15"/>
  <c r="AD80" i="15"/>
  <c r="AC80" i="15"/>
  <c r="AB80" i="15"/>
  <c r="AA80" i="15"/>
  <c r="Z80" i="15"/>
  <c r="Y80" i="15"/>
  <c r="X80" i="15"/>
  <c r="W80" i="15"/>
  <c r="F80" i="15"/>
  <c r="AH79" i="15"/>
  <c r="AG79" i="15"/>
  <c r="AF79" i="15"/>
  <c r="AE79" i="15"/>
  <c r="AD79" i="15"/>
  <c r="AC79" i="15"/>
  <c r="AB79" i="15"/>
  <c r="AA79" i="15"/>
  <c r="Z79" i="15"/>
  <c r="Y79" i="15"/>
  <c r="X79" i="15"/>
  <c r="W79" i="15"/>
  <c r="F79" i="15"/>
  <c r="AH78" i="15"/>
  <c r="AG78" i="15"/>
  <c r="AF78" i="15"/>
  <c r="AE78" i="15"/>
  <c r="AD78" i="15"/>
  <c r="AC78" i="15"/>
  <c r="AB78" i="15"/>
  <c r="AA78" i="15"/>
  <c r="Z78" i="15"/>
  <c r="Y78" i="15"/>
  <c r="X78" i="15"/>
  <c r="W78" i="15"/>
  <c r="F78" i="15"/>
  <c r="AH77" i="15"/>
  <c r="AG77" i="15"/>
  <c r="AF77" i="15"/>
  <c r="AE77" i="15"/>
  <c r="AD77" i="15"/>
  <c r="AC77" i="15"/>
  <c r="AB77" i="15"/>
  <c r="AA77" i="15"/>
  <c r="Z77" i="15"/>
  <c r="Y77" i="15"/>
  <c r="X77" i="15"/>
  <c r="W77" i="15"/>
  <c r="F77" i="15"/>
  <c r="AH76" i="15"/>
  <c r="AG76" i="15"/>
  <c r="AF76" i="15"/>
  <c r="AE76" i="15"/>
  <c r="AD76" i="15"/>
  <c r="AC76" i="15"/>
  <c r="AB76" i="15"/>
  <c r="AA76" i="15"/>
  <c r="Z76" i="15"/>
  <c r="Y76" i="15"/>
  <c r="X76" i="15"/>
  <c r="W76" i="15"/>
  <c r="F76" i="15"/>
  <c r="AH75" i="15"/>
  <c r="AG75" i="15"/>
  <c r="AF75" i="15"/>
  <c r="AE75" i="15"/>
  <c r="AD75" i="15"/>
  <c r="AC75" i="15"/>
  <c r="AB75" i="15"/>
  <c r="AA75" i="15"/>
  <c r="Z75" i="15"/>
  <c r="Y75" i="15"/>
  <c r="X75" i="15"/>
  <c r="W75" i="15"/>
  <c r="F75" i="15"/>
  <c r="AH74" i="15"/>
  <c r="AG74" i="15"/>
  <c r="AF74" i="15"/>
  <c r="AE74" i="15"/>
  <c r="AD74" i="15"/>
  <c r="AC74" i="15"/>
  <c r="AB74" i="15"/>
  <c r="AA74" i="15"/>
  <c r="Z74" i="15"/>
  <c r="Y74" i="15"/>
  <c r="X74" i="15"/>
  <c r="W74" i="15"/>
  <c r="F74" i="15"/>
  <c r="AH73" i="15"/>
  <c r="AG73" i="15"/>
  <c r="AF73" i="15"/>
  <c r="AE73" i="15"/>
  <c r="AD73" i="15"/>
  <c r="AC73" i="15"/>
  <c r="AB73" i="15"/>
  <c r="AA73" i="15"/>
  <c r="Z73" i="15"/>
  <c r="Y73" i="15"/>
  <c r="X73" i="15"/>
  <c r="W73" i="15"/>
  <c r="F73" i="15"/>
  <c r="AH72" i="15"/>
  <c r="AG72" i="15"/>
  <c r="AF72" i="15"/>
  <c r="AE72" i="15"/>
  <c r="AD72" i="15"/>
  <c r="AC72" i="15"/>
  <c r="AB72" i="15"/>
  <c r="AA72" i="15"/>
  <c r="Z72" i="15"/>
  <c r="Y72" i="15"/>
  <c r="X72" i="15"/>
  <c r="W72" i="15"/>
  <c r="F72" i="15"/>
  <c r="AH71" i="15"/>
  <c r="AG71" i="15"/>
  <c r="AF71" i="15"/>
  <c r="AE71" i="15"/>
  <c r="AD71" i="15"/>
  <c r="AC71" i="15"/>
  <c r="AB71" i="15"/>
  <c r="AA71" i="15"/>
  <c r="Z71" i="15"/>
  <c r="Y71" i="15"/>
  <c r="X71" i="15"/>
  <c r="W71" i="15"/>
  <c r="F71" i="15"/>
  <c r="AH70" i="15"/>
  <c r="AG70" i="15"/>
  <c r="AF70" i="15"/>
  <c r="AE70" i="15"/>
  <c r="AD70" i="15"/>
  <c r="AC70" i="15"/>
  <c r="AB70" i="15"/>
  <c r="AA70" i="15"/>
  <c r="Z70" i="15"/>
  <c r="Y70" i="15"/>
  <c r="X70" i="15"/>
  <c r="W70" i="15"/>
  <c r="F70" i="15"/>
  <c r="AH69" i="15"/>
  <c r="AG69" i="15"/>
  <c r="AF69" i="15"/>
  <c r="AE69" i="15"/>
  <c r="AD69" i="15"/>
  <c r="AC69" i="15"/>
  <c r="AB69" i="15"/>
  <c r="AA69" i="15"/>
  <c r="Z69" i="15"/>
  <c r="Y69" i="15"/>
  <c r="X69" i="15"/>
  <c r="W69" i="15"/>
  <c r="F69" i="15"/>
  <c r="AH68" i="15"/>
  <c r="AG68" i="15"/>
  <c r="AF68" i="15"/>
  <c r="AE68" i="15"/>
  <c r="AD68" i="15"/>
  <c r="AC68" i="15"/>
  <c r="AB68" i="15"/>
  <c r="AA68" i="15"/>
  <c r="Z68" i="15"/>
  <c r="Y68" i="15"/>
  <c r="X68" i="15"/>
  <c r="W68" i="15"/>
  <c r="F68" i="15"/>
  <c r="AH67" i="15"/>
  <c r="AG67" i="15"/>
  <c r="AF67" i="15"/>
  <c r="AE67" i="15"/>
  <c r="AD67" i="15"/>
  <c r="AC67" i="15"/>
  <c r="AB67" i="15"/>
  <c r="AA67" i="15"/>
  <c r="Z67" i="15"/>
  <c r="Y67" i="15"/>
  <c r="X67" i="15"/>
  <c r="W67" i="15"/>
  <c r="F67" i="15"/>
  <c r="AH66" i="15"/>
  <c r="AG66" i="15"/>
  <c r="AF66" i="15"/>
  <c r="AE66" i="15"/>
  <c r="AD66" i="15"/>
  <c r="AC66" i="15"/>
  <c r="AB66" i="15"/>
  <c r="AA66" i="15"/>
  <c r="Z66" i="15"/>
  <c r="Y66" i="15"/>
  <c r="X66" i="15"/>
  <c r="W66" i="15"/>
  <c r="F66" i="15"/>
  <c r="AH65" i="15"/>
  <c r="AG65" i="15"/>
  <c r="AF65" i="15"/>
  <c r="AE65" i="15"/>
  <c r="AD65" i="15"/>
  <c r="AC65" i="15"/>
  <c r="AB65" i="15"/>
  <c r="AA65" i="15"/>
  <c r="Z65" i="15"/>
  <c r="Y65" i="15"/>
  <c r="X65" i="15"/>
  <c r="W65" i="15"/>
  <c r="F65" i="15"/>
  <c r="AH64" i="15"/>
  <c r="AG64" i="15"/>
  <c r="AF64" i="15"/>
  <c r="AE64" i="15"/>
  <c r="AD64" i="15"/>
  <c r="AC64" i="15"/>
  <c r="AB64" i="15"/>
  <c r="AA64" i="15"/>
  <c r="Z64" i="15"/>
  <c r="Y64" i="15"/>
  <c r="X64" i="15"/>
  <c r="W64" i="15"/>
  <c r="F64" i="15"/>
  <c r="AH63" i="15"/>
  <c r="AG63" i="15"/>
  <c r="AF63" i="15"/>
  <c r="AE63" i="15"/>
  <c r="AD63" i="15"/>
  <c r="AC63" i="15"/>
  <c r="AB63" i="15"/>
  <c r="AA63" i="15"/>
  <c r="Z63" i="15"/>
  <c r="Y63" i="15"/>
  <c r="X63" i="15"/>
  <c r="W63" i="15"/>
  <c r="F63" i="15"/>
  <c r="AH62" i="15"/>
  <c r="AG62" i="15"/>
  <c r="AF62" i="15"/>
  <c r="AE62" i="15"/>
  <c r="AD62" i="15"/>
  <c r="AC62" i="15"/>
  <c r="AB62" i="15"/>
  <c r="AA62" i="15"/>
  <c r="Z62" i="15"/>
  <c r="Y62" i="15"/>
  <c r="X62" i="15"/>
  <c r="W62" i="15"/>
  <c r="F62" i="15"/>
  <c r="AH61" i="15"/>
  <c r="AG61" i="15"/>
  <c r="AF61" i="15"/>
  <c r="AE61" i="15"/>
  <c r="AD61" i="15"/>
  <c r="AC61" i="15"/>
  <c r="AB61" i="15"/>
  <c r="AA61" i="15"/>
  <c r="Z61" i="15"/>
  <c r="Y61" i="15"/>
  <c r="X61" i="15"/>
  <c r="W61" i="15"/>
  <c r="F61" i="15"/>
  <c r="AH60" i="15"/>
  <c r="AG60" i="15"/>
  <c r="AF60" i="15"/>
  <c r="AE60" i="15"/>
  <c r="AD60" i="15"/>
  <c r="AC60" i="15"/>
  <c r="AB60" i="15"/>
  <c r="AA60" i="15"/>
  <c r="Z60" i="15"/>
  <c r="Y60" i="15"/>
  <c r="X60" i="15"/>
  <c r="W60" i="15"/>
  <c r="F60" i="15"/>
  <c r="AH59" i="15"/>
  <c r="AG59" i="15"/>
  <c r="AF59" i="15"/>
  <c r="AE59" i="15"/>
  <c r="AD59" i="15"/>
  <c r="AC59" i="15"/>
  <c r="AB59" i="15"/>
  <c r="AA59" i="15"/>
  <c r="Z59" i="15"/>
  <c r="Y59" i="15"/>
  <c r="X59" i="15"/>
  <c r="W59" i="15"/>
  <c r="F59" i="15"/>
  <c r="AH58" i="15"/>
  <c r="AG58" i="15"/>
  <c r="AF58" i="15"/>
  <c r="AE58" i="15"/>
  <c r="AD58" i="15"/>
  <c r="AC58" i="15"/>
  <c r="AB58" i="15"/>
  <c r="AA58" i="15"/>
  <c r="Z58" i="15"/>
  <c r="Y58" i="15"/>
  <c r="X58" i="15"/>
  <c r="W58" i="15"/>
  <c r="F58" i="15"/>
  <c r="AH57" i="15"/>
  <c r="AG57" i="15"/>
  <c r="AF57" i="15"/>
  <c r="AE57" i="15"/>
  <c r="AD57" i="15"/>
  <c r="AC57" i="15"/>
  <c r="AB57" i="15"/>
  <c r="AA57" i="15"/>
  <c r="Z57" i="15"/>
  <c r="Y57" i="15"/>
  <c r="X57" i="15"/>
  <c r="W57" i="15"/>
  <c r="F57" i="15"/>
  <c r="AH56" i="15"/>
  <c r="AG56" i="15"/>
  <c r="AF56" i="15"/>
  <c r="AE56" i="15"/>
  <c r="AD56" i="15"/>
  <c r="AC56" i="15"/>
  <c r="AB56" i="15"/>
  <c r="AA56" i="15"/>
  <c r="Z56" i="15"/>
  <c r="Y56" i="15"/>
  <c r="X56" i="15"/>
  <c r="W56" i="15"/>
  <c r="F56" i="15"/>
  <c r="AH55" i="15"/>
  <c r="AG55" i="15"/>
  <c r="AF55" i="15"/>
  <c r="AE55" i="15"/>
  <c r="AD55" i="15"/>
  <c r="AC55" i="15"/>
  <c r="AB55" i="15"/>
  <c r="AA55" i="15"/>
  <c r="Z55" i="15"/>
  <c r="Y55" i="15"/>
  <c r="X55" i="15"/>
  <c r="W55" i="15"/>
  <c r="F55" i="15"/>
  <c r="AH54" i="15"/>
  <c r="AG54" i="15"/>
  <c r="AF54" i="15"/>
  <c r="AE54" i="15"/>
  <c r="AD54" i="15"/>
  <c r="AC54" i="15"/>
  <c r="AB54" i="15"/>
  <c r="AA54" i="15"/>
  <c r="Z54" i="15"/>
  <c r="Y54" i="15"/>
  <c r="X54" i="15"/>
  <c r="W54" i="15"/>
  <c r="F54" i="15"/>
  <c r="AH53" i="15"/>
  <c r="AG53" i="15"/>
  <c r="AF53" i="15"/>
  <c r="AE53" i="15"/>
  <c r="AD53" i="15"/>
  <c r="AC53" i="15"/>
  <c r="AB53" i="15"/>
  <c r="AA53" i="15"/>
  <c r="Z53" i="15"/>
  <c r="Y53" i="15"/>
  <c r="X53" i="15"/>
  <c r="W53" i="15"/>
  <c r="F53" i="15"/>
  <c r="AH52" i="15"/>
  <c r="AG52" i="15"/>
  <c r="AF52" i="15"/>
  <c r="AE52" i="15"/>
  <c r="AD52" i="15"/>
  <c r="AC52" i="15"/>
  <c r="AB52" i="15"/>
  <c r="AA52" i="15"/>
  <c r="Z52" i="15"/>
  <c r="Y52" i="15"/>
  <c r="X52" i="15"/>
  <c r="W52" i="15"/>
  <c r="F52" i="15"/>
  <c r="AH51" i="15"/>
  <c r="AG51" i="15"/>
  <c r="AF51" i="15"/>
  <c r="AE51" i="15"/>
  <c r="AD51" i="15"/>
  <c r="AC51" i="15"/>
  <c r="AB51" i="15"/>
  <c r="AA51" i="15"/>
  <c r="Z51" i="15"/>
  <c r="Y51" i="15"/>
  <c r="X51" i="15"/>
  <c r="W51" i="15"/>
  <c r="F51" i="15"/>
  <c r="AH50" i="15"/>
  <c r="AG50" i="15"/>
  <c r="AF50" i="15"/>
  <c r="AE50" i="15"/>
  <c r="AD50" i="15"/>
  <c r="AC50" i="15"/>
  <c r="AB50" i="15"/>
  <c r="AA50" i="15"/>
  <c r="Z50" i="15"/>
  <c r="Y50" i="15"/>
  <c r="X50" i="15"/>
  <c r="W50" i="15"/>
  <c r="F50" i="15"/>
  <c r="AH49" i="15"/>
  <c r="AG49" i="15"/>
  <c r="AF49" i="15"/>
  <c r="AE49" i="15"/>
  <c r="AD49" i="15"/>
  <c r="AC49" i="15"/>
  <c r="AB49" i="15"/>
  <c r="AA49" i="15"/>
  <c r="Z49" i="15"/>
  <c r="Y49" i="15"/>
  <c r="X49" i="15"/>
  <c r="W49" i="15"/>
  <c r="F49" i="15"/>
  <c r="AH48" i="15"/>
  <c r="AG48" i="15"/>
  <c r="AF48" i="15"/>
  <c r="AE48" i="15"/>
  <c r="AD48" i="15"/>
  <c r="AC48" i="15"/>
  <c r="AB48" i="15"/>
  <c r="AA48" i="15"/>
  <c r="Z48" i="15"/>
  <c r="Y48" i="15"/>
  <c r="X48" i="15"/>
  <c r="W48" i="15"/>
  <c r="F48" i="15"/>
  <c r="AH47" i="15"/>
  <c r="AG47" i="15"/>
  <c r="AF47" i="15"/>
  <c r="AE47" i="15"/>
  <c r="AD47" i="15"/>
  <c r="AC47" i="15"/>
  <c r="AB47" i="15"/>
  <c r="AA47" i="15"/>
  <c r="Z47" i="15"/>
  <c r="Y47" i="15"/>
  <c r="X47" i="15"/>
  <c r="W47" i="15"/>
  <c r="F47" i="15"/>
  <c r="AH46" i="15"/>
  <c r="AG46" i="15"/>
  <c r="AF46" i="15"/>
  <c r="AE46" i="15"/>
  <c r="AD46" i="15"/>
  <c r="AC46" i="15"/>
  <c r="AB46" i="15"/>
  <c r="AA46" i="15"/>
  <c r="Z46" i="15"/>
  <c r="Y46" i="15"/>
  <c r="X46" i="15"/>
  <c r="W46" i="15"/>
  <c r="F46" i="15"/>
  <c r="AH45" i="15"/>
  <c r="AG45" i="15"/>
  <c r="AF45" i="15"/>
  <c r="AE45" i="15"/>
  <c r="AD45" i="15"/>
  <c r="AC45" i="15"/>
  <c r="AB45" i="15"/>
  <c r="AA45" i="15"/>
  <c r="Z45" i="15"/>
  <c r="Y45" i="15"/>
  <c r="X45" i="15"/>
  <c r="W45" i="15"/>
  <c r="F45" i="15"/>
  <c r="AH44" i="15"/>
  <c r="AG44" i="15"/>
  <c r="AF44" i="15"/>
  <c r="AE44" i="15"/>
  <c r="AD44" i="15"/>
  <c r="AC44" i="15"/>
  <c r="AB44" i="15"/>
  <c r="AA44" i="15"/>
  <c r="Z44" i="15"/>
  <c r="Y44" i="15"/>
  <c r="X44" i="15"/>
  <c r="W44" i="15"/>
  <c r="F44" i="15"/>
  <c r="AH43" i="15"/>
  <c r="AG43" i="15"/>
  <c r="AF43" i="15"/>
  <c r="AE43" i="15"/>
  <c r="AD43" i="15"/>
  <c r="AC43" i="15"/>
  <c r="AB43" i="15"/>
  <c r="AA43" i="15"/>
  <c r="Z43" i="15"/>
  <c r="Y43" i="15"/>
  <c r="X43" i="15"/>
  <c r="W43" i="15"/>
  <c r="F43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F42" i="15"/>
  <c r="AH41" i="15"/>
  <c r="AG41" i="15"/>
  <c r="AF41" i="15"/>
  <c r="AE41" i="15"/>
  <c r="AD41" i="15"/>
  <c r="AC41" i="15"/>
  <c r="AB41" i="15"/>
  <c r="AA41" i="15"/>
  <c r="Z41" i="15"/>
  <c r="Y41" i="15"/>
  <c r="X41" i="15"/>
  <c r="W41" i="15"/>
  <c r="F41" i="15"/>
  <c r="AH40" i="15"/>
  <c r="AG40" i="15"/>
  <c r="AF40" i="15"/>
  <c r="AE40" i="15"/>
  <c r="AD40" i="15"/>
  <c r="AC40" i="15"/>
  <c r="AB40" i="15"/>
  <c r="AA40" i="15"/>
  <c r="Z40" i="15"/>
  <c r="Y40" i="15"/>
  <c r="X40" i="15"/>
  <c r="W40" i="15"/>
  <c r="F40" i="15"/>
  <c r="AH39" i="15"/>
  <c r="AG39" i="15"/>
  <c r="AF39" i="15"/>
  <c r="AE39" i="15"/>
  <c r="AD39" i="15"/>
  <c r="AC39" i="15"/>
  <c r="AB39" i="15"/>
  <c r="AA39" i="15"/>
  <c r="Z39" i="15"/>
  <c r="Y39" i="15"/>
  <c r="X39" i="15"/>
  <c r="W39" i="15"/>
  <c r="F39" i="15"/>
  <c r="AH38" i="15"/>
  <c r="AG38" i="15"/>
  <c r="AF38" i="15"/>
  <c r="AE38" i="15"/>
  <c r="AD38" i="15"/>
  <c r="AC38" i="15"/>
  <c r="AB38" i="15"/>
  <c r="AA38" i="15"/>
  <c r="Z38" i="15"/>
  <c r="Y38" i="15"/>
  <c r="X38" i="15"/>
  <c r="W38" i="15"/>
  <c r="F38" i="15"/>
  <c r="AH37" i="15"/>
  <c r="AG37" i="15"/>
  <c r="AF37" i="15"/>
  <c r="AE37" i="15"/>
  <c r="AD37" i="15"/>
  <c r="AC37" i="15"/>
  <c r="AB37" i="15"/>
  <c r="AA37" i="15"/>
  <c r="Z37" i="15"/>
  <c r="Y37" i="15"/>
  <c r="X37" i="15"/>
  <c r="W37" i="15"/>
  <c r="F37" i="15"/>
  <c r="AH36" i="15"/>
  <c r="AG36" i="15"/>
  <c r="AF36" i="15"/>
  <c r="AE36" i="15"/>
  <c r="AD36" i="15"/>
  <c r="AC36" i="15"/>
  <c r="AB36" i="15"/>
  <c r="AA36" i="15"/>
  <c r="Z36" i="15"/>
  <c r="Y36" i="15"/>
  <c r="X36" i="15"/>
  <c r="W36" i="15"/>
  <c r="F36" i="15"/>
  <c r="AH35" i="15"/>
  <c r="AG35" i="15"/>
  <c r="AF35" i="15"/>
  <c r="AE35" i="15"/>
  <c r="AD35" i="15"/>
  <c r="AC35" i="15"/>
  <c r="AB35" i="15"/>
  <c r="AA35" i="15"/>
  <c r="Z35" i="15"/>
  <c r="Y35" i="15"/>
  <c r="X35" i="15"/>
  <c r="W35" i="15"/>
  <c r="F35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F34" i="15"/>
  <c r="AH33" i="15"/>
  <c r="AG33" i="15"/>
  <c r="AF33" i="15"/>
  <c r="AE33" i="15"/>
  <c r="AD33" i="15"/>
  <c r="AC33" i="15"/>
  <c r="AB33" i="15"/>
  <c r="AA33" i="15"/>
  <c r="Z33" i="15"/>
  <c r="Y33" i="15"/>
  <c r="X33" i="15"/>
  <c r="W33" i="15"/>
  <c r="F33" i="15"/>
  <c r="AH32" i="15"/>
  <c r="AG32" i="15"/>
  <c r="AF32" i="15"/>
  <c r="AE32" i="15"/>
  <c r="AD32" i="15"/>
  <c r="AC32" i="15"/>
  <c r="AB32" i="15"/>
  <c r="AA32" i="15"/>
  <c r="Z32" i="15"/>
  <c r="Y32" i="15"/>
  <c r="X32" i="15"/>
  <c r="W32" i="15"/>
  <c r="F32" i="15"/>
  <c r="AH31" i="15"/>
  <c r="AG31" i="15"/>
  <c r="AF31" i="15"/>
  <c r="AE31" i="15"/>
  <c r="AD31" i="15"/>
  <c r="AC31" i="15"/>
  <c r="AB31" i="15"/>
  <c r="AA31" i="15"/>
  <c r="Z31" i="15"/>
  <c r="Y31" i="15"/>
  <c r="X31" i="15"/>
  <c r="W31" i="15"/>
  <c r="F31" i="15"/>
  <c r="AH30" i="15"/>
  <c r="AG30" i="15"/>
  <c r="AF30" i="15"/>
  <c r="AE30" i="15"/>
  <c r="AD30" i="15"/>
  <c r="AC30" i="15"/>
  <c r="AB30" i="15"/>
  <c r="AA30" i="15"/>
  <c r="Z30" i="15"/>
  <c r="Y30" i="15"/>
  <c r="X30" i="15"/>
  <c r="W30" i="15"/>
  <c r="F30" i="15"/>
  <c r="AH29" i="15"/>
  <c r="AG29" i="15"/>
  <c r="AF29" i="15"/>
  <c r="AE29" i="15"/>
  <c r="AD29" i="15"/>
  <c r="AC29" i="15"/>
  <c r="AB29" i="15"/>
  <c r="AA29" i="15"/>
  <c r="Z29" i="15"/>
  <c r="Y29" i="15"/>
  <c r="X29" i="15"/>
  <c r="W29" i="15"/>
  <c r="F29" i="15"/>
  <c r="AH28" i="15"/>
  <c r="AG28" i="15"/>
  <c r="AF28" i="15"/>
  <c r="AE28" i="15"/>
  <c r="AD28" i="15"/>
  <c r="AC28" i="15"/>
  <c r="AB28" i="15"/>
  <c r="AA28" i="15"/>
  <c r="Z28" i="15"/>
  <c r="Y28" i="15"/>
  <c r="X28" i="15"/>
  <c r="W28" i="15"/>
  <c r="F28" i="15"/>
  <c r="AH27" i="15"/>
  <c r="AG27" i="15"/>
  <c r="AF27" i="15"/>
  <c r="AE27" i="15"/>
  <c r="AD27" i="15"/>
  <c r="AC27" i="15"/>
  <c r="AB27" i="15"/>
  <c r="AA27" i="15"/>
  <c r="Z27" i="15"/>
  <c r="Y27" i="15"/>
  <c r="X27" i="15"/>
  <c r="W27" i="15"/>
  <c r="F27" i="15"/>
  <c r="AH26" i="15"/>
  <c r="AG26" i="15"/>
  <c r="AF26" i="15"/>
  <c r="AE26" i="15"/>
  <c r="AD26" i="15"/>
  <c r="AC26" i="15"/>
  <c r="AB26" i="15"/>
  <c r="AA26" i="15"/>
  <c r="Z26" i="15"/>
  <c r="Y26" i="15"/>
  <c r="X26" i="15"/>
  <c r="W26" i="15"/>
  <c r="F26" i="15"/>
  <c r="AH25" i="15"/>
  <c r="AG25" i="15"/>
  <c r="AF25" i="15"/>
  <c r="AE25" i="15"/>
  <c r="AD25" i="15"/>
  <c r="AC25" i="15"/>
  <c r="AB25" i="15"/>
  <c r="AA25" i="15"/>
  <c r="Z25" i="15"/>
  <c r="Y25" i="15"/>
  <c r="X25" i="15"/>
  <c r="W25" i="15"/>
  <c r="F25" i="15"/>
  <c r="AH24" i="15"/>
  <c r="AG24" i="15"/>
  <c r="AF24" i="15"/>
  <c r="AE24" i="15"/>
  <c r="AD24" i="15"/>
  <c r="AC24" i="15"/>
  <c r="AB24" i="15"/>
  <c r="AA24" i="15"/>
  <c r="Z24" i="15"/>
  <c r="Y24" i="15"/>
  <c r="X24" i="15"/>
  <c r="W24" i="15"/>
  <c r="F24" i="15"/>
  <c r="AH23" i="15"/>
  <c r="AG23" i="15"/>
  <c r="AF23" i="15"/>
  <c r="AE23" i="15"/>
  <c r="AD23" i="15"/>
  <c r="AC23" i="15"/>
  <c r="AB23" i="15"/>
  <c r="AA23" i="15"/>
  <c r="Z23" i="15"/>
  <c r="Y23" i="15"/>
  <c r="X23" i="15"/>
  <c r="W23" i="15"/>
  <c r="F23" i="15"/>
  <c r="AH22" i="15"/>
  <c r="AG22" i="15"/>
  <c r="AF22" i="15"/>
  <c r="AE22" i="15"/>
  <c r="AD22" i="15"/>
  <c r="AC22" i="15"/>
  <c r="AB22" i="15"/>
  <c r="AA22" i="15"/>
  <c r="Z22" i="15"/>
  <c r="Y22" i="15"/>
  <c r="X22" i="15"/>
  <c r="W22" i="15"/>
  <c r="F22" i="15"/>
  <c r="AH21" i="15"/>
  <c r="AG21" i="15"/>
  <c r="AF21" i="15"/>
  <c r="AE21" i="15"/>
  <c r="AD21" i="15"/>
  <c r="AC21" i="15"/>
  <c r="AB21" i="15"/>
  <c r="AA21" i="15"/>
  <c r="Z21" i="15"/>
  <c r="Y21" i="15"/>
  <c r="X21" i="15"/>
  <c r="W21" i="15"/>
  <c r="F21" i="15"/>
  <c r="AH20" i="15"/>
  <c r="AG20" i="15"/>
  <c r="AF20" i="15"/>
  <c r="AE20" i="15"/>
  <c r="AD20" i="15"/>
  <c r="AC20" i="15"/>
  <c r="AB20" i="15"/>
  <c r="AA20" i="15"/>
  <c r="Z20" i="15"/>
  <c r="Y20" i="15"/>
  <c r="X20" i="15"/>
  <c r="W20" i="15"/>
  <c r="F20" i="15"/>
  <c r="AH19" i="15"/>
  <c r="AG19" i="15"/>
  <c r="AF19" i="15"/>
  <c r="AE19" i="15"/>
  <c r="AD19" i="15"/>
  <c r="AC19" i="15"/>
  <c r="AB19" i="15"/>
  <c r="AA19" i="15"/>
  <c r="Z19" i="15"/>
  <c r="Y19" i="15"/>
  <c r="X19" i="15"/>
  <c r="W19" i="15"/>
  <c r="F19" i="15"/>
  <c r="AH18" i="15"/>
  <c r="AG18" i="15"/>
  <c r="AF18" i="15"/>
  <c r="AE18" i="15"/>
  <c r="AD18" i="15"/>
  <c r="AC18" i="15"/>
  <c r="AB18" i="15"/>
  <c r="AA18" i="15"/>
  <c r="Z18" i="15"/>
  <c r="Y18" i="15"/>
  <c r="X18" i="15"/>
  <c r="W18" i="15"/>
  <c r="F18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F17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F16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F15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F14" i="15"/>
  <c r="AH13" i="15"/>
  <c r="AG13" i="15"/>
  <c r="AF13" i="15"/>
  <c r="AE13" i="15"/>
  <c r="AD13" i="15"/>
  <c r="AC13" i="15"/>
  <c r="AB13" i="15"/>
  <c r="AA13" i="15"/>
  <c r="Z13" i="15"/>
  <c r="Y13" i="15"/>
  <c r="X13" i="15"/>
  <c r="W13" i="15"/>
  <c r="F13" i="15"/>
  <c r="AH12" i="15"/>
  <c r="AG12" i="15"/>
  <c r="AF12" i="15"/>
  <c r="AE12" i="15"/>
  <c r="AD12" i="15"/>
  <c r="AC12" i="15"/>
  <c r="AB12" i="15"/>
  <c r="AA12" i="15"/>
  <c r="Z12" i="15"/>
  <c r="Y12" i="15"/>
  <c r="X12" i="15"/>
  <c r="W12" i="15"/>
  <c r="F12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F11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F10" i="15"/>
  <c r="AH9" i="15"/>
  <c r="AG9" i="15"/>
  <c r="AF9" i="15"/>
  <c r="AE9" i="15"/>
  <c r="AD9" i="15"/>
  <c r="AC9" i="15"/>
  <c r="AB9" i="15"/>
  <c r="AA9" i="15"/>
  <c r="Z9" i="15"/>
  <c r="Y9" i="15"/>
  <c r="X9" i="15"/>
  <c r="W9" i="15"/>
  <c r="F9" i="15"/>
  <c r="AH8" i="15"/>
  <c r="AG8" i="15"/>
  <c r="AF8" i="15"/>
  <c r="AE8" i="15"/>
  <c r="AD8" i="15"/>
  <c r="AC8" i="15"/>
  <c r="AB8" i="15"/>
  <c r="AA8" i="15"/>
  <c r="Z8" i="15"/>
  <c r="Y8" i="15"/>
  <c r="X8" i="15"/>
  <c r="W8" i="15"/>
  <c r="F8" i="15"/>
  <c r="AH7" i="15"/>
  <c r="AG7" i="15"/>
  <c r="AF7" i="15"/>
  <c r="AE7" i="15"/>
  <c r="AD7" i="15"/>
  <c r="AC7" i="15"/>
  <c r="AB7" i="15"/>
  <c r="AA7" i="15"/>
  <c r="Z7" i="15"/>
  <c r="Y7" i="15"/>
  <c r="X7" i="15"/>
  <c r="W7" i="15"/>
  <c r="F7" i="15"/>
  <c r="AH6" i="15"/>
  <c r="AG6" i="15"/>
  <c r="AF6" i="15"/>
  <c r="AE6" i="15"/>
  <c r="AD6" i="15"/>
  <c r="AC6" i="15"/>
  <c r="AB6" i="15"/>
  <c r="AA6" i="15"/>
  <c r="Z6" i="15"/>
  <c r="Y6" i="15"/>
  <c r="X6" i="15"/>
  <c r="W6" i="15"/>
  <c r="F6" i="15"/>
  <c r="AH100" i="14"/>
  <c r="AG100" i="14"/>
  <c r="AF100" i="14"/>
  <c r="AE100" i="14"/>
  <c r="AD100" i="14"/>
  <c r="AC100" i="14"/>
  <c r="AB100" i="14"/>
  <c r="AA100" i="14"/>
  <c r="Z100" i="14"/>
  <c r="Y100" i="14"/>
  <c r="X100" i="14"/>
  <c r="W100" i="14"/>
  <c r="F100" i="14"/>
  <c r="AH99" i="14"/>
  <c r="AG99" i="14"/>
  <c r="AF99" i="14"/>
  <c r="AE99" i="14"/>
  <c r="AD99" i="14"/>
  <c r="AC99" i="14"/>
  <c r="AB99" i="14"/>
  <c r="AA99" i="14"/>
  <c r="Z99" i="14"/>
  <c r="Y99" i="14"/>
  <c r="X99" i="14"/>
  <c r="W99" i="14"/>
  <c r="F99" i="14"/>
  <c r="AH98" i="14"/>
  <c r="AG98" i="14"/>
  <c r="AF98" i="14"/>
  <c r="AE98" i="14"/>
  <c r="AD98" i="14"/>
  <c r="AC98" i="14"/>
  <c r="AB98" i="14"/>
  <c r="AA98" i="14"/>
  <c r="Z98" i="14"/>
  <c r="Y98" i="14"/>
  <c r="X98" i="14"/>
  <c r="W98" i="14"/>
  <c r="F98" i="14"/>
  <c r="AH97" i="14"/>
  <c r="AG97" i="14"/>
  <c r="AF97" i="14"/>
  <c r="AE97" i="14"/>
  <c r="AD97" i="14"/>
  <c r="AC97" i="14"/>
  <c r="AB97" i="14"/>
  <c r="AA97" i="14"/>
  <c r="Z97" i="14"/>
  <c r="Y97" i="14"/>
  <c r="X97" i="14"/>
  <c r="W97" i="14"/>
  <c r="F97" i="14"/>
  <c r="AH96" i="14"/>
  <c r="AG96" i="14"/>
  <c r="AF96" i="14"/>
  <c r="AE96" i="14"/>
  <c r="AD96" i="14"/>
  <c r="AC96" i="14"/>
  <c r="AB96" i="14"/>
  <c r="AA96" i="14"/>
  <c r="Z96" i="14"/>
  <c r="Y96" i="14"/>
  <c r="X96" i="14"/>
  <c r="W96" i="14"/>
  <c r="F96" i="14"/>
  <c r="AH95" i="14"/>
  <c r="AG95" i="14"/>
  <c r="AF95" i="14"/>
  <c r="AE95" i="14"/>
  <c r="AD95" i="14"/>
  <c r="AC95" i="14"/>
  <c r="AB95" i="14"/>
  <c r="AA95" i="14"/>
  <c r="Z95" i="14"/>
  <c r="Y95" i="14"/>
  <c r="X95" i="14"/>
  <c r="W95" i="14"/>
  <c r="F95" i="14"/>
  <c r="AH94" i="14"/>
  <c r="AG94" i="14"/>
  <c r="AF94" i="14"/>
  <c r="AE94" i="14"/>
  <c r="AD94" i="14"/>
  <c r="AC94" i="14"/>
  <c r="AB94" i="14"/>
  <c r="AA94" i="14"/>
  <c r="Z94" i="14"/>
  <c r="Y94" i="14"/>
  <c r="X94" i="14"/>
  <c r="W94" i="14"/>
  <c r="F94" i="14"/>
  <c r="AH93" i="14"/>
  <c r="AG93" i="14"/>
  <c r="AF93" i="14"/>
  <c r="AE93" i="14"/>
  <c r="AD93" i="14"/>
  <c r="AC93" i="14"/>
  <c r="AB93" i="14"/>
  <c r="AA93" i="14"/>
  <c r="Z93" i="14"/>
  <c r="Y93" i="14"/>
  <c r="X93" i="14"/>
  <c r="W93" i="14"/>
  <c r="F93" i="14"/>
  <c r="AH92" i="14"/>
  <c r="AG92" i="14"/>
  <c r="AF92" i="14"/>
  <c r="AE92" i="14"/>
  <c r="AD92" i="14"/>
  <c r="AC92" i="14"/>
  <c r="AB92" i="14"/>
  <c r="AA92" i="14"/>
  <c r="Z92" i="14"/>
  <c r="Y92" i="14"/>
  <c r="X92" i="14"/>
  <c r="W92" i="14"/>
  <c r="F92" i="14"/>
  <c r="AH91" i="14"/>
  <c r="AG91" i="14"/>
  <c r="AF91" i="14"/>
  <c r="AE91" i="14"/>
  <c r="AD91" i="14"/>
  <c r="AC91" i="14"/>
  <c r="AB91" i="14"/>
  <c r="AA91" i="14"/>
  <c r="Z91" i="14"/>
  <c r="Y91" i="14"/>
  <c r="X91" i="14"/>
  <c r="W91" i="14"/>
  <c r="F91" i="14"/>
  <c r="AH90" i="14"/>
  <c r="AG90" i="14"/>
  <c r="AF90" i="14"/>
  <c r="AE90" i="14"/>
  <c r="AD90" i="14"/>
  <c r="AC90" i="14"/>
  <c r="AB90" i="14"/>
  <c r="AA90" i="14"/>
  <c r="Z90" i="14"/>
  <c r="Y90" i="14"/>
  <c r="X90" i="14"/>
  <c r="W90" i="14"/>
  <c r="F90" i="14"/>
  <c r="AH89" i="14"/>
  <c r="AG89" i="14"/>
  <c r="AF89" i="14"/>
  <c r="AE89" i="14"/>
  <c r="AD89" i="14"/>
  <c r="AC89" i="14"/>
  <c r="AB89" i="14"/>
  <c r="AA89" i="14"/>
  <c r="Z89" i="14"/>
  <c r="Y89" i="14"/>
  <c r="X89" i="14"/>
  <c r="W89" i="14"/>
  <c r="F89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F88" i="14"/>
  <c r="AH87" i="14"/>
  <c r="AG87" i="14"/>
  <c r="AF87" i="14"/>
  <c r="AE87" i="14"/>
  <c r="AD87" i="14"/>
  <c r="AC87" i="14"/>
  <c r="AB87" i="14"/>
  <c r="AA87" i="14"/>
  <c r="Z87" i="14"/>
  <c r="Y87" i="14"/>
  <c r="X87" i="14"/>
  <c r="W87" i="14"/>
  <c r="F87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F86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F85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F84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F83" i="14"/>
  <c r="AH82" i="14"/>
  <c r="AG82" i="14"/>
  <c r="AF82" i="14"/>
  <c r="AE82" i="14"/>
  <c r="AD82" i="14"/>
  <c r="AC82" i="14"/>
  <c r="AB82" i="14"/>
  <c r="AA82" i="14"/>
  <c r="Z82" i="14"/>
  <c r="Y82" i="14"/>
  <c r="X82" i="14"/>
  <c r="W82" i="14"/>
  <c r="F82" i="14"/>
  <c r="AH81" i="14"/>
  <c r="AG81" i="14"/>
  <c r="AF81" i="14"/>
  <c r="AE81" i="14"/>
  <c r="AD81" i="14"/>
  <c r="AC81" i="14"/>
  <c r="AB81" i="14"/>
  <c r="AA81" i="14"/>
  <c r="Z81" i="14"/>
  <c r="Y81" i="14"/>
  <c r="X81" i="14"/>
  <c r="W81" i="14"/>
  <c r="F81" i="14"/>
  <c r="AH80" i="14"/>
  <c r="AG80" i="14"/>
  <c r="AF80" i="14"/>
  <c r="AE80" i="14"/>
  <c r="AD80" i="14"/>
  <c r="AC80" i="14"/>
  <c r="AB80" i="14"/>
  <c r="AA80" i="14"/>
  <c r="Z80" i="14"/>
  <c r="Y80" i="14"/>
  <c r="X80" i="14"/>
  <c r="W80" i="14"/>
  <c r="F80" i="14"/>
  <c r="AH79" i="14"/>
  <c r="AG79" i="14"/>
  <c r="AF79" i="14"/>
  <c r="AE79" i="14"/>
  <c r="AD79" i="14"/>
  <c r="AC79" i="14"/>
  <c r="AB79" i="14"/>
  <c r="AA79" i="14"/>
  <c r="Z79" i="14"/>
  <c r="Y79" i="14"/>
  <c r="X79" i="14"/>
  <c r="W79" i="14"/>
  <c r="F79" i="14"/>
  <c r="AH78" i="14"/>
  <c r="AG78" i="14"/>
  <c r="AF78" i="14"/>
  <c r="AE78" i="14"/>
  <c r="AD78" i="14"/>
  <c r="AC78" i="14"/>
  <c r="AB78" i="14"/>
  <c r="AA78" i="14"/>
  <c r="Z78" i="14"/>
  <c r="Y78" i="14"/>
  <c r="X78" i="14"/>
  <c r="W78" i="14"/>
  <c r="F78" i="14"/>
  <c r="AH77" i="14"/>
  <c r="AG77" i="14"/>
  <c r="AF77" i="14"/>
  <c r="AE77" i="14"/>
  <c r="AD77" i="14"/>
  <c r="AC77" i="14"/>
  <c r="AB77" i="14"/>
  <c r="AA77" i="14"/>
  <c r="Z77" i="14"/>
  <c r="Y77" i="14"/>
  <c r="X77" i="14"/>
  <c r="W77" i="14"/>
  <c r="F77" i="14"/>
  <c r="AH76" i="14"/>
  <c r="AG76" i="14"/>
  <c r="AF76" i="14"/>
  <c r="AE76" i="14"/>
  <c r="AD76" i="14"/>
  <c r="AC76" i="14"/>
  <c r="AB76" i="14"/>
  <c r="AA76" i="14"/>
  <c r="Z76" i="14"/>
  <c r="Y76" i="14"/>
  <c r="X76" i="14"/>
  <c r="W76" i="14"/>
  <c r="F76" i="14"/>
  <c r="AH75" i="14"/>
  <c r="AG75" i="14"/>
  <c r="AF75" i="14"/>
  <c r="AE75" i="14"/>
  <c r="AD75" i="14"/>
  <c r="AC75" i="14"/>
  <c r="AB75" i="14"/>
  <c r="AA75" i="14"/>
  <c r="Z75" i="14"/>
  <c r="Y75" i="14"/>
  <c r="X75" i="14"/>
  <c r="W75" i="14"/>
  <c r="F75" i="14"/>
  <c r="AH74" i="14"/>
  <c r="AG74" i="14"/>
  <c r="AF74" i="14"/>
  <c r="AE74" i="14"/>
  <c r="AD74" i="14"/>
  <c r="AC74" i="14"/>
  <c r="AB74" i="14"/>
  <c r="AA74" i="14"/>
  <c r="Z74" i="14"/>
  <c r="Y74" i="14"/>
  <c r="X74" i="14"/>
  <c r="W74" i="14"/>
  <c r="F74" i="14"/>
  <c r="AH73" i="14"/>
  <c r="AG73" i="14"/>
  <c r="AF73" i="14"/>
  <c r="AE73" i="14"/>
  <c r="AD73" i="14"/>
  <c r="AC73" i="14"/>
  <c r="AB73" i="14"/>
  <c r="AA73" i="14"/>
  <c r="Z73" i="14"/>
  <c r="Y73" i="14"/>
  <c r="X73" i="14"/>
  <c r="W73" i="14"/>
  <c r="F73" i="14"/>
  <c r="AH72" i="14"/>
  <c r="AG72" i="14"/>
  <c r="AF72" i="14"/>
  <c r="AE72" i="14"/>
  <c r="AD72" i="14"/>
  <c r="AC72" i="14"/>
  <c r="AB72" i="14"/>
  <c r="AA72" i="14"/>
  <c r="Z72" i="14"/>
  <c r="Y72" i="14"/>
  <c r="X72" i="14"/>
  <c r="W72" i="14"/>
  <c r="F72" i="14"/>
  <c r="AH71" i="14"/>
  <c r="AG71" i="14"/>
  <c r="AF71" i="14"/>
  <c r="AE71" i="14"/>
  <c r="AD71" i="14"/>
  <c r="AC71" i="14"/>
  <c r="AB71" i="14"/>
  <c r="AA71" i="14"/>
  <c r="Z71" i="14"/>
  <c r="Y71" i="14"/>
  <c r="X71" i="14"/>
  <c r="W71" i="14"/>
  <c r="F71" i="14"/>
  <c r="AH70" i="14"/>
  <c r="AG70" i="14"/>
  <c r="AF70" i="14"/>
  <c r="AE70" i="14"/>
  <c r="AD70" i="14"/>
  <c r="AC70" i="14"/>
  <c r="AB70" i="14"/>
  <c r="AA70" i="14"/>
  <c r="Z70" i="14"/>
  <c r="Y70" i="14"/>
  <c r="X70" i="14"/>
  <c r="W70" i="14"/>
  <c r="F70" i="14"/>
  <c r="AH69" i="14"/>
  <c r="AG69" i="14"/>
  <c r="AF69" i="14"/>
  <c r="AE69" i="14"/>
  <c r="AD69" i="14"/>
  <c r="AC69" i="14"/>
  <c r="AB69" i="14"/>
  <c r="AA69" i="14"/>
  <c r="Z69" i="14"/>
  <c r="Y69" i="14"/>
  <c r="X69" i="14"/>
  <c r="W69" i="14"/>
  <c r="F69" i="14"/>
  <c r="AH68" i="14"/>
  <c r="AG68" i="14"/>
  <c r="AF68" i="14"/>
  <c r="AE68" i="14"/>
  <c r="AD68" i="14"/>
  <c r="AC68" i="14"/>
  <c r="AB68" i="14"/>
  <c r="AA68" i="14"/>
  <c r="Z68" i="14"/>
  <c r="Y68" i="14"/>
  <c r="X68" i="14"/>
  <c r="W68" i="14"/>
  <c r="F68" i="14"/>
  <c r="AH67" i="14"/>
  <c r="AG67" i="14"/>
  <c r="AF67" i="14"/>
  <c r="AE67" i="14"/>
  <c r="AD67" i="14"/>
  <c r="AC67" i="14"/>
  <c r="AB67" i="14"/>
  <c r="AA67" i="14"/>
  <c r="Z67" i="14"/>
  <c r="Y67" i="14"/>
  <c r="X67" i="14"/>
  <c r="W67" i="14"/>
  <c r="F67" i="14"/>
  <c r="AH66" i="14"/>
  <c r="AG66" i="14"/>
  <c r="AF66" i="14"/>
  <c r="AE66" i="14"/>
  <c r="AD66" i="14"/>
  <c r="AC66" i="14"/>
  <c r="AB66" i="14"/>
  <c r="AA66" i="14"/>
  <c r="Z66" i="14"/>
  <c r="Y66" i="14"/>
  <c r="X66" i="14"/>
  <c r="W66" i="14"/>
  <c r="F66" i="14"/>
  <c r="AH65" i="14"/>
  <c r="AG65" i="14"/>
  <c r="AF65" i="14"/>
  <c r="AE65" i="14"/>
  <c r="AD65" i="14"/>
  <c r="AC65" i="14"/>
  <c r="AB65" i="14"/>
  <c r="AA65" i="14"/>
  <c r="Z65" i="14"/>
  <c r="Y65" i="14"/>
  <c r="X65" i="14"/>
  <c r="W65" i="14"/>
  <c r="F65" i="14"/>
  <c r="AH64" i="14"/>
  <c r="AG64" i="14"/>
  <c r="AF64" i="14"/>
  <c r="AE64" i="14"/>
  <c r="AD64" i="14"/>
  <c r="AC64" i="14"/>
  <c r="AB64" i="14"/>
  <c r="AA64" i="14"/>
  <c r="Z64" i="14"/>
  <c r="Y64" i="14"/>
  <c r="X64" i="14"/>
  <c r="W64" i="14"/>
  <c r="F64" i="14"/>
  <c r="AH63" i="14"/>
  <c r="AG63" i="14"/>
  <c r="AF63" i="14"/>
  <c r="AE63" i="14"/>
  <c r="AD63" i="14"/>
  <c r="AC63" i="14"/>
  <c r="AB63" i="14"/>
  <c r="AA63" i="14"/>
  <c r="Z63" i="14"/>
  <c r="Y63" i="14"/>
  <c r="X63" i="14"/>
  <c r="W63" i="14"/>
  <c r="F63" i="14"/>
  <c r="AH62" i="14"/>
  <c r="AG62" i="14"/>
  <c r="AF62" i="14"/>
  <c r="AE62" i="14"/>
  <c r="AD62" i="14"/>
  <c r="AC62" i="14"/>
  <c r="AB62" i="14"/>
  <c r="AA62" i="14"/>
  <c r="Z62" i="14"/>
  <c r="Y62" i="14"/>
  <c r="X62" i="14"/>
  <c r="W62" i="14"/>
  <c r="F62" i="14"/>
  <c r="AH61" i="14"/>
  <c r="AG61" i="14"/>
  <c r="AF61" i="14"/>
  <c r="AE61" i="14"/>
  <c r="AD61" i="14"/>
  <c r="AC61" i="14"/>
  <c r="AB61" i="14"/>
  <c r="AA61" i="14"/>
  <c r="Z61" i="14"/>
  <c r="Y61" i="14"/>
  <c r="X61" i="14"/>
  <c r="W61" i="14"/>
  <c r="F61" i="14"/>
  <c r="AH60" i="14"/>
  <c r="AG60" i="14"/>
  <c r="AF60" i="14"/>
  <c r="AE60" i="14"/>
  <c r="AD60" i="14"/>
  <c r="AC60" i="14"/>
  <c r="AB60" i="14"/>
  <c r="AA60" i="14"/>
  <c r="Z60" i="14"/>
  <c r="Y60" i="14"/>
  <c r="X60" i="14"/>
  <c r="W60" i="14"/>
  <c r="F60" i="14"/>
  <c r="AH59" i="14"/>
  <c r="AG59" i="14"/>
  <c r="AF59" i="14"/>
  <c r="AE59" i="14"/>
  <c r="AD59" i="14"/>
  <c r="AC59" i="14"/>
  <c r="AB59" i="14"/>
  <c r="AA59" i="14"/>
  <c r="Z59" i="14"/>
  <c r="Y59" i="14"/>
  <c r="X59" i="14"/>
  <c r="W59" i="14"/>
  <c r="F59" i="14"/>
  <c r="AH58" i="14"/>
  <c r="AG58" i="14"/>
  <c r="AF58" i="14"/>
  <c r="AE58" i="14"/>
  <c r="AD58" i="14"/>
  <c r="AC58" i="14"/>
  <c r="AB58" i="14"/>
  <c r="AA58" i="14"/>
  <c r="Z58" i="14"/>
  <c r="Y58" i="14"/>
  <c r="X58" i="14"/>
  <c r="W58" i="14"/>
  <c r="F58" i="14"/>
  <c r="AH57" i="14"/>
  <c r="AG57" i="14"/>
  <c r="AF57" i="14"/>
  <c r="AE57" i="14"/>
  <c r="AD57" i="14"/>
  <c r="AC57" i="14"/>
  <c r="AB57" i="14"/>
  <c r="AA57" i="14"/>
  <c r="Z57" i="14"/>
  <c r="Y57" i="14"/>
  <c r="X57" i="14"/>
  <c r="W57" i="14"/>
  <c r="F57" i="14"/>
  <c r="AH56" i="14"/>
  <c r="AG56" i="14"/>
  <c r="AF56" i="14"/>
  <c r="AE56" i="14"/>
  <c r="AD56" i="14"/>
  <c r="AC56" i="14"/>
  <c r="AB56" i="14"/>
  <c r="AA56" i="14"/>
  <c r="Z56" i="14"/>
  <c r="Y56" i="14"/>
  <c r="X56" i="14"/>
  <c r="W56" i="14"/>
  <c r="F56" i="14"/>
  <c r="AH55" i="14"/>
  <c r="AG55" i="14"/>
  <c r="AF55" i="14"/>
  <c r="AE55" i="14"/>
  <c r="AD55" i="14"/>
  <c r="AC55" i="14"/>
  <c r="AB55" i="14"/>
  <c r="AA55" i="14"/>
  <c r="Z55" i="14"/>
  <c r="Y55" i="14"/>
  <c r="X55" i="14"/>
  <c r="W55" i="14"/>
  <c r="F55" i="14"/>
  <c r="AH54" i="14"/>
  <c r="AG54" i="14"/>
  <c r="AF54" i="14"/>
  <c r="AE54" i="14"/>
  <c r="AD54" i="14"/>
  <c r="AC54" i="14"/>
  <c r="AB54" i="14"/>
  <c r="AA54" i="14"/>
  <c r="Z54" i="14"/>
  <c r="Y54" i="14"/>
  <c r="X54" i="14"/>
  <c r="W54" i="14"/>
  <c r="F54" i="14"/>
  <c r="AH53" i="14"/>
  <c r="AG53" i="14"/>
  <c r="AF53" i="14"/>
  <c r="AE53" i="14"/>
  <c r="AD53" i="14"/>
  <c r="AC53" i="14"/>
  <c r="AB53" i="14"/>
  <c r="AA53" i="14"/>
  <c r="Z53" i="14"/>
  <c r="Y53" i="14"/>
  <c r="X53" i="14"/>
  <c r="W53" i="14"/>
  <c r="F53" i="14"/>
  <c r="AH52" i="14"/>
  <c r="AG52" i="14"/>
  <c r="AF52" i="14"/>
  <c r="AE52" i="14"/>
  <c r="AD52" i="14"/>
  <c r="AC52" i="14"/>
  <c r="AB52" i="14"/>
  <c r="AA52" i="14"/>
  <c r="Z52" i="14"/>
  <c r="Y52" i="14"/>
  <c r="X52" i="14"/>
  <c r="W52" i="14"/>
  <c r="F52" i="14"/>
  <c r="AH51" i="14"/>
  <c r="AG51" i="14"/>
  <c r="AF51" i="14"/>
  <c r="AE51" i="14"/>
  <c r="AD51" i="14"/>
  <c r="AC51" i="14"/>
  <c r="AB51" i="14"/>
  <c r="AA51" i="14"/>
  <c r="Z51" i="14"/>
  <c r="Y51" i="14"/>
  <c r="X51" i="14"/>
  <c r="W51" i="14"/>
  <c r="F51" i="14"/>
  <c r="AH50" i="14"/>
  <c r="AG50" i="14"/>
  <c r="AF50" i="14"/>
  <c r="AE50" i="14"/>
  <c r="AD50" i="14"/>
  <c r="AC50" i="14"/>
  <c r="AB50" i="14"/>
  <c r="AA50" i="14"/>
  <c r="Z50" i="14"/>
  <c r="Y50" i="14"/>
  <c r="X50" i="14"/>
  <c r="W50" i="14"/>
  <c r="F50" i="14"/>
  <c r="AH49" i="14"/>
  <c r="AG49" i="14"/>
  <c r="AF49" i="14"/>
  <c r="AE49" i="14"/>
  <c r="AD49" i="14"/>
  <c r="AC49" i="14"/>
  <c r="AB49" i="14"/>
  <c r="AA49" i="14"/>
  <c r="Z49" i="14"/>
  <c r="Y49" i="14"/>
  <c r="X49" i="14"/>
  <c r="W49" i="14"/>
  <c r="F49" i="14"/>
  <c r="AH48" i="14"/>
  <c r="AG48" i="14"/>
  <c r="AF48" i="14"/>
  <c r="AE48" i="14"/>
  <c r="AD48" i="14"/>
  <c r="AC48" i="14"/>
  <c r="AB48" i="14"/>
  <c r="AA48" i="14"/>
  <c r="Z48" i="14"/>
  <c r="Y48" i="14"/>
  <c r="X48" i="14"/>
  <c r="W48" i="14"/>
  <c r="F48" i="14"/>
  <c r="AH47" i="14"/>
  <c r="AG47" i="14"/>
  <c r="AF47" i="14"/>
  <c r="AE47" i="14"/>
  <c r="AD47" i="14"/>
  <c r="AC47" i="14"/>
  <c r="AB47" i="14"/>
  <c r="AA47" i="14"/>
  <c r="Z47" i="14"/>
  <c r="Y47" i="14"/>
  <c r="X47" i="14"/>
  <c r="W47" i="14"/>
  <c r="F47" i="14"/>
  <c r="AH46" i="14"/>
  <c r="AG46" i="14"/>
  <c r="AF46" i="14"/>
  <c r="AE46" i="14"/>
  <c r="AD46" i="14"/>
  <c r="AC46" i="14"/>
  <c r="AB46" i="14"/>
  <c r="AA46" i="14"/>
  <c r="Z46" i="14"/>
  <c r="Y46" i="14"/>
  <c r="X46" i="14"/>
  <c r="W46" i="14"/>
  <c r="F46" i="14"/>
  <c r="AH45" i="14"/>
  <c r="AG45" i="14"/>
  <c r="AF45" i="14"/>
  <c r="AE45" i="14"/>
  <c r="AD45" i="14"/>
  <c r="AC45" i="14"/>
  <c r="AB45" i="14"/>
  <c r="AA45" i="14"/>
  <c r="Z45" i="14"/>
  <c r="Y45" i="14"/>
  <c r="X45" i="14"/>
  <c r="W45" i="14"/>
  <c r="F45" i="14"/>
  <c r="AH44" i="14"/>
  <c r="AG44" i="14"/>
  <c r="AF44" i="14"/>
  <c r="AE44" i="14"/>
  <c r="AD44" i="14"/>
  <c r="AC44" i="14"/>
  <c r="AB44" i="14"/>
  <c r="AA44" i="14"/>
  <c r="Z44" i="14"/>
  <c r="Y44" i="14"/>
  <c r="X44" i="14"/>
  <c r="W44" i="14"/>
  <c r="F44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F43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F42" i="14"/>
  <c r="AH41" i="14"/>
  <c r="AG41" i="14"/>
  <c r="AF41" i="14"/>
  <c r="AE41" i="14"/>
  <c r="AD41" i="14"/>
  <c r="AC41" i="14"/>
  <c r="AB41" i="14"/>
  <c r="AA41" i="14"/>
  <c r="Z41" i="14"/>
  <c r="Y41" i="14"/>
  <c r="X41" i="14"/>
  <c r="W41" i="14"/>
  <c r="F41" i="14"/>
  <c r="AH40" i="14"/>
  <c r="AG40" i="14"/>
  <c r="AF40" i="14"/>
  <c r="AE40" i="14"/>
  <c r="AD40" i="14"/>
  <c r="AC40" i="14"/>
  <c r="AB40" i="14"/>
  <c r="AA40" i="14"/>
  <c r="Z40" i="14"/>
  <c r="Y40" i="14"/>
  <c r="X40" i="14"/>
  <c r="W40" i="14"/>
  <c r="F40" i="14"/>
  <c r="AH39" i="14"/>
  <c r="AG39" i="14"/>
  <c r="AF39" i="14"/>
  <c r="AE39" i="14"/>
  <c r="AD39" i="14"/>
  <c r="AC39" i="14"/>
  <c r="AB39" i="14"/>
  <c r="AA39" i="14"/>
  <c r="Z39" i="14"/>
  <c r="Y39" i="14"/>
  <c r="X39" i="14"/>
  <c r="W39" i="14"/>
  <c r="F39" i="14"/>
  <c r="AH38" i="14"/>
  <c r="AG38" i="14"/>
  <c r="AF38" i="14"/>
  <c r="AE38" i="14"/>
  <c r="AD38" i="14"/>
  <c r="AC38" i="14"/>
  <c r="AB38" i="14"/>
  <c r="AA38" i="14"/>
  <c r="Z38" i="14"/>
  <c r="Y38" i="14"/>
  <c r="X38" i="14"/>
  <c r="W38" i="14"/>
  <c r="F38" i="14"/>
  <c r="AH37" i="14"/>
  <c r="AG37" i="14"/>
  <c r="AF37" i="14"/>
  <c r="AE37" i="14"/>
  <c r="AD37" i="14"/>
  <c r="AC37" i="14"/>
  <c r="AB37" i="14"/>
  <c r="AA37" i="14"/>
  <c r="Z37" i="14"/>
  <c r="Y37" i="14"/>
  <c r="X37" i="14"/>
  <c r="W37" i="14"/>
  <c r="F37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F36" i="14"/>
  <c r="AH35" i="14"/>
  <c r="AG35" i="14"/>
  <c r="AF35" i="14"/>
  <c r="AE35" i="14"/>
  <c r="AD35" i="14"/>
  <c r="AC35" i="14"/>
  <c r="AB35" i="14"/>
  <c r="AA35" i="14"/>
  <c r="Z35" i="14"/>
  <c r="Y35" i="14"/>
  <c r="X35" i="14"/>
  <c r="W35" i="14"/>
  <c r="F35" i="14"/>
  <c r="AH34" i="14"/>
  <c r="AG34" i="14"/>
  <c r="AF34" i="14"/>
  <c r="AE34" i="14"/>
  <c r="AD34" i="14"/>
  <c r="AC34" i="14"/>
  <c r="AB34" i="14"/>
  <c r="AA34" i="14"/>
  <c r="Z34" i="14"/>
  <c r="Y34" i="14"/>
  <c r="X34" i="14"/>
  <c r="W34" i="14"/>
  <c r="F34" i="14"/>
  <c r="AH33" i="14"/>
  <c r="AG33" i="14"/>
  <c r="AF33" i="14"/>
  <c r="AE33" i="14"/>
  <c r="AD33" i="14"/>
  <c r="AC33" i="14"/>
  <c r="AB33" i="14"/>
  <c r="AA33" i="14"/>
  <c r="Z33" i="14"/>
  <c r="Y33" i="14"/>
  <c r="X33" i="14"/>
  <c r="W33" i="14"/>
  <c r="F33" i="14"/>
  <c r="AH32" i="14"/>
  <c r="AG32" i="14"/>
  <c r="AF32" i="14"/>
  <c r="AE32" i="14"/>
  <c r="AD32" i="14"/>
  <c r="AC32" i="14"/>
  <c r="AB32" i="14"/>
  <c r="AA32" i="14"/>
  <c r="Z32" i="14"/>
  <c r="Y32" i="14"/>
  <c r="X32" i="14"/>
  <c r="W32" i="14"/>
  <c r="F32" i="14"/>
  <c r="AH31" i="14"/>
  <c r="AG31" i="14"/>
  <c r="AF31" i="14"/>
  <c r="AE31" i="14"/>
  <c r="AD31" i="14"/>
  <c r="AC31" i="14"/>
  <c r="AB31" i="14"/>
  <c r="AA31" i="14"/>
  <c r="Z31" i="14"/>
  <c r="Y31" i="14"/>
  <c r="X31" i="14"/>
  <c r="W31" i="14"/>
  <c r="F31" i="14"/>
  <c r="AH30" i="14"/>
  <c r="AG30" i="14"/>
  <c r="AF30" i="14"/>
  <c r="AE30" i="14"/>
  <c r="AD30" i="14"/>
  <c r="AC30" i="14"/>
  <c r="AB30" i="14"/>
  <c r="AA30" i="14"/>
  <c r="Z30" i="14"/>
  <c r="Y30" i="14"/>
  <c r="X30" i="14"/>
  <c r="W30" i="14"/>
  <c r="F30" i="14"/>
  <c r="AH29" i="14"/>
  <c r="AG29" i="14"/>
  <c r="AF29" i="14"/>
  <c r="AE29" i="14"/>
  <c r="AD29" i="14"/>
  <c r="AC29" i="14"/>
  <c r="AB29" i="14"/>
  <c r="AA29" i="14"/>
  <c r="Z29" i="14"/>
  <c r="Y29" i="14"/>
  <c r="X29" i="14"/>
  <c r="W29" i="14"/>
  <c r="F29" i="14"/>
  <c r="AH28" i="14"/>
  <c r="AG28" i="14"/>
  <c r="AF28" i="14"/>
  <c r="AE28" i="14"/>
  <c r="AD28" i="14"/>
  <c r="AC28" i="14"/>
  <c r="AB28" i="14"/>
  <c r="AA28" i="14"/>
  <c r="Z28" i="14"/>
  <c r="Y28" i="14"/>
  <c r="X28" i="14"/>
  <c r="W28" i="14"/>
  <c r="F28" i="14"/>
  <c r="AH27" i="14"/>
  <c r="AG27" i="14"/>
  <c r="AF27" i="14"/>
  <c r="AE27" i="14"/>
  <c r="AD27" i="14"/>
  <c r="AC27" i="14"/>
  <c r="AB27" i="14"/>
  <c r="AA27" i="14"/>
  <c r="Z27" i="14"/>
  <c r="Y27" i="14"/>
  <c r="X27" i="14"/>
  <c r="W27" i="14"/>
  <c r="F27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F26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F25" i="14"/>
  <c r="AH24" i="14"/>
  <c r="AG24" i="14"/>
  <c r="AF24" i="14"/>
  <c r="AE24" i="14"/>
  <c r="AD24" i="14"/>
  <c r="AC24" i="14"/>
  <c r="AB24" i="14"/>
  <c r="AA24" i="14"/>
  <c r="Z24" i="14"/>
  <c r="Y24" i="14"/>
  <c r="X24" i="14"/>
  <c r="W24" i="14"/>
  <c r="F24" i="14"/>
  <c r="AH23" i="14"/>
  <c r="AG23" i="14"/>
  <c r="AF23" i="14"/>
  <c r="AE23" i="14"/>
  <c r="AD23" i="14"/>
  <c r="AC23" i="14"/>
  <c r="AB23" i="14"/>
  <c r="AA23" i="14"/>
  <c r="Z23" i="14"/>
  <c r="Y23" i="14"/>
  <c r="X23" i="14"/>
  <c r="W23" i="14"/>
  <c r="F23" i="14"/>
  <c r="AH22" i="14"/>
  <c r="AG22" i="14"/>
  <c r="AF22" i="14"/>
  <c r="AE22" i="14"/>
  <c r="AD22" i="14"/>
  <c r="AC22" i="14"/>
  <c r="AB22" i="14"/>
  <c r="AA22" i="14"/>
  <c r="Z22" i="14"/>
  <c r="Y22" i="14"/>
  <c r="X22" i="14"/>
  <c r="W22" i="14"/>
  <c r="F22" i="14"/>
  <c r="AH21" i="14"/>
  <c r="AG21" i="14"/>
  <c r="AF21" i="14"/>
  <c r="AE21" i="14"/>
  <c r="AD21" i="14"/>
  <c r="AC21" i="14"/>
  <c r="AB21" i="14"/>
  <c r="AA21" i="14"/>
  <c r="Z21" i="14"/>
  <c r="Y21" i="14"/>
  <c r="X21" i="14"/>
  <c r="W21" i="14"/>
  <c r="F21" i="14"/>
  <c r="AH20" i="14"/>
  <c r="AG20" i="14"/>
  <c r="AF20" i="14"/>
  <c r="AE20" i="14"/>
  <c r="AD20" i="14"/>
  <c r="AC20" i="14"/>
  <c r="AB20" i="14"/>
  <c r="AA20" i="14"/>
  <c r="Z20" i="14"/>
  <c r="Y20" i="14"/>
  <c r="X20" i="14"/>
  <c r="W20" i="14"/>
  <c r="F20" i="14"/>
  <c r="AH19" i="14"/>
  <c r="AG19" i="14"/>
  <c r="AF19" i="14"/>
  <c r="AE19" i="14"/>
  <c r="AD19" i="14"/>
  <c r="AC19" i="14"/>
  <c r="AB19" i="14"/>
  <c r="AA19" i="14"/>
  <c r="Z19" i="14"/>
  <c r="Y19" i="14"/>
  <c r="X19" i="14"/>
  <c r="W19" i="14"/>
  <c r="F19" i="14"/>
  <c r="AH18" i="14"/>
  <c r="AG18" i="14"/>
  <c r="AF18" i="14"/>
  <c r="AE18" i="14"/>
  <c r="AD18" i="14"/>
  <c r="AC18" i="14"/>
  <c r="AB18" i="14"/>
  <c r="AA18" i="14"/>
  <c r="Z18" i="14"/>
  <c r="Y18" i="14"/>
  <c r="X18" i="14"/>
  <c r="W18" i="14"/>
  <c r="F18" i="14"/>
  <c r="AH17" i="14"/>
  <c r="AG17" i="14"/>
  <c r="AF17" i="14"/>
  <c r="AE17" i="14"/>
  <c r="AD17" i="14"/>
  <c r="AC17" i="14"/>
  <c r="AB17" i="14"/>
  <c r="AA17" i="14"/>
  <c r="Z17" i="14"/>
  <c r="Y17" i="14"/>
  <c r="X17" i="14"/>
  <c r="W17" i="14"/>
  <c r="F17" i="14"/>
  <c r="AH16" i="14"/>
  <c r="AG16" i="14"/>
  <c r="AF16" i="14"/>
  <c r="AE16" i="14"/>
  <c r="AD16" i="14"/>
  <c r="AC16" i="14"/>
  <c r="AB16" i="14"/>
  <c r="AA16" i="14"/>
  <c r="Z16" i="14"/>
  <c r="Y16" i="14"/>
  <c r="X16" i="14"/>
  <c r="W16" i="14"/>
  <c r="F16" i="14"/>
  <c r="AH15" i="14"/>
  <c r="AG15" i="14"/>
  <c r="AF15" i="14"/>
  <c r="AE15" i="14"/>
  <c r="AD15" i="14"/>
  <c r="AC15" i="14"/>
  <c r="AB15" i="14"/>
  <c r="AA15" i="14"/>
  <c r="Z15" i="14"/>
  <c r="Y15" i="14"/>
  <c r="X15" i="14"/>
  <c r="W15" i="14"/>
  <c r="F15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F14" i="14"/>
  <c r="AH13" i="14"/>
  <c r="AG13" i="14"/>
  <c r="AF13" i="14"/>
  <c r="AE13" i="14"/>
  <c r="AD13" i="14"/>
  <c r="AC13" i="14"/>
  <c r="AB13" i="14"/>
  <c r="AA13" i="14"/>
  <c r="Z13" i="14"/>
  <c r="Y13" i="14"/>
  <c r="X13" i="14"/>
  <c r="W13" i="14"/>
  <c r="F13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F12" i="14"/>
  <c r="AH11" i="14"/>
  <c r="AG11" i="14"/>
  <c r="AF11" i="14"/>
  <c r="AE11" i="14"/>
  <c r="AD11" i="14"/>
  <c r="AC11" i="14"/>
  <c r="AB11" i="14"/>
  <c r="AA11" i="14"/>
  <c r="Z11" i="14"/>
  <c r="Y11" i="14"/>
  <c r="X11" i="14"/>
  <c r="W11" i="14"/>
  <c r="F11" i="14"/>
  <c r="AH10" i="14"/>
  <c r="AG10" i="14"/>
  <c r="AF10" i="14"/>
  <c r="AE10" i="14"/>
  <c r="AD10" i="14"/>
  <c r="AC10" i="14"/>
  <c r="AB10" i="14"/>
  <c r="AA10" i="14"/>
  <c r="Z10" i="14"/>
  <c r="Y10" i="14"/>
  <c r="X10" i="14"/>
  <c r="W10" i="14"/>
  <c r="F10" i="14"/>
  <c r="AH9" i="14"/>
  <c r="AG9" i="14"/>
  <c r="AF9" i="14"/>
  <c r="AE9" i="14"/>
  <c r="AD9" i="14"/>
  <c r="AC9" i="14"/>
  <c r="AB9" i="14"/>
  <c r="AA9" i="14"/>
  <c r="Z9" i="14"/>
  <c r="Y9" i="14"/>
  <c r="X9" i="14"/>
  <c r="W9" i="14"/>
  <c r="F9" i="14"/>
  <c r="AH8" i="14"/>
  <c r="AG8" i="14"/>
  <c r="AF8" i="14"/>
  <c r="AE8" i="14"/>
  <c r="AD8" i="14"/>
  <c r="AC8" i="14"/>
  <c r="AB8" i="14"/>
  <c r="AA8" i="14"/>
  <c r="Z8" i="14"/>
  <c r="Y8" i="14"/>
  <c r="X8" i="14"/>
  <c r="W8" i="14"/>
  <c r="F8" i="14"/>
  <c r="AH7" i="14"/>
  <c r="AG7" i="14"/>
  <c r="AF7" i="14"/>
  <c r="AE7" i="14"/>
  <c r="AD7" i="14"/>
  <c r="AC7" i="14"/>
  <c r="AB7" i="14"/>
  <c r="AA7" i="14"/>
  <c r="Z7" i="14"/>
  <c r="Y7" i="14"/>
  <c r="X7" i="14"/>
  <c r="W7" i="14"/>
  <c r="F7" i="14"/>
  <c r="AH6" i="14"/>
  <c r="AG6" i="14"/>
  <c r="AF6" i="14"/>
  <c r="AE6" i="14"/>
  <c r="AD6" i="14"/>
  <c r="AC6" i="14"/>
  <c r="AB6" i="14"/>
  <c r="AA6" i="14"/>
  <c r="Z6" i="14"/>
  <c r="Y6" i="14"/>
  <c r="X6" i="14"/>
  <c r="W6" i="14"/>
  <c r="F6" i="14"/>
  <c r="AH100" i="11" l="1"/>
  <c r="AG100" i="11"/>
  <c r="AF100" i="11"/>
  <c r="AE100" i="11"/>
  <c r="AD100" i="11"/>
  <c r="AC100" i="11"/>
  <c r="AB100" i="11"/>
  <c r="AA100" i="11"/>
  <c r="Z100" i="11"/>
  <c r="Y100" i="11"/>
  <c r="X100" i="11"/>
  <c r="W100" i="11"/>
  <c r="F100" i="11"/>
  <c r="AH99" i="11"/>
  <c r="AG99" i="11"/>
  <c r="AF99" i="11"/>
  <c r="AE99" i="11"/>
  <c r="AD99" i="11"/>
  <c r="AC99" i="11"/>
  <c r="AB99" i="11"/>
  <c r="AA99" i="11"/>
  <c r="Z99" i="11"/>
  <c r="Y99" i="11"/>
  <c r="X99" i="11"/>
  <c r="W99" i="11"/>
  <c r="F99" i="11"/>
  <c r="AH98" i="11"/>
  <c r="AG98" i="11"/>
  <c r="AF98" i="11"/>
  <c r="AE98" i="11"/>
  <c r="AD98" i="11"/>
  <c r="AC98" i="11"/>
  <c r="AB98" i="11"/>
  <c r="AA98" i="11"/>
  <c r="Z98" i="11"/>
  <c r="Y98" i="11"/>
  <c r="X98" i="11"/>
  <c r="W98" i="11"/>
  <c r="F98" i="11"/>
  <c r="AH97" i="11"/>
  <c r="AG97" i="11"/>
  <c r="AF97" i="11"/>
  <c r="AE97" i="11"/>
  <c r="AD97" i="11"/>
  <c r="AC97" i="11"/>
  <c r="AB97" i="11"/>
  <c r="AA97" i="11"/>
  <c r="Z97" i="11"/>
  <c r="Y97" i="11"/>
  <c r="X97" i="11"/>
  <c r="W97" i="11"/>
  <c r="F97" i="11"/>
  <c r="AH96" i="11"/>
  <c r="AG96" i="11"/>
  <c r="AF96" i="11"/>
  <c r="AE96" i="11"/>
  <c r="AD96" i="11"/>
  <c r="AC96" i="11"/>
  <c r="AB96" i="11"/>
  <c r="AA96" i="11"/>
  <c r="Z96" i="11"/>
  <c r="Y96" i="11"/>
  <c r="X96" i="11"/>
  <c r="W96" i="11"/>
  <c r="F96" i="11"/>
  <c r="AH95" i="11"/>
  <c r="AG95" i="11"/>
  <c r="AF95" i="11"/>
  <c r="AE95" i="11"/>
  <c r="AD95" i="11"/>
  <c r="AC95" i="11"/>
  <c r="AB95" i="11"/>
  <c r="AA95" i="11"/>
  <c r="Z95" i="11"/>
  <c r="Y95" i="11"/>
  <c r="X95" i="11"/>
  <c r="W95" i="11"/>
  <c r="F95" i="11"/>
  <c r="AH94" i="11"/>
  <c r="AG94" i="11"/>
  <c r="AF94" i="11"/>
  <c r="AE94" i="11"/>
  <c r="AD94" i="11"/>
  <c r="AC94" i="11"/>
  <c r="AB94" i="11"/>
  <c r="AA94" i="11"/>
  <c r="Z94" i="11"/>
  <c r="Y94" i="11"/>
  <c r="X94" i="11"/>
  <c r="W94" i="11"/>
  <c r="F94" i="11"/>
  <c r="AH93" i="11"/>
  <c r="AG93" i="11"/>
  <c r="AF93" i="11"/>
  <c r="AE93" i="11"/>
  <c r="AD93" i="11"/>
  <c r="AC93" i="11"/>
  <c r="AB93" i="11"/>
  <c r="AA93" i="11"/>
  <c r="Z93" i="11"/>
  <c r="Y93" i="11"/>
  <c r="X93" i="11"/>
  <c r="W93" i="11"/>
  <c r="F93" i="11"/>
  <c r="AH92" i="11"/>
  <c r="AG92" i="11"/>
  <c r="AF92" i="11"/>
  <c r="AE92" i="11"/>
  <c r="AD92" i="11"/>
  <c r="AC92" i="11"/>
  <c r="AB92" i="11"/>
  <c r="AA92" i="11"/>
  <c r="Z92" i="11"/>
  <c r="Y92" i="11"/>
  <c r="X92" i="11"/>
  <c r="W92" i="11"/>
  <c r="F92" i="11"/>
  <c r="AH91" i="11"/>
  <c r="AG91" i="11"/>
  <c r="AF91" i="11"/>
  <c r="AE91" i="11"/>
  <c r="AD91" i="11"/>
  <c r="AC91" i="11"/>
  <c r="AB91" i="11"/>
  <c r="AA91" i="11"/>
  <c r="Z91" i="11"/>
  <c r="Y91" i="11"/>
  <c r="X91" i="11"/>
  <c r="W91" i="11"/>
  <c r="F91" i="11"/>
  <c r="AH90" i="11"/>
  <c r="AG90" i="11"/>
  <c r="AF90" i="11"/>
  <c r="AE90" i="11"/>
  <c r="AD90" i="11"/>
  <c r="AC90" i="11"/>
  <c r="AB90" i="11"/>
  <c r="AA90" i="11"/>
  <c r="Z90" i="11"/>
  <c r="Y90" i="11"/>
  <c r="X90" i="11"/>
  <c r="W90" i="11"/>
  <c r="F90" i="11"/>
  <c r="AH89" i="11"/>
  <c r="AG89" i="11"/>
  <c r="AF89" i="11"/>
  <c r="AE89" i="11"/>
  <c r="AD89" i="11"/>
  <c r="AC89" i="11"/>
  <c r="AB89" i="11"/>
  <c r="AA89" i="11"/>
  <c r="Z89" i="11"/>
  <c r="Y89" i="11"/>
  <c r="X89" i="11"/>
  <c r="W89" i="11"/>
  <c r="F89" i="11"/>
  <c r="AH88" i="11"/>
  <c r="AG88" i="11"/>
  <c r="AF88" i="11"/>
  <c r="AE88" i="11"/>
  <c r="AD88" i="11"/>
  <c r="AC88" i="11"/>
  <c r="AB88" i="11"/>
  <c r="AA88" i="11"/>
  <c r="Z88" i="11"/>
  <c r="Y88" i="11"/>
  <c r="X88" i="11"/>
  <c r="W88" i="11"/>
  <c r="F88" i="11"/>
  <c r="AH87" i="11"/>
  <c r="AG87" i="11"/>
  <c r="AF87" i="11"/>
  <c r="AE87" i="11"/>
  <c r="AD87" i="11"/>
  <c r="AC87" i="11"/>
  <c r="AB87" i="11"/>
  <c r="AA87" i="11"/>
  <c r="Z87" i="11"/>
  <c r="Y87" i="11"/>
  <c r="X87" i="11"/>
  <c r="W87" i="11"/>
  <c r="F87" i="11"/>
  <c r="AH86" i="11"/>
  <c r="AG86" i="11"/>
  <c r="AF86" i="11"/>
  <c r="AE86" i="11"/>
  <c r="AD86" i="11"/>
  <c r="AC86" i="11"/>
  <c r="AB86" i="11"/>
  <c r="AA86" i="11"/>
  <c r="Z86" i="11"/>
  <c r="Y86" i="11"/>
  <c r="X86" i="11"/>
  <c r="W86" i="11"/>
  <c r="F86" i="11"/>
  <c r="AH85" i="11"/>
  <c r="AG85" i="11"/>
  <c r="AF85" i="11"/>
  <c r="AE85" i="11"/>
  <c r="AD85" i="11"/>
  <c r="AC85" i="11"/>
  <c r="AB85" i="11"/>
  <c r="AA85" i="11"/>
  <c r="Z85" i="11"/>
  <c r="Y85" i="11"/>
  <c r="X85" i="11"/>
  <c r="W85" i="11"/>
  <c r="F85" i="11"/>
  <c r="AH84" i="11"/>
  <c r="AG84" i="11"/>
  <c r="AF84" i="11"/>
  <c r="AE84" i="11"/>
  <c r="AD84" i="11"/>
  <c r="AC84" i="11"/>
  <c r="AB84" i="11"/>
  <c r="AA84" i="11"/>
  <c r="Z84" i="11"/>
  <c r="Y84" i="11"/>
  <c r="X84" i="11"/>
  <c r="W84" i="11"/>
  <c r="F84" i="11"/>
  <c r="AH83" i="11"/>
  <c r="AG83" i="11"/>
  <c r="AF83" i="11"/>
  <c r="AE83" i="11"/>
  <c r="AD83" i="11"/>
  <c r="AC83" i="11"/>
  <c r="AB83" i="11"/>
  <c r="AA83" i="11"/>
  <c r="Z83" i="11"/>
  <c r="Y83" i="11"/>
  <c r="X83" i="11"/>
  <c r="W83" i="11"/>
  <c r="F83" i="11"/>
  <c r="AH82" i="11"/>
  <c r="AG82" i="11"/>
  <c r="AF82" i="11"/>
  <c r="AE82" i="11"/>
  <c r="AD82" i="11"/>
  <c r="AC82" i="11"/>
  <c r="AB82" i="11"/>
  <c r="AA82" i="11"/>
  <c r="Z82" i="11"/>
  <c r="Y82" i="11"/>
  <c r="X82" i="11"/>
  <c r="W82" i="11"/>
  <c r="F82" i="11"/>
  <c r="AH81" i="11"/>
  <c r="AG81" i="11"/>
  <c r="AF81" i="11"/>
  <c r="AE81" i="11"/>
  <c r="AD81" i="11"/>
  <c r="AC81" i="11"/>
  <c r="AB81" i="11"/>
  <c r="AA81" i="11"/>
  <c r="Z81" i="11"/>
  <c r="Y81" i="11"/>
  <c r="X81" i="11"/>
  <c r="W81" i="11"/>
  <c r="F81" i="11"/>
  <c r="AH80" i="11"/>
  <c r="AG80" i="11"/>
  <c r="AF80" i="11"/>
  <c r="AE80" i="11"/>
  <c r="AD80" i="11"/>
  <c r="AC80" i="11"/>
  <c r="AB80" i="11"/>
  <c r="AA80" i="11"/>
  <c r="Z80" i="11"/>
  <c r="Y80" i="11"/>
  <c r="X80" i="11"/>
  <c r="W80" i="11"/>
  <c r="F80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F79" i="11"/>
  <c r="AH78" i="11"/>
  <c r="AG78" i="11"/>
  <c r="AF78" i="11"/>
  <c r="AE78" i="11"/>
  <c r="AD78" i="11"/>
  <c r="AC78" i="11"/>
  <c r="AB78" i="11"/>
  <c r="AA78" i="11"/>
  <c r="Z78" i="11"/>
  <c r="Y78" i="11"/>
  <c r="X78" i="11"/>
  <c r="W78" i="11"/>
  <c r="F78" i="11"/>
  <c r="AH77" i="11"/>
  <c r="AG77" i="11"/>
  <c r="AF77" i="11"/>
  <c r="AE77" i="11"/>
  <c r="AD77" i="11"/>
  <c r="AC77" i="11"/>
  <c r="AB77" i="11"/>
  <c r="AA77" i="11"/>
  <c r="Z77" i="11"/>
  <c r="Y77" i="11"/>
  <c r="X77" i="11"/>
  <c r="W77" i="11"/>
  <c r="F77" i="11"/>
  <c r="AH76" i="11"/>
  <c r="AG76" i="11"/>
  <c r="AF76" i="11"/>
  <c r="AE76" i="11"/>
  <c r="AD76" i="11"/>
  <c r="AC76" i="11"/>
  <c r="AB76" i="11"/>
  <c r="AA76" i="11"/>
  <c r="Z76" i="11"/>
  <c r="Y76" i="11"/>
  <c r="X76" i="11"/>
  <c r="W76" i="11"/>
  <c r="F76" i="11"/>
  <c r="AH75" i="11"/>
  <c r="AG75" i="11"/>
  <c r="AF75" i="11"/>
  <c r="AE75" i="11"/>
  <c r="AD75" i="11"/>
  <c r="AC75" i="11"/>
  <c r="AB75" i="11"/>
  <c r="AA75" i="11"/>
  <c r="Z75" i="11"/>
  <c r="Y75" i="11"/>
  <c r="X75" i="11"/>
  <c r="W75" i="11"/>
  <c r="F75" i="11"/>
  <c r="AH74" i="11"/>
  <c r="AG74" i="11"/>
  <c r="AF74" i="11"/>
  <c r="AE74" i="11"/>
  <c r="AD74" i="11"/>
  <c r="AC74" i="11"/>
  <c r="AB74" i="11"/>
  <c r="AA74" i="11"/>
  <c r="Z74" i="11"/>
  <c r="Y74" i="11"/>
  <c r="X74" i="11"/>
  <c r="W74" i="11"/>
  <c r="F74" i="11"/>
  <c r="AH73" i="11"/>
  <c r="AG73" i="11"/>
  <c r="AF73" i="11"/>
  <c r="AE73" i="11"/>
  <c r="AD73" i="11"/>
  <c r="AC73" i="11"/>
  <c r="AB73" i="11"/>
  <c r="AA73" i="11"/>
  <c r="Z73" i="11"/>
  <c r="Y73" i="11"/>
  <c r="X73" i="11"/>
  <c r="W73" i="11"/>
  <c r="F73" i="11"/>
  <c r="AH72" i="11"/>
  <c r="AG72" i="11"/>
  <c r="AF72" i="11"/>
  <c r="AE72" i="11"/>
  <c r="AD72" i="11"/>
  <c r="AC72" i="11"/>
  <c r="AB72" i="11"/>
  <c r="AA72" i="11"/>
  <c r="Z72" i="11"/>
  <c r="Y72" i="11"/>
  <c r="X72" i="11"/>
  <c r="W72" i="11"/>
  <c r="F72" i="11"/>
  <c r="AH71" i="11"/>
  <c r="AG71" i="11"/>
  <c r="AF71" i="11"/>
  <c r="AE71" i="11"/>
  <c r="AD71" i="11"/>
  <c r="AC71" i="11"/>
  <c r="AB71" i="11"/>
  <c r="AA71" i="11"/>
  <c r="Z71" i="11"/>
  <c r="Y71" i="11"/>
  <c r="X71" i="11"/>
  <c r="W71" i="11"/>
  <c r="F71" i="11"/>
  <c r="AH70" i="11"/>
  <c r="AG70" i="11"/>
  <c r="AF70" i="11"/>
  <c r="AE70" i="11"/>
  <c r="AD70" i="11"/>
  <c r="AC70" i="11"/>
  <c r="AB70" i="11"/>
  <c r="AA70" i="11"/>
  <c r="Z70" i="11"/>
  <c r="Y70" i="11"/>
  <c r="X70" i="11"/>
  <c r="W70" i="11"/>
  <c r="F70" i="11"/>
  <c r="AH69" i="11"/>
  <c r="AG69" i="11"/>
  <c r="AF69" i="11"/>
  <c r="AE69" i="11"/>
  <c r="AD69" i="11"/>
  <c r="AC69" i="11"/>
  <c r="AB69" i="11"/>
  <c r="AA69" i="11"/>
  <c r="Z69" i="11"/>
  <c r="Y69" i="11"/>
  <c r="X69" i="11"/>
  <c r="W69" i="11"/>
  <c r="F69" i="11"/>
  <c r="AH68" i="11"/>
  <c r="AG68" i="11"/>
  <c r="AF68" i="11"/>
  <c r="AE68" i="11"/>
  <c r="AD68" i="11"/>
  <c r="AC68" i="11"/>
  <c r="AB68" i="11"/>
  <c r="AA68" i="11"/>
  <c r="Z68" i="11"/>
  <c r="Y68" i="11"/>
  <c r="X68" i="11"/>
  <c r="W68" i="11"/>
  <c r="F68" i="11"/>
  <c r="AH67" i="11"/>
  <c r="AG67" i="11"/>
  <c r="AF67" i="11"/>
  <c r="AE67" i="11"/>
  <c r="AD67" i="11"/>
  <c r="AC67" i="11"/>
  <c r="AB67" i="11"/>
  <c r="AA67" i="11"/>
  <c r="Z67" i="11"/>
  <c r="Y67" i="11"/>
  <c r="X67" i="11"/>
  <c r="W67" i="11"/>
  <c r="F67" i="11"/>
  <c r="AH66" i="11"/>
  <c r="AG66" i="11"/>
  <c r="AF66" i="11"/>
  <c r="AE66" i="11"/>
  <c r="AD66" i="11"/>
  <c r="AC66" i="11"/>
  <c r="AB66" i="11"/>
  <c r="AA66" i="11"/>
  <c r="Z66" i="11"/>
  <c r="Y66" i="11"/>
  <c r="X66" i="11"/>
  <c r="W66" i="11"/>
  <c r="F66" i="11"/>
  <c r="AH65" i="11"/>
  <c r="AG65" i="11"/>
  <c r="AF65" i="11"/>
  <c r="AE65" i="11"/>
  <c r="AD65" i="11"/>
  <c r="AC65" i="11"/>
  <c r="AB65" i="11"/>
  <c r="AA65" i="11"/>
  <c r="Z65" i="11"/>
  <c r="Y65" i="11"/>
  <c r="X65" i="11"/>
  <c r="W65" i="11"/>
  <c r="F65" i="11"/>
  <c r="AH64" i="11"/>
  <c r="AG64" i="11"/>
  <c r="AF64" i="11"/>
  <c r="AE64" i="11"/>
  <c r="AD64" i="11"/>
  <c r="AC64" i="11"/>
  <c r="AB64" i="11"/>
  <c r="AA64" i="11"/>
  <c r="Z64" i="11"/>
  <c r="Y64" i="11"/>
  <c r="X64" i="11"/>
  <c r="W64" i="11"/>
  <c r="F64" i="11"/>
  <c r="AH63" i="11"/>
  <c r="AG63" i="11"/>
  <c r="AF63" i="11"/>
  <c r="AE63" i="11"/>
  <c r="AD63" i="11"/>
  <c r="AC63" i="11"/>
  <c r="AB63" i="11"/>
  <c r="AA63" i="11"/>
  <c r="Z63" i="11"/>
  <c r="Y63" i="11"/>
  <c r="X63" i="11"/>
  <c r="W63" i="11"/>
  <c r="F63" i="11"/>
  <c r="AH62" i="11"/>
  <c r="AG62" i="11"/>
  <c r="AF62" i="11"/>
  <c r="AE62" i="11"/>
  <c r="AD62" i="11"/>
  <c r="AC62" i="11"/>
  <c r="AB62" i="11"/>
  <c r="AA62" i="11"/>
  <c r="Z62" i="11"/>
  <c r="Y62" i="11"/>
  <c r="X62" i="11"/>
  <c r="W62" i="11"/>
  <c r="F62" i="11"/>
  <c r="AH61" i="11"/>
  <c r="AG61" i="11"/>
  <c r="AF61" i="11"/>
  <c r="AE61" i="11"/>
  <c r="AD61" i="11"/>
  <c r="AC61" i="11"/>
  <c r="AB61" i="11"/>
  <c r="AA61" i="11"/>
  <c r="Z61" i="11"/>
  <c r="Y61" i="11"/>
  <c r="X61" i="11"/>
  <c r="W61" i="11"/>
  <c r="F61" i="11"/>
  <c r="AH60" i="11"/>
  <c r="AG60" i="11"/>
  <c r="AF60" i="11"/>
  <c r="AE60" i="11"/>
  <c r="AD60" i="11"/>
  <c r="AC60" i="11"/>
  <c r="AB60" i="11"/>
  <c r="AA60" i="11"/>
  <c r="Z60" i="11"/>
  <c r="Y60" i="11"/>
  <c r="X60" i="11"/>
  <c r="W60" i="11"/>
  <c r="F60" i="11"/>
  <c r="AH59" i="11"/>
  <c r="AG59" i="11"/>
  <c r="AF59" i="11"/>
  <c r="AE59" i="11"/>
  <c r="AD59" i="11"/>
  <c r="AC59" i="11"/>
  <c r="AB59" i="11"/>
  <c r="AA59" i="11"/>
  <c r="Z59" i="11"/>
  <c r="Y59" i="11"/>
  <c r="X59" i="11"/>
  <c r="W59" i="11"/>
  <c r="F59" i="11"/>
  <c r="AH58" i="11"/>
  <c r="AG58" i="11"/>
  <c r="AF58" i="11"/>
  <c r="AE58" i="11"/>
  <c r="AD58" i="11"/>
  <c r="AC58" i="11"/>
  <c r="AB58" i="11"/>
  <c r="AA58" i="11"/>
  <c r="Z58" i="11"/>
  <c r="Y58" i="11"/>
  <c r="X58" i="11"/>
  <c r="W58" i="11"/>
  <c r="F58" i="11"/>
  <c r="AH57" i="11"/>
  <c r="AG57" i="11"/>
  <c r="AF57" i="11"/>
  <c r="AE57" i="11"/>
  <c r="AD57" i="11"/>
  <c r="AC57" i="11"/>
  <c r="AB57" i="11"/>
  <c r="AA57" i="11"/>
  <c r="Z57" i="11"/>
  <c r="Y57" i="11"/>
  <c r="X57" i="11"/>
  <c r="W57" i="11"/>
  <c r="F57" i="11"/>
  <c r="AH56" i="11"/>
  <c r="AG56" i="11"/>
  <c r="AF56" i="11"/>
  <c r="AE56" i="11"/>
  <c r="AD56" i="11"/>
  <c r="AC56" i="11"/>
  <c r="AB56" i="11"/>
  <c r="AA56" i="11"/>
  <c r="Z56" i="11"/>
  <c r="Y56" i="11"/>
  <c r="X56" i="11"/>
  <c r="W56" i="11"/>
  <c r="F56" i="11"/>
  <c r="AH55" i="11"/>
  <c r="AG55" i="11"/>
  <c r="AF55" i="11"/>
  <c r="AE55" i="11"/>
  <c r="AD55" i="11"/>
  <c r="AC55" i="11"/>
  <c r="AB55" i="11"/>
  <c r="AA55" i="11"/>
  <c r="Z55" i="11"/>
  <c r="Y55" i="11"/>
  <c r="X55" i="11"/>
  <c r="W55" i="11"/>
  <c r="F55" i="11"/>
  <c r="AH54" i="11"/>
  <c r="AG54" i="11"/>
  <c r="AF54" i="11"/>
  <c r="AE54" i="11"/>
  <c r="AD54" i="11"/>
  <c r="AC54" i="11"/>
  <c r="AB54" i="11"/>
  <c r="AA54" i="11"/>
  <c r="Z54" i="11"/>
  <c r="Y54" i="11"/>
  <c r="X54" i="11"/>
  <c r="W54" i="11"/>
  <c r="F54" i="11"/>
  <c r="AH53" i="11"/>
  <c r="AG53" i="11"/>
  <c r="AF53" i="11"/>
  <c r="AE53" i="11"/>
  <c r="AD53" i="11"/>
  <c r="AC53" i="11"/>
  <c r="AB53" i="11"/>
  <c r="AA53" i="11"/>
  <c r="Z53" i="11"/>
  <c r="Y53" i="11"/>
  <c r="X53" i="11"/>
  <c r="W53" i="11"/>
  <c r="F53" i="11"/>
  <c r="AH52" i="11"/>
  <c r="AG52" i="11"/>
  <c r="AF52" i="11"/>
  <c r="AE52" i="11"/>
  <c r="AD52" i="11"/>
  <c r="AC52" i="11"/>
  <c r="AB52" i="11"/>
  <c r="AA52" i="11"/>
  <c r="Z52" i="11"/>
  <c r="Y52" i="11"/>
  <c r="X52" i="11"/>
  <c r="W52" i="11"/>
  <c r="F52" i="11"/>
  <c r="AH51" i="11"/>
  <c r="AG51" i="11"/>
  <c r="AF51" i="11"/>
  <c r="AE51" i="11"/>
  <c r="AD51" i="11"/>
  <c r="AC51" i="11"/>
  <c r="AB51" i="11"/>
  <c r="AA51" i="11"/>
  <c r="Z51" i="11"/>
  <c r="Y51" i="11"/>
  <c r="X51" i="11"/>
  <c r="W51" i="11"/>
  <c r="F51" i="11"/>
  <c r="AH50" i="11"/>
  <c r="AG50" i="11"/>
  <c r="AF50" i="11"/>
  <c r="AE50" i="11"/>
  <c r="AD50" i="11"/>
  <c r="AC50" i="11"/>
  <c r="AB50" i="11"/>
  <c r="AA50" i="11"/>
  <c r="Z50" i="11"/>
  <c r="Y50" i="11"/>
  <c r="X50" i="11"/>
  <c r="W50" i="11"/>
  <c r="F50" i="11"/>
  <c r="AH49" i="11"/>
  <c r="AG49" i="11"/>
  <c r="AF49" i="11"/>
  <c r="AE49" i="11"/>
  <c r="AD49" i="11"/>
  <c r="AC49" i="11"/>
  <c r="AB49" i="11"/>
  <c r="AA49" i="11"/>
  <c r="Z49" i="11"/>
  <c r="Y49" i="11"/>
  <c r="X49" i="11"/>
  <c r="W49" i="11"/>
  <c r="F49" i="11"/>
  <c r="AH48" i="11"/>
  <c r="AG48" i="11"/>
  <c r="AF48" i="11"/>
  <c r="AE48" i="11"/>
  <c r="AD48" i="11"/>
  <c r="AC48" i="11"/>
  <c r="AB48" i="11"/>
  <c r="AA48" i="11"/>
  <c r="Z48" i="11"/>
  <c r="Y48" i="11"/>
  <c r="X48" i="11"/>
  <c r="W48" i="11"/>
  <c r="F48" i="11"/>
  <c r="AH47" i="11"/>
  <c r="AG47" i="11"/>
  <c r="AF47" i="11"/>
  <c r="AE47" i="11"/>
  <c r="AD47" i="11"/>
  <c r="AC47" i="11"/>
  <c r="AB47" i="11"/>
  <c r="AA47" i="11"/>
  <c r="Z47" i="11"/>
  <c r="Y47" i="11"/>
  <c r="X47" i="11"/>
  <c r="W47" i="11"/>
  <c r="F47" i="11"/>
  <c r="AH46" i="11"/>
  <c r="AG46" i="11"/>
  <c r="AF46" i="11"/>
  <c r="AE46" i="11"/>
  <c r="AD46" i="11"/>
  <c r="AC46" i="11"/>
  <c r="AB46" i="11"/>
  <c r="AA46" i="11"/>
  <c r="Z46" i="11"/>
  <c r="Y46" i="11"/>
  <c r="X46" i="11"/>
  <c r="W46" i="11"/>
  <c r="F46" i="11"/>
  <c r="AH45" i="11"/>
  <c r="AG45" i="11"/>
  <c r="AF45" i="11"/>
  <c r="AE45" i="11"/>
  <c r="AD45" i="11"/>
  <c r="AC45" i="11"/>
  <c r="AB45" i="11"/>
  <c r="AA45" i="11"/>
  <c r="Z45" i="11"/>
  <c r="Y45" i="11"/>
  <c r="X45" i="11"/>
  <c r="W45" i="11"/>
  <c r="F45" i="11"/>
  <c r="AH44" i="11"/>
  <c r="AG44" i="11"/>
  <c r="AF44" i="11"/>
  <c r="AE44" i="11"/>
  <c r="AD44" i="11"/>
  <c r="AC44" i="11"/>
  <c r="AB44" i="11"/>
  <c r="AA44" i="11"/>
  <c r="Z44" i="11"/>
  <c r="Y44" i="11"/>
  <c r="X44" i="11"/>
  <c r="W44" i="11"/>
  <c r="F44" i="11"/>
  <c r="AH43" i="11"/>
  <c r="AG43" i="11"/>
  <c r="AF43" i="11"/>
  <c r="AE43" i="11"/>
  <c r="AD43" i="11"/>
  <c r="AC43" i="11"/>
  <c r="AB43" i="11"/>
  <c r="AA43" i="11"/>
  <c r="Z43" i="11"/>
  <c r="Y43" i="11"/>
  <c r="X43" i="11"/>
  <c r="W43" i="11"/>
  <c r="F43" i="11"/>
  <c r="AH42" i="11"/>
  <c r="AG42" i="11"/>
  <c r="AF42" i="11"/>
  <c r="AE42" i="11"/>
  <c r="AD42" i="11"/>
  <c r="AC42" i="11"/>
  <c r="AB42" i="11"/>
  <c r="AA42" i="11"/>
  <c r="Z42" i="11"/>
  <c r="Y42" i="11"/>
  <c r="X42" i="11"/>
  <c r="W42" i="11"/>
  <c r="F42" i="11"/>
  <c r="AH41" i="11"/>
  <c r="AG41" i="11"/>
  <c r="AF41" i="11"/>
  <c r="AE41" i="11"/>
  <c r="AD41" i="11"/>
  <c r="AC41" i="11"/>
  <c r="AB41" i="11"/>
  <c r="AA41" i="11"/>
  <c r="Z41" i="11"/>
  <c r="Y41" i="11"/>
  <c r="X41" i="11"/>
  <c r="W41" i="11"/>
  <c r="F41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F40" i="11"/>
  <c r="AH39" i="11"/>
  <c r="AG39" i="11"/>
  <c r="AF39" i="11"/>
  <c r="AE39" i="11"/>
  <c r="AD39" i="11"/>
  <c r="AC39" i="11"/>
  <c r="AB39" i="11"/>
  <c r="AA39" i="11"/>
  <c r="Z39" i="11"/>
  <c r="Y39" i="11"/>
  <c r="X39" i="11"/>
  <c r="W39" i="11"/>
  <c r="F39" i="11"/>
  <c r="AH38" i="11"/>
  <c r="AG38" i="11"/>
  <c r="AF38" i="11"/>
  <c r="AE38" i="11"/>
  <c r="AD38" i="11"/>
  <c r="AC38" i="11"/>
  <c r="AB38" i="11"/>
  <c r="AA38" i="11"/>
  <c r="Z38" i="11"/>
  <c r="Y38" i="11"/>
  <c r="X38" i="11"/>
  <c r="W38" i="11"/>
  <c r="F38" i="11"/>
  <c r="AH37" i="11"/>
  <c r="AG37" i="11"/>
  <c r="AF37" i="11"/>
  <c r="AE37" i="11"/>
  <c r="AD37" i="11"/>
  <c r="AC37" i="11"/>
  <c r="AB37" i="11"/>
  <c r="AA37" i="11"/>
  <c r="Z37" i="11"/>
  <c r="Y37" i="11"/>
  <c r="X37" i="11"/>
  <c r="W37" i="11"/>
  <c r="F37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F36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F35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F34" i="11"/>
  <c r="AH33" i="11"/>
  <c r="AG33" i="11"/>
  <c r="AF33" i="11"/>
  <c r="AE33" i="11"/>
  <c r="AD33" i="11"/>
  <c r="AC33" i="11"/>
  <c r="AB33" i="11"/>
  <c r="AA33" i="11"/>
  <c r="Z33" i="11"/>
  <c r="Y33" i="11"/>
  <c r="X33" i="11"/>
  <c r="W33" i="11"/>
  <c r="F33" i="11"/>
  <c r="AH32" i="11"/>
  <c r="AG32" i="11"/>
  <c r="AF32" i="11"/>
  <c r="AE32" i="11"/>
  <c r="AD32" i="11"/>
  <c r="AC32" i="11"/>
  <c r="AB32" i="11"/>
  <c r="AA32" i="11"/>
  <c r="Z32" i="11"/>
  <c r="Y32" i="11"/>
  <c r="X32" i="11"/>
  <c r="W32" i="11"/>
  <c r="F32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F31" i="11"/>
  <c r="AH30" i="11"/>
  <c r="AG30" i="11"/>
  <c r="AF30" i="11"/>
  <c r="AE30" i="11"/>
  <c r="AD30" i="11"/>
  <c r="AC30" i="11"/>
  <c r="AB30" i="11"/>
  <c r="AA30" i="11"/>
  <c r="Z30" i="11"/>
  <c r="Y30" i="11"/>
  <c r="X30" i="11"/>
  <c r="W30" i="11"/>
  <c r="F30" i="11"/>
  <c r="AH29" i="11"/>
  <c r="AG29" i="11"/>
  <c r="AF29" i="11"/>
  <c r="AE29" i="11"/>
  <c r="AD29" i="11"/>
  <c r="AC29" i="11"/>
  <c r="AB29" i="11"/>
  <c r="AA29" i="11"/>
  <c r="Z29" i="11"/>
  <c r="Y29" i="11"/>
  <c r="X29" i="11"/>
  <c r="W29" i="11"/>
  <c r="F29" i="11"/>
  <c r="AH28" i="11"/>
  <c r="AG28" i="11"/>
  <c r="AF28" i="11"/>
  <c r="AE28" i="11"/>
  <c r="AD28" i="11"/>
  <c r="AC28" i="11"/>
  <c r="AB28" i="11"/>
  <c r="AA28" i="11"/>
  <c r="Z28" i="11"/>
  <c r="Y28" i="11"/>
  <c r="X28" i="11"/>
  <c r="W28" i="11"/>
  <c r="F28" i="11"/>
  <c r="AH27" i="11"/>
  <c r="AG27" i="11"/>
  <c r="AF27" i="11"/>
  <c r="AE27" i="11"/>
  <c r="AD27" i="11"/>
  <c r="AC27" i="11"/>
  <c r="AB27" i="11"/>
  <c r="AA27" i="11"/>
  <c r="Z27" i="11"/>
  <c r="Y27" i="11"/>
  <c r="X27" i="11"/>
  <c r="W27" i="11"/>
  <c r="F27" i="11"/>
  <c r="AH26" i="11"/>
  <c r="AG26" i="11"/>
  <c r="AF26" i="11"/>
  <c r="AE26" i="11"/>
  <c r="AD26" i="11"/>
  <c r="AC26" i="11"/>
  <c r="AB26" i="11"/>
  <c r="AA26" i="11"/>
  <c r="Z26" i="11"/>
  <c r="Y26" i="11"/>
  <c r="X26" i="11"/>
  <c r="W26" i="11"/>
  <c r="F26" i="11"/>
  <c r="AH25" i="11"/>
  <c r="AG25" i="11"/>
  <c r="AF25" i="11"/>
  <c r="AE25" i="11"/>
  <c r="AD25" i="11"/>
  <c r="AC25" i="11"/>
  <c r="AB25" i="11"/>
  <c r="AA25" i="11"/>
  <c r="Z25" i="11"/>
  <c r="Y25" i="11"/>
  <c r="X25" i="11"/>
  <c r="W25" i="11"/>
  <c r="F25" i="11"/>
  <c r="AH24" i="11"/>
  <c r="AG24" i="11"/>
  <c r="AF24" i="11"/>
  <c r="AE24" i="11"/>
  <c r="AD24" i="11"/>
  <c r="AC24" i="11"/>
  <c r="AB24" i="11"/>
  <c r="AA24" i="11"/>
  <c r="Z24" i="11"/>
  <c r="Y24" i="11"/>
  <c r="X24" i="11"/>
  <c r="W24" i="11"/>
  <c r="F24" i="11"/>
  <c r="AH23" i="11"/>
  <c r="AG23" i="11"/>
  <c r="AF23" i="11"/>
  <c r="AE23" i="11"/>
  <c r="AD23" i="11"/>
  <c r="AC23" i="11"/>
  <c r="AB23" i="11"/>
  <c r="AA23" i="11"/>
  <c r="Z23" i="11"/>
  <c r="Y23" i="11"/>
  <c r="X23" i="11"/>
  <c r="W23" i="11"/>
  <c r="F23" i="11"/>
  <c r="AH22" i="11"/>
  <c r="AG22" i="11"/>
  <c r="AF22" i="11"/>
  <c r="AE22" i="11"/>
  <c r="AD22" i="11"/>
  <c r="AC22" i="11"/>
  <c r="AB22" i="11"/>
  <c r="AA22" i="11"/>
  <c r="Z22" i="11"/>
  <c r="Y22" i="11"/>
  <c r="X22" i="11"/>
  <c r="W22" i="11"/>
  <c r="F22" i="11"/>
  <c r="AH21" i="11"/>
  <c r="AG21" i="11"/>
  <c r="AF21" i="11"/>
  <c r="AE21" i="11"/>
  <c r="AD21" i="11"/>
  <c r="AC21" i="11"/>
  <c r="AB21" i="11"/>
  <c r="AA21" i="11"/>
  <c r="Z21" i="11"/>
  <c r="Y21" i="11"/>
  <c r="X21" i="11"/>
  <c r="W21" i="11"/>
  <c r="F21" i="11"/>
  <c r="AH20" i="11"/>
  <c r="AG20" i="11"/>
  <c r="AF20" i="11"/>
  <c r="AE20" i="11"/>
  <c r="AD20" i="11"/>
  <c r="AC20" i="11"/>
  <c r="AB20" i="11"/>
  <c r="AA20" i="11"/>
  <c r="Z20" i="11"/>
  <c r="Y20" i="11"/>
  <c r="X20" i="11"/>
  <c r="W20" i="11"/>
  <c r="F20" i="11"/>
  <c r="AH19" i="11"/>
  <c r="AG19" i="11"/>
  <c r="AF19" i="11"/>
  <c r="AE19" i="11"/>
  <c r="AD19" i="11"/>
  <c r="AC19" i="11"/>
  <c r="AB19" i="11"/>
  <c r="AA19" i="11"/>
  <c r="Z19" i="11"/>
  <c r="Y19" i="11"/>
  <c r="X19" i="11"/>
  <c r="W19" i="11"/>
  <c r="F19" i="11"/>
  <c r="AH18" i="11"/>
  <c r="AG18" i="11"/>
  <c r="AF18" i="11"/>
  <c r="AE18" i="11"/>
  <c r="AD18" i="11"/>
  <c r="AC18" i="11"/>
  <c r="AB18" i="11"/>
  <c r="AA18" i="11"/>
  <c r="Z18" i="11"/>
  <c r="Y18" i="11"/>
  <c r="X18" i="11"/>
  <c r="W18" i="11"/>
  <c r="F18" i="11"/>
  <c r="AH17" i="11"/>
  <c r="AG17" i="11"/>
  <c r="AF17" i="11"/>
  <c r="AE17" i="11"/>
  <c r="AD17" i="11"/>
  <c r="AC17" i="11"/>
  <c r="AB17" i="11"/>
  <c r="AA17" i="11"/>
  <c r="Z17" i="11"/>
  <c r="Y17" i="11"/>
  <c r="X17" i="11"/>
  <c r="W17" i="11"/>
  <c r="F17" i="11"/>
  <c r="AH16" i="11"/>
  <c r="AG16" i="11"/>
  <c r="AF16" i="11"/>
  <c r="AE16" i="11"/>
  <c r="AD16" i="11"/>
  <c r="AC16" i="11"/>
  <c r="AB16" i="11"/>
  <c r="AA16" i="11"/>
  <c r="Z16" i="11"/>
  <c r="Y16" i="11"/>
  <c r="X16" i="11"/>
  <c r="W16" i="11"/>
  <c r="F16" i="11"/>
  <c r="AH15" i="11"/>
  <c r="AG15" i="11"/>
  <c r="AF15" i="11"/>
  <c r="AE15" i="11"/>
  <c r="AD15" i="11"/>
  <c r="AC15" i="11"/>
  <c r="AB15" i="11"/>
  <c r="AA15" i="11"/>
  <c r="Z15" i="11"/>
  <c r="Y15" i="11"/>
  <c r="X15" i="11"/>
  <c r="W15" i="11"/>
  <c r="F15" i="11"/>
  <c r="AH14" i="11"/>
  <c r="AG14" i="11"/>
  <c r="AF14" i="11"/>
  <c r="AE14" i="11"/>
  <c r="AD14" i="11"/>
  <c r="AC14" i="11"/>
  <c r="AB14" i="11"/>
  <c r="AA14" i="11"/>
  <c r="Z14" i="11"/>
  <c r="Y14" i="11"/>
  <c r="X14" i="11"/>
  <c r="W14" i="11"/>
  <c r="F14" i="11"/>
  <c r="AH13" i="11"/>
  <c r="AG13" i="11"/>
  <c r="AF13" i="11"/>
  <c r="AE13" i="11"/>
  <c r="AD13" i="11"/>
  <c r="AC13" i="11"/>
  <c r="AB13" i="11"/>
  <c r="AA13" i="11"/>
  <c r="Z13" i="11"/>
  <c r="Y13" i="11"/>
  <c r="X13" i="11"/>
  <c r="W13" i="11"/>
  <c r="F13" i="11"/>
  <c r="AH12" i="11"/>
  <c r="AG12" i="11"/>
  <c r="AF12" i="11"/>
  <c r="AE12" i="11"/>
  <c r="AD12" i="11"/>
  <c r="AC12" i="11"/>
  <c r="AB12" i="11"/>
  <c r="AA12" i="11"/>
  <c r="Z12" i="11"/>
  <c r="Y12" i="11"/>
  <c r="X12" i="11"/>
  <c r="W12" i="11"/>
  <c r="F12" i="11"/>
  <c r="AH11" i="11"/>
  <c r="AG11" i="11"/>
  <c r="AF11" i="11"/>
  <c r="AE11" i="11"/>
  <c r="AD11" i="11"/>
  <c r="AC11" i="11"/>
  <c r="AB11" i="11"/>
  <c r="AA11" i="11"/>
  <c r="Z11" i="11"/>
  <c r="Y11" i="11"/>
  <c r="X11" i="11"/>
  <c r="W11" i="11"/>
  <c r="F11" i="11"/>
  <c r="AH10" i="11"/>
  <c r="AG10" i="11"/>
  <c r="AF10" i="11"/>
  <c r="AE10" i="11"/>
  <c r="AD10" i="11"/>
  <c r="AC10" i="11"/>
  <c r="AB10" i="11"/>
  <c r="AA10" i="11"/>
  <c r="Z10" i="11"/>
  <c r="Y10" i="11"/>
  <c r="X10" i="11"/>
  <c r="W10" i="11"/>
  <c r="F10" i="11"/>
  <c r="AH9" i="11"/>
  <c r="AG9" i="11"/>
  <c r="AF9" i="11"/>
  <c r="AE9" i="11"/>
  <c r="AD9" i="11"/>
  <c r="AC9" i="11"/>
  <c r="AB9" i="11"/>
  <c r="AA9" i="11"/>
  <c r="Z9" i="11"/>
  <c r="Y9" i="11"/>
  <c r="X9" i="11"/>
  <c r="W9" i="11"/>
  <c r="F9" i="11"/>
  <c r="AH8" i="11"/>
  <c r="AG8" i="11"/>
  <c r="AF8" i="11"/>
  <c r="AE8" i="11"/>
  <c r="AD8" i="11"/>
  <c r="AC8" i="11"/>
  <c r="AB8" i="11"/>
  <c r="AA8" i="11"/>
  <c r="Z8" i="11"/>
  <c r="Y8" i="11"/>
  <c r="X8" i="11"/>
  <c r="W8" i="11"/>
  <c r="F8" i="11"/>
  <c r="AH7" i="11"/>
  <c r="AG7" i="11"/>
  <c r="AF7" i="11"/>
  <c r="AE7" i="11"/>
  <c r="AD7" i="11"/>
  <c r="AC7" i="11"/>
  <c r="AB7" i="11"/>
  <c r="AA7" i="11"/>
  <c r="Z7" i="11"/>
  <c r="Y7" i="11"/>
  <c r="X7" i="11"/>
  <c r="W7" i="11"/>
  <c r="F7" i="11"/>
  <c r="AH6" i="11"/>
  <c r="AG6" i="11"/>
  <c r="AF6" i="11"/>
  <c r="AE6" i="11"/>
  <c r="AD6" i="11"/>
  <c r="AC6" i="11"/>
  <c r="AB6" i="11"/>
  <c r="AA6" i="11"/>
  <c r="Z6" i="11"/>
  <c r="Y6" i="11"/>
  <c r="X6" i="11"/>
  <c r="W6" i="11"/>
  <c r="F6" i="11"/>
  <c r="AH100" i="10"/>
  <c r="AG100" i="10"/>
  <c r="AF100" i="10"/>
  <c r="AE100" i="10"/>
  <c r="AD100" i="10"/>
  <c r="AC100" i="10"/>
  <c r="AB100" i="10"/>
  <c r="AA100" i="10"/>
  <c r="Z100" i="10"/>
  <c r="Y100" i="10"/>
  <c r="X100" i="10"/>
  <c r="W100" i="10"/>
  <c r="F100" i="10"/>
  <c r="AH99" i="10"/>
  <c r="AG99" i="10"/>
  <c r="AF99" i="10"/>
  <c r="AE99" i="10"/>
  <c r="AD99" i="10"/>
  <c r="AC99" i="10"/>
  <c r="AB99" i="10"/>
  <c r="AA99" i="10"/>
  <c r="Z99" i="10"/>
  <c r="Y99" i="10"/>
  <c r="X99" i="10"/>
  <c r="W99" i="10"/>
  <c r="F99" i="10"/>
  <c r="AH98" i="10"/>
  <c r="AG98" i="10"/>
  <c r="AF98" i="10"/>
  <c r="AE98" i="10"/>
  <c r="AD98" i="10"/>
  <c r="AC98" i="10"/>
  <c r="AB98" i="10"/>
  <c r="AA98" i="10"/>
  <c r="Z98" i="10"/>
  <c r="Y98" i="10"/>
  <c r="X98" i="10"/>
  <c r="W98" i="10"/>
  <c r="F98" i="10"/>
  <c r="AH97" i="10"/>
  <c r="AG97" i="10"/>
  <c r="AF97" i="10"/>
  <c r="AE97" i="10"/>
  <c r="AD97" i="10"/>
  <c r="AC97" i="10"/>
  <c r="AB97" i="10"/>
  <c r="AA97" i="10"/>
  <c r="Z97" i="10"/>
  <c r="Y97" i="10"/>
  <c r="X97" i="10"/>
  <c r="W97" i="10"/>
  <c r="F97" i="10"/>
  <c r="AH96" i="10"/>
  <c r="AG96" i="10"/>
  <c r="AF96" i="10"/>
  <c r="AE96" i="10"/>
  <c r="AD96" i="10"/>
  <c r="AC96" i="10"/>
  <c r="AB96" i="10"/>
  <c r="AA96" i="10"/>
  <c r="Z96" i="10"/>
  <c r="Y96" i="10"/>
  <c r="X96" i="10"/>
  <c r="W96" i="10"/>
  <c r="F96" i="10"/>
  <c r="AH95" i="10"/>
  <c r="AG95" i="10"/>
  <c r="AF95" i="10"/>
  <c r="AE95" i="10"/>
  <c r="AD95" i="10"/>
  <c r="AC95" i="10"/>
  <c r="AB95" i="10"/>
  <c r="AA95" i="10"/>
  <c r="Z95" i="10"/>
  <c r="Y95" i="10"/>
  <c r="X95" i="10"/>
  <c r="W95" i="10"/>
  <c r="F95" i="10"/>
  <c r="AH94" i="10"/>
  <c r="AG94" i="10"/>
  <c r="AF94" i="10"/>
  <c r="AE94" i="10"/>
  <c r="AD94" i="10"/>
  <c r="AC94" i="10"/>
  <c r="AB94" i="10"/>
  <c r="AA94" i="10"/>
  <c r="Z94" i="10"/>
  <c r="Y94" i="10"/>
  <c r="X94" i="10"/>
  <c r="W94" i="10"/>
  <c r="F94" i="10"/>
  <c r="AH93" i="10"/>
  <c r="AG93" i="10"/>
  <c r="AF93" i="10"/>
  <c r="AE93" i="10"/>
  <c r="AD93" i="10"/>
  <c r="AC93" i="10"/>
  <c r="AB93" i="10"/>
  <c r="AA93" i="10"/>
  <c r="Z93" i="10"/>
  <c r="Y93" i="10"/>
  <c r="X93" i="10"/>
  <c r="W93" i="10"/>
  <c r="F93" i="10"/>
  <c r="AH92" i="10"/>
  <c r="AG92" i="10"/>
  <c r="AF92" i="10"/>
  <c r="AE92" i="10"/>
  <c r="AD92" i="10"/>
  <c r="AC92" i="10"/>
  <c r="AB92" i="10"/>
  <c r="AA92" i="10"/>
  <c r="Z92" i="10"/>
  <c r="Y92" i="10"/>
  <c r="X92" i="10"/>
  <c r="W92" i="10"/>
  <c r="F92" i="10"/>
  <c r="AH91" i="10"/>
  <c r="AG91" i="10"/>
  <c r="AF91" i="10"/>
  <c r="AE91" i="10"/>
  <c r="AD91" i="10"/>
  <c r="AC91" i="10"/>
  <c r="AB91" i="10"/>
  <c r="AA91" i="10"/>
  <c r="Z91" i="10"/>
  <c r="Y91" i="10"/>
  <c r="X91" i="10"/>
  <c r="W91" i="10"/>
  <c r="F91" i="10"/>
  <c r="AH90" i="10"/>
  <c r="AG90" i="10"/>
  <c r="AF90" i="10"/>
  <c r="AE90" i="10"/>
  <c r="AD90" i="10"/>
  <c r="AC90" i="10"/>
  <c r="AB90" i="10"/>
  <c r="AA90" i="10"/>
  <c r="Z90" i="10"/>
  <c r="Y90" i="10"/>
  <c r="X90" i="10"/>
  <c r="W90" i="10"/>
  <c r="F90" i="10"/>
  <c r="AH89" i="10"/>
  <c r="AG89" i="10"/>
  <c r="AF89" i="10"/>
  <c r="AE89" i="10"/>
  <c r="AD89" i="10"/>
  <c r="AC89" i="10"/>
  <c r="AB89" i="10"/>
  <c r="AA89" i="10"/>
  <c r="Z89" i="10"/>
  <c r="Y89" i="10"/>
  <c r="X89" i="10"/>
  <c r="W89" i="10"/>
  <c r="F89" i="10"/>
  <c r="AH88" i="10"/>
  <c r="AG88" i="10"/>
  <c r="AF88" i="10"/>
  <c r="AE88" i="10"/>
  <c r="AD88" i="10"/>
  <c r="AC88" i="10"/>
  <c r="AB88" i="10"/>
  <c r="AA88" i="10"/>
  <c r="Z88" i="10"/>
  <c r="Y88" i="10"/>
  <c r="X88" i="10"/>
  <c r="W88" i="10"/>
  <c r="F88" i="10"/>
  <c r="AH87" i="10"/>
  <c r="AG87" i="10"/>
  <c r="AF87" i="10"/>
  <c r="AE87" i="10"/>
  <c r="AD87" i="10"/>
  <c r="AC87" i="10"/>
  <c r="AB87" i="10"/>
  <c r="AA87" i="10"/>
  <c r="Z87" i="10"/>
  <c r="Y87" i="10"/>
  <c r="X87" i="10"/>
  <c r="W87" i="10"/>
  <c r="F87" i="10"/>
  <c r="AH86" i="10"/>
  <c r="AG86" i="10"/>
  <c r="AF86" i="10"/>
  <c r="AE86" i="10"/>
  <c r="AD86" i="10"/>
  <c r="AC86" i="10"/>
  <c r="AB86" i="10"/>
  <c r="AA86" i="10"/>
  <c r="Z86" i="10"/>
  <c r="Y86" i="10"/>
  <c r="X86" i="10"/>
  <c r="W86" i="10"/>
  <c r="F86" i="10"/>
  <c r="AH85" i="10"/>
  <c r="AG85" i="10"/>
  <c r="AF85" i="10"/>
  <c r="AE85" i="10"/>
  <c r="AD85" i="10"/>
  <c r="AC85" i="10"/>
  <c r="AB85" i="10"/>
  <c r="AA85" i="10"/>
  <c r="Z85" i="10"/>
  <c r="Y85" i="10"/>
  <c r="X85" i="10"/>
  <c r="W85" i="10"/>
  <c r="F85" i="10"/>
  <c r="AH84" i="10"/>
  <c r="AG84" i="10"/>
  <c r="AF84" i="10"/>
  <c r="AE84" i="10"/>
  <c r="AD84" i="10"/>
  <c r="AC84" i="10"/>
  <c r="AB84" i="10"/>
  <c r="AA84" i="10"/>
  <c r="Z84" i="10"/>
  <c r="Y84" i="10"/>
  <c r="X84" i="10"/>
  <c r="W84" i="10"/>
  <c r="F84" i="10"/>
  <c r="AH83" i="10"/>
  <c r="AG83" i="10"/>
  <c r="AF83" i="10"/>
  <c r="AE83" i="10"/>
  <c r="AD83" i="10"/>
  <c r="AC83" i="10"/>
  <c r="AB83" i="10"/>
  <c r="AA83" i="10"/>
  <c r="Z83" i="10"/>
  <c r="Y83" i="10"/>
  <c r="X83" i="10"/>
  <c r="W83" i="10"/>
  <c r="F83" i="10"/>
  <c r="AH82" i="10"/>
  <c r="AG82" i="10"/>
  <c r="AF82" i="10"/>
  <c r="AE82" i="10"/>
  <c r="AD82" i="10"/>
  <c r="AC82" i="10"/>
  <c r="AB82" i="10"/>
  <c r="AA82" i="10"/>
  <c r="Z82" i="10"/>
  <c r="Y82" i="10"/>
  <c r="X82" i="10"/>
  <c r="W82" i="10"/>
  <c r="F82" i="10"/>
  <c r="AH81" i="10"/>
  <c r="AG81" i="10"/>
  <c r="AF81" i="10"/>
  <c r="AE81" i="10"/>
  <c r="AD81" i="10"/>
  <c r="AC81" i="10"/>
  <c r="AB81" i="10"/>
  <c r="AA81" i="10"/>
  <c r="Z81" i="10"/>
  <c r="Y81" i="10"/>
  <c r="X81" i="10"/>
  <c r="W81" i="10"/>
  <c r="F81" i="10"/>
  <c r="AH80" i="10"/>
  <c r="AG80" i="10"/>
  <c r="AF80" i="10"/>
  <c r="AE80" i="10"/>
  <c r="AD80" i="10"/>
  <c r="AC80" i="10"/>
  <c r="AB80" i="10"/>
  <c r="AA80" i="10"/>
  <c r="Z80" i="10"/>
  <c r="Y80" i="10"/>
  <c r="X80" i="10"/>
  <c r="W80" i="10"/>
  <c r="F80" i="10"/>
  <c r="AH79" i="10"/>
  <c r="AG79" i="10"/>
  <c r="AF79" i="10"/>
  <c r="AE79" i="10"/>
  <c r="AD79" i="10"/>
  <c r="AC79" i="10"/>
  <c r="AB79" i="10"/>
  <c r="AA79" i="10"/>
  <c r="Z79" i="10"/>
  <c r="Y79" i="10"/>
  <c r="X79" i="10"/>
  <c r="W79" i="10"/>
  <c r="F79" i="10"/>
  <c r="AH78" i="10"/>
  <c r="AG78" i="10"/>
  <c r="AF78" i="10"/>
  <c r="AE78" i="10"/>
  <c r="AD78" i="10"/>
  <c r="AC78" i="10"/>
  <c r="AB78" i="10"/>
  <c r="AA78" i="10"/>
  <c r="Z78" i="10"/>
  <c r="Y78" i="10"/>
  <c r="X78" i="10"/>
  <c r="W78" i="10"/>
  <c r="F78" i="10"/>
  <c r="AH77" i="10"/>
  <c r="AG77" i="10"/>
  <c r="AF77" i="10"/>
  <c r="AE77" i="10"/>
  <c r="AD77" i="10"/>
  <c r="AC77" i="10"/>
  <c r="AB77" i="10"/>
  <c r="AA77" i="10"/>
  <c r="Z77" i="10"/>
  <c r="Y77" i="10"/>
  <c r="X77" i="10"/>
  <c r="W77" i="10"/>
  <c r="F77" i="10"/>
  <c r="AH76" i="10"/>
  <c r="AG76" i="10"/>
  <c r="AF76" i="10"/>
  <c r="AE76" i="10"/>
  <c r="AD76" i="10"/>
  <c r="AC76" i="10"/>
  <c r="AB76" i="10"/>
  <c r="AA76" i="10"/>
  <c r="Z76" i="10"/>
  <c r="Y76" i="10"/>
  <c r="X76" i="10"/>
  <c r="W76" i="10"/>
  <c r="F76" i="10"/>
  <c r="AH75" i="10"/>
  <c r="AG75" i="10"/>
  <c r="AF75" i="10"/>
  <c r="AE75" i="10"/>
  <c r="AD75" i="10"/>
  <c r="AC75" i="10"/>
  <c r="AB75" i="10"/>
  <c r="AA75" i="10"/>
  <c r="Z75" i="10"/>
  <c r="Y75" i="10"/>
  <c r="X75" i="10"/>
  <c r="W75" i="10"/>
  <c r="F75" i="10"/>
  <c r="AH74" i="10"/>
  <c r="AG74" i="10"/>
  <c r="AF74" i="10"/>
  <c r="AE74" i="10"/>
  <c r="AD74" i="10"/>
  <c r="AC74" i="10"/>
  <c r="AB74" i="10"/>
  <c r="AA74" i="10"/>
  <c r="Z74" i="10"/>
  <c r="Y74" i="10"/>
  <c r="X74" i="10"/>
  <c r="W74" i="10"/>
  <c r="F74" i="10"/>
  <c r="AH73" i="10"/>
  <c r="AG73" i="10"/>
  <c r="AF73" i="10"/>
  <c r="AE73" i="10"/>
  <c r="AD73" i="10"/>
  <c r="AC73" i="10"/>
  <c r="AB73" i="10"/>
  <c r="AA73" i="10"/>
  <c r="Z73" i="10"/>
  <c r="Y73" i="10"/>
  <c r="X73" i="10"/>
  <c r="W73" i="10"/>
  <c r="F73" i="10"/>
  <c r="AH72" i="10"/>
  <c r="AG72" i="10"/>
  <c r="AF72" i="10"/>
  <c r="AE72" i="10"/>
  <c r="AD72" i="10"/>
  <c r="AC72" i="10"/>
  <c r="AB72" i="10"/>
  <c r="AA72" i="10"/>
  <c r="Z72" i="10"/>
  <c r="Y72" i="10"/>
  <c r="X72" i="10"/>
  <c r="W72" i="10"/>
  <c r="F72" i="10"/>
  <c r="AH71" i="10"/>
  <c r="AG71" i="10"/>
  <c r="AF71" i="10"/>
  <c r="AE71" i="10"/>
  <c r="AD71" i="10"/>
  <c r="AC71" i="10"/>
  <c r="AB71" i="10"/>
  <c r="AA71" i="10"/>
  <c r="Z71" i="10"/>
  <c r="Y71" i="10"/>
  <c r="X71" i="10"/>
  <c r="W71" i="10"/>
  <c r="F71" i="10"/>
  <c r="AH70" i="10"/>
  <c r="AG70" i="10"/>
  <c r="AF70" i="10"/>
  <c r="AE70" i="10"/>
  <c r="AD70" i="10"/>
  <c r="AC70" i="10"/>
  <c r="AB70" i="10"/>
  <c r="AA70" i="10"/>
  <c r="Z70" i="10"/>
  <c r="Y70" i="10"/>
  <c r="X70" i="10"/>
  <c r="W70" i="10"/>
  <c r="F70" i="10"/>
  <c r="AH69" i="10"/>
  <c r="AG69" i="10"/>
  <c r="AF69" i="10"/>
  <c r="AE69" i="10"/>
  <c r="AD69" i="10"/>
  <c r="AC69" i="10"/>
  <c r="AB69" i="10"/>
  <c r="AA69" i="10"/>
  <c r="Z69" i="10"/>
  <c r="Y69" i="10"/>
  <c r="X69" i="10"/>
  <c r="W69" i="10"/>
  <c r="F69" i="10"/>
  <c r="AH68" i="10"/>
  <c r="AG68" i="10"/>
  <c r="AF68" i="10"/>
  <c r="AE68" i="10"/>
  <c r="AD68" i="10"/>
  <c r="AC68" i="10"/>
  <c r="AB68" i="10"/>
  <c r="AA68" i="10"/>
  <c r="Z68" i="10"/>
  <c r="Y68" i="10"/>
  <c r="X68" i="10"/>
  <c r="W68" i="10"/>
  <c r="F68" i="10"/>
  <c r="AH67" i="10"/>
  <c r="AG67" i="10"/>
  <c r="AF67" i="10"/>
  <c r="AE67" i="10"/>
  <c r="AD67" i="10"/>
  <c r="AC67" i="10"/>
  <c r="AB67" i="10"/>
  <c r="AA67" i="10"/>
  <c r="Z67" i="10"/>
  <c r="Y67" i="10"/>
  <c r="X67" i="10"/>
  <c r="W67" i="10"/>
  <c r="F67" i="10"/>
  <c r="AH66" i="10"/>
  <c r="AG66" i="10"/>
  <c r="AF66" i="10"/>
  <c r="AE66" i="10"/>
  <c r="AD66" i="10"/>
  <c r="AC66" i="10"/>
  <c r="AB66" i="10"/>
  <c r="AA66" i="10"/>
  <c r="Z66" i="10"/>
  <c r="Y66" i="10"/>
  <c r="X66" i="10"/>
  <c r="W66" i="10"/>
  <c r="F66" i="10"/>
  <c r="AH65" i="10"/>
  <c r="AG65" i="10"/>
  <c r="AF65" i="10"/>
  <c r="AE65" i="10"/>
  <c r="AD65" i="10"/>
  <c r="AC65" i="10"/>
  <c r="AB65" i="10"/>
  <c r="AA65" i="10"/>
  <c r="Z65" i="10"/>
  <c r="Y65" i="10"/>
  <c r="X65" i="10"/>
  <c r="W65" i="10"/>
  <c r="F65" i="10"/>
  <c r="AH64" i="10"/>
  <c r="AG64" i="10"/>
  <c r="AF64" i="10"/>
  <c r="AE64" i="10"/>
  <c r="AD64" i="10"/>
  <c r="AC64" i="10"/>
  <c r="AB64" i="10"/>
  <c r="AA64" i="10"/>
  <c r="Z64" i="10"/>
  <c r="Y64" i="10"/>
  <c r="X64" i="10"/>
  <c r="W64" i="10"/>
  <c r="F64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F63" i="10"/>
  <c r="AH62" i="10"/>
  <c r="AG62" i="10"/>
  <c r="AF62" i="10"/>
  <c r="AE62" i="10"/>
  <c r="AD62" i="10"/>
  <c r="AC62" i="10"/>
  <c r="AB62" i="10"/>
  <c r="AA62" i="10"/>
  <c r="Z62" i="10"/>
  <c r="Y62" i="10"/>
  <c r="X62" i="10"/>
  <c r="W62" i="10"/>
  <c r="F62" i="10"/>
  <c r="AH61" i="10"/>
  <c r="AG61" i="10"/>
  <c r="AF61" i="10"/>
  <c r="AE61" i="10"/>
  <c r="AD61" i="10"/>
  <c r="AC61" i="10"/>
  <c r="AB61" i="10"/>
  <c r="AA61" i="10"/>
  <c r="Z61" i="10"/>
  <c r="Y61" i="10"/>
  <c r="X61" i="10"/>
  <c r="W61" i="10"/>
  <c r="F61" i="10"/>
  <c r="AH60" i="10"/>
  <c r="AG60" i="10"/>
  <c r="AF60" i="10"/>
  <c r="AE60" i="10"/>
  <c r="AD60" i="10"/>
  <c r="AC60" i="10"/>
  <c r="AB60" i="10"/>
  <c r="AA60" i="10"/>
  <c r="Z60" i="10"/>
  <c r="Y60" i="10"/>
  <c r="X60" i="10"/>
  <c r="W60" i="10"/>
  <c r="F60" i="10"/>
  <c r="AH59" i="10"/>
  <c r="AG59" i="10"/>
  <c r="AF59" i="10"/>
  <c r="AE59" i="10"/>
  <c r="AD59" i="10"/>
  <c r="AC59" i="10"/>
  <c r="AB59" i="10"/>
  <c r="AA59" i="10"/>
  <c r="Z59" i="10"/>
  <c r="Y59" i="10"/>
  <c r="X59" i="10"/>
  <c r="W59" i="10"/>
  <c r="F59" i="10"/>
  <c r="AH58" i="10"/>
  <c r="AG58" i="10"/>
  <c r="AF58" i="10"/>
  <c r="AE58" i="10"/>
  <c r="AD58" i="10"/>
  <c r="AC58" i="10"/>
  <c r="AB58" i="10"/>
  <c r="AA58" i="10"/>
  <c r="Z58" i="10"/>
  <c r="Y58" i="10"/>
  <c r="X58" i="10"/>
  <c r="W58" i="10"/>
  <c r="F58" i="10"/>
  <c r="AH57" i="10"/>
  <c r="AG57" i="10"/>
  <c r="AF57" i="10"/>
  <c r="AE57" i="10"/>
  <c r="AD57" i="10"/>
  <c r="AC57" i="10"/>
  <c r="AB57" i="10"/>
  <c r="AA57" i="10"/>
  <c r="Z57" i="10"/>
  <c r="Y57" i="10"/>
  <c r="X57" i="10"/>
  <c r="W57" i="10"/>
  <c r="F57" i="10"/>
  <c r="AH56" i="10"/>
  <c r="AG56" i="10"/>
  <c r="AF56" i="10"/>
  <c r="AE56" i="10"/>
  <c r="AD56" i="10"/>
  <c r="AC56" i="10"/>
  <c r="AB56" i="10"/>
  <c r="AA56" i="10"/>
  <c r="Z56" i="10"/>
  <c r="Y56" i="10"/>
  <c r="X56" i="10"/>
  <c r="W56" i="10"/>
  <c r="F56" i="10"/>
  <c r="AH55" i="10"/>
  <c r="AG55" i="10"/>
  <c r="AF55" i="10"/>
  <c r="AE55" i="10"/>
  <c r="AD55" i="10"/>
  <c r="AC55" i="10"/>
  <c r="AB55" i="10"/>
  <c r="AA55" i="10"/>
  <c r="Z55" i="10"/>
  <c r="Y55" i="10"/>
  <c r="X55" i="10"/>
  <c r="W55" i="10"/>
  <c r="F55" i="10"/>
  <c r="AH54" i="10"/>
  <c r="AG54" i="10"/>
  <c r="AF54" i="10"/>
  <c r="AE54" i="10"/>
  <c r="AD54" i="10"/>
  <c r="AC54" i="10"/>
  <c r="AB54" i="10"/>
  <c r="AA54" i="10"/>
  <c r="Z54" i="10"/>
  <c r="Y54" i="10"/>
  <c r="X54" i="10"/>
  <c r="W54" i="10"/>
  <c r="F54" i="10"/>
  <c r="AH53" i="10"/>
  <c r="AG53" i="10"/>
  <c r="AF53" i="10"/>
  <c r="AE53" i="10"/>
  <c r="AD53" i="10"/>
  <c r="AC53" i="10"/>
  <c r="AB53" i="10"/>
  <c r="AA53" i="10"/>
  <c r="Z53" i="10"/>
  <c r="Y53" i="10"/>
  <c r="X53" i="10"/>
  <c r="W53" i="10"/>
  <c r="F53" i="10"/>
  <c r="AH52" i="10"/>
  <c r="AG52" i="10"/>
  <c r="AF52" i="10"/>
  <c r="AE52" i="10"/>
  <c r="AD52" i="10"/>
  <c r="AC52" i="10"/>
  <c r="AB52" i="10"/>
  <c r="AA52" i="10"/>
  <c r="Z52" i="10"/>
  <c r="Y52" i="10"/>
  <c r="X52" i="10"/>
  <c r="W52" i="10"/>
  <c r="F52" i="10"/>
  <c r="AH51" i="10"/>
  <c r="AG51" i="10"/>
  <c r="AF51" i="10"/>
  <c r="AE51" i="10"/>
  <c r="AD51" i="10"/>
  <c r="AC51" i="10"/>
  <c r="AB51" i="10"/>
  <c r="AA51" i="10"/>
  <c r="Z51" i="10"/>
  <c r="Y51" i="10"/>
  <c r="X51" i="10"/>
  <c r="W51" i="10"/>
  <c r="F51" i="10"/>
  <c r="AH50" i="10"/>
  <c r="AG50" i="10"/>
  <c r="AF50" i="10"/>
  <c r="AE50" i="10"/>
  <c r="AD50" i="10"/>
  <c r="AC50" i="10"/>
  <c r="AB50" i="10"/>
  <c r="AA50" i="10"/>
  <c r="Z50" i="10"/>
  <c r="Y50" i="10"/>
  <c r="X50" i="10"/>
  <c r="W50" i="10"/>
  <c r="F50" i="10"/>
  <c r="AH49" i="10"/>
  <c r="AG49" i="10"/>
  <c r="AF49" i="10"/>
  <c r="AE49" i="10"/>
  <c r="AD49" i="10"/>
  <c r="AC49" i="10"/>
  <c r="AB49" i="10"/>
  <c r="AA49" i="10"/>
  <c r="Z49" i="10"/>
  <c r="Y49" i="10"/>
  <c r="X49" i="10"/>
  <c r="W49" i="10"/>
  <c r="F49" i="10"/>
  <c r="AH48" i="10"/>
  <c r="AG48" i="10"/>
  <c r="AF48" i="10"/>
  <c r="AE48" i="10"/>
  <c r="AD48" i="10"/>
  <c r="AC48" i="10"/>
  <c r="AB48" i="10"/>
  <c r="AA48" i="10"/>
  <c r="Z48" i="10"/>
  <c r="Y48" i="10"/>
  <c r="X48" i="10"/>
  <c r="W48" i="10"/>
  <c r="F48" i="10"/>
  <c r="AH47" i="10"/>
  <c r="AG47" i="10"/>
  <c r="AF47" i="10"/>
  <c r="AE47" i="10"/>
  <c r="AD47" i="10"/>
  <c r="AC47" i="10"/>
  <c r="AB47" i="10"/>
  <c r="AA47" i="10"/>
  <c r="Z47" i="10"/>
  <c r="Y47" i="10"/>
  <c r="X47" i="10"/>
  <c r="W47" i="10"/>
  <c r="F47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F46" i="10"/>
  <c r="AH45" i="10"/>
  <c r="AG45" i="10"/>
  <c r="AF45" i="10"/>
  <c r="AE45" i="10"/>
  <c r="AD45" i="10"/>
  <c r="AC45" i="10"/>
  <c r="AB45" i="10"/>
  <c r="AA45" i="10"/>
  <c r="Z45" i="10"/>
  <c r="Y45" i="10"/>
  <c r="X45" i="10"/>
  <c r="W45" i="10"/>
  <c r="F45" i="10"/>
  <c r="AH44" i="10"/>
  <c r="AG44" i="10"/>
  <c r="AF44" i="10"/>
  <c r="AE44" i="10"/>
  <c r="AD44" i="10"/>
  <c r="AC44" i="10"/>
  <c r="AB44" i="10"/>
  <c r="AA44" i="10"/>
  <c r="Z44" i="10"/>
  <c r="Y44" i="10"/>
  <c r="X44" i="10"/>
  <c r="W44" i="10"/>
  <c r="F44" i="10"/>
  <c r="AH43" i="10"/>
  <c r="AG43" i="10"/>
  <c r="AF43" i="10"/>
  <c r="AE43" i="10"/>
  <c r="AD43" i="10"/>
  <c r="AC43" i="10"/>
  <c r="AB43" i="10"/>
  <c r="AA43" i="10"/>
  <c r="Z43" i="10"/>
  <c r="Y43" i="10"/>
  <c r="X43" i="10"/>
  <c r="W43" i="10"/>
  <c r="F43" i="10"/>
  <c r="AH42" i="10"/>
  <c r="AG42" i="10"/>
  <c r="AF42" i="10"/>
  <c r="AE42" i="10"/>
  <c r="AD42" i="10"/>
  <c r="AC42" i="10"/>
  <c r="AB42" i="10"/>
  <c r="AA42" i="10"/>
  <c r="Z42" i="10"/>
  <c r="Y42" i="10"/>
  <c r="X42" i="10"/>
  <c r="W42" i="10"/>
  <c r="F42" i="10"/>
  <c r="AH41" i="10"/>
  <c r="AG41" i="10"/>
  <c r="AF41" i="10"/>
  <c r="AE41" i="10"/>
  <c r="AD41" i="10"/>
  <c r="AC41" i="10"/>
  <c r="AB41" i="10"/>
  <c r="AA41" i="10"/>
  <c r="Z41" i="10"/>
  <c r="Y41" i="10"/>
  <c r="X41" i="10"/>
  <c r="W41" i="10"/>
  <c r="F41" i="10"/>
  <c r="AH40" i="10"/>
  <c r="AG40" i="10"/>
  <c r="AF40" i="10"/>
  <c r="AE40" i="10"/>
  <c r="AD40" i="10"/>
  <c r="AC40" i="10"/>
  <c r="AB40" i="10"/>
  <c r="AA40" i="10"/>
  <c r="Z40" i="10"/>
  <c r="Y40" i="10"/>
  <c r="X40" i="10"/>
  <c r="W40" i="10"/>
  <c r="F40" i="10"/>
  <c r="AH39" i="10"/>
  <c r="AG39" i="10"/>
  <c r="AF39" i="10"/>
  <c r="AE39" i="10"/>
  <c r="AD39" i="10"/>
  <c r="AC39" i="10"/>
  <c r="AB39" i="10"/>
  <c r="AA39" i="10"/>
  <c r="Z39" i="10"/>
  <c r="Y39" i="10"/>
  <c r="X39" i="10"/>
  <c r="W39" i="10"/>
  <c r="F39" i="10"/>
  <c r="AH38" i="10"/>
  <c r="AG38" i="10"/>
  <c r="AF38" i="10"/>
  <c r="AE38" i="10"/>
  <c r="AD38" i="10"/>
  <c r="AC38" i="10"/>
  <c r="AB38" i="10"/>
  <c r="AA38" i="10"/>
  <c r="Z38" i="10"/>
  <c r="Y38" i="10"/>
  <c r="X38" i="10"/>
  <c r="W38" i="10"/>
  <c r="F38" i="10"/>
  <c r="AH37" i="10"/>
  <c r="AG37" i="10"/>
  <c r="AF37" i="10"/>
  <c r="AE37" i="10"/>
  <c r="AD37" i="10"/>
  <c r="AC37" i="10"/>
  <c r="AB37" i="10"/>
  <c r="AA37" i="10"/>
  <c r="Z37" i="10"/>
  <c r="Y37" i="10"/>
  <c r="X37" i="10"/>
  <c r="W37" i="10"/>
  <c r="F37" i="10"/>
  <c r="AH36" i="10"/>
  <c r="AG36" i="10"/>
  <c r="AF36" i="10"/>
  <c r="AE36" i="10"/>
  <c r="AD36" i="10"/>
  <c r="AC36" i="10"/>
  <c r="AB36" i="10"/>
  <c r="AA36" i="10"/>
  <c r="Z36" i="10"/>
  <c r="Y36" i="10"/>
  <c r="X36" i="10"/>
  <c r="W36" i="10"/>
  <c r="F36" i="10"/>
  <c r="AH35" i="10"/>
  <c r="AG35" i="10"/>
  <c r="AF35" i="10"/>
  <c r="AE35" i="10"/>
  <c r="AD35" i="10"/>
  <c r="AC35" i="10"/>
  <c r="AB35" i="10"/>
  <c r="AA35" i="10"/>
  <c r="Z35" i="10"/>
  <c r="Y35" i="10"/>
  <c r="X35" i="10"/>
  <c r="W35" i="10"/>
  <c r="F35" i="10"/>
  <c r="AH34" i="10"/>
  <c r="AG34" i="10"/>
  <c r="AF34" i="10"/>
  <c r="AE34" i="10"/>
  <c r="AD34" i="10"/>
  <c r="AC34" i="10"/>
  <c r="AB34" i="10"/>
  <c r="AA34" i="10"/>
  <c r="Z34" i="10"/>
  <c r="Y34" i="10"/>
  <c r="X34" i="10"/>
  <c r="W34" i="10"/>
  <c r="F34" i="10"/>
  <c r="AH33" i="10"/>
  <c r="AG33" i="10"/>
  <c r="AF33" i="10"/>
  <c r="AE33" i="10"/>
  <c r="AD33" i="10"/>
  <c r="AC33" i="10"/>
  <c r="AB33" i="10"/>
  <c r="AA33" i="10"/>
  <c r="Z33" i="10"/>
  <c r="Y33" i="10"/>
  <c r="X33" i="10"/>
  <c r="W33" i="10"/>
  <c r="F33" i="10"/>
  <c r="AH32" i="10"/>
  <c r="AG32" i="10"/>
  <c r="AF32" i="10"/>
  <c r="AE32" i="10"/>
  <c r="AD32" i="10"/>
  <c r="AC32" i="10"/>
  <c r="AB32" i="10"/>
  <c r="AA32" i="10"/>
  <c r="Z32" i="10"/>
  <c r="Y32" i="10"/>
  <c r="X32" i="10"/>
  <c r="W32" i="10"/>
  <c r="F32" i="10"/>
  <c r="AH31" i="10"/>
  <c r="AG31" i="10"/>
  <c r="AF31" i="10"/>
  <c r="AE31" i="10"/>
  <c r="AD31" i="10"/>
  <c r="AC31" i="10"/>
  <c r="AB31" i="10"/>
  <c r="AA31" i="10"/>
  <c r="Z31" i="10"/>
  <c r="Y31" i="10"/>
  <c r="X31" i="10"/>
  <c r="W31" i="10"/>
  <c r="F31" i="10"/>
  <c r="AH30" i="10"/>
  <c r="AG30" i="10"/>
  <c r="AF30" i="10"/>
  <c r="AE30" i="10"/>
  <c r="AD30" i="10"/>
  <c r="AC30" i="10"/>
  <c r="AB30" i="10"/>
  <c r="AA30" i="10"/>
  <c r="Z30" i="10"/>
  <c r="Y30" i="10"/>
  <c r="X30" i="10"/>
  <c r="W30" i="10"/>
  <c r="F30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F29" i="10"/>
  <c r="AH28" i="10"/>
  <c r="AG28" i="10"/>
  <c r="AF28" i="10"/>
  <c r="AE28" i="10"/>
  <c r="AD28" i="10"/>
  <c r="AC28" i="10"/>
  <c r="AB28" i="10"/>
  <c r="AA28" i="10"/>
  <c r="Z28" i="10"/>
  <c r="Y28" i="10"/>
  <c r="X28" i="10"/>
  <c r="W28" i="10"/>
  <c r="F28" i="10"/>
  <c r="AH27" i="10"/>
  <c r="AG27" i="10"/>
  <c r="AF27" i="10"/>
  <c r="AE27" i="10"/>
  <c r="AD27" i="10"/>
  <c r="AC27" i="10"/>
  <c r="AB27" i="10"/>
  <c r="AA27" i="10"/>
  <c r="Z27" i="10"/>
  <c r="Y27" i="10"/>
  <c r="X27" i="10"/>
  <c r="W27" i="10"/>
  <c r="F27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F26" i="10"/>
  <c r="AH25" i="10"/>
  <c r="AG25" i="10"/>
  <c r="AF25" i="10"/>
  <c r="AE25" i="10"/>
  <c r="AD25" i="10"/>
  <c r="AC25" i="10"/>
  <c r="AB25" i="10"/>
  <c r="AA25" i="10"/>
  <c r="Z25" i="10"/>
  <c r="Y25" i="10"/>
  <c r="X25" i="10"/>
  <c r="W25" i="10"/>
  <c r="F25" i="10"/>
  <c r="AH24" i="10"/>
  <c r="AG24" i="10"/>
  <c r="AF24" i="10"/>
  <c r="AE24" i="10"/>
  <c r="AD24" i="10"/>
  <c r="AC24" i="10"/>
  <c r="AB24" i="10"/>
  <c r="AA24" i="10"/>
  <c r="Z24" i="10"/>
  <c r="Y24" i="10"/>
  <c r="X24" i="10"/>
  <c r="W24" i="10"/>
  <c r="F24" i="10"/>
  <c r="AH23" i="10"/>
  <c r="AG23" i="10"/>
  <c r="AF23" i="10"/>
  <c r="AE23" i="10"/>
  <c r="AD23" i="10"/>
  <c r="AC23" i="10"/>
  <c r="AB23" i="10"/>
  <c r="AA23" i="10"/>
  <c r="Z23" i="10"/>
  <c r="Y23" i="10"/>
  <c r="X23" i="10"/>
  <c r="W23" i="10"/>
  <c r="F23" i="10"/>
  <c r="AH22" i="10"/>
  <c r="AG22" i="10"/>
  <c r="AF22" i="10"/>
  <c r="AE22" i="10"/>
  <c r="AD22" i="10"/>
  <c r="AC22" i="10"/>
  <c r="AB22" i="10"/>
  <c r="AA22" i="10"/>
  <c r="Z22" i="10"/>
  <c r="Y22" i="10"/>
  <c r="X22" i="10"/>
  <c r="W22" i="10"/>
  <c r="F22" i="10"/>
  <c r="AH21" i="10"/>
  <c r="AG21" i="10"/>
  <c r="AF21" i="10"/>
  <c r="AE21" i="10"/>
  <c r="AD21" i="10"/>
  <c r="AC21" i="10"/>
  <c r="AB21" i="10"/>
  <c r="AA21" i="10"/>
  <c r="Z21" i="10"/>
  <c r="Y21" i="10"/>
  <c r="X21" i="10"/>
  <c r="W21" i="10"/>
  <c r="F21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F20" i="10"/>
  <c r="AH19" i="10"/>
  <c r="AG19" i="10"/>
  <c r="AF19" i="10"/>
  <c r="AE19" i="10"/>
  <c r="AD19" i="10"/>
  <c r="AC19" i="10"/>
  <c r="AB19" i="10"/>
  <c r="AA19" i="10"/>
  <c r="Z19" i="10"/>
  <c r="Y19" i="10"/>
  <c r="X19" i="10"/>
  <c r="W19" i="10"/>
  <c r="F19" i="10"/>
  <c r="AH18" i="10"/>
  <c r="AG18" i="10"/>
  <c r="AF18" i="10"/>
  <c r="AE18" i="10"/>
  <c r="AD18" i="10"/>
  <c r="AC18" i="10"/>
  <c r="AB18" i="10"/>
  <c r="AA18" i="10"/>
  <c r="Z18" i="10"/>
  <c r="Y18" i="10"/>
  <c r="X18" i="10"/>
  <c r="W18" i="10"/>
  <c r="F18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F17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F16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F15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F14" i="10"/>
  <c r="AH13" i="10"/>
  <c r="AG13" i="10"/>
  <c r="AF13" i="10"/>
  <c r="AE13" i="10"/>
  <c r="AD13" i="10"/>
  <c r="AC13" i="10"/>
  <c r="AB13" i="10"/>
  <c r="AA13" i="10"/>
  <c r="Z13" i="10"/>
  <c r="Y13" i="10"/>
  <c r="X13" i="10"/>
  <c r="W13" i="10"/>
  <c r="F13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F12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F11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F10" i="10"/>
  <c r="AH9" i="10"/>
  <c r="AG9" i="10"/>
  <c r="AF9" i="10"/>
  <c r="AE9" i="10"/>
  <c r="AD9" i="10"/>
  <c r="AC9" i="10"/>
  <c r="AB9" i="10"/>
  <c r="AA9" i="10"/>
  <c r="Z9" i="10"/>
  <c r="Y9" i="10"/>
  <c r="X9" i="10"/>
  <c r="W9" i="10"/>
  <c r="F9" i="10"/>
  <c r="AH8" i="10"/>
  <c r="AG8" i="10"/>
  <c r="AF8" i="10"/>
  <c r="AE8" i="10"/>
  <c r="AD8" i="10"/>
  <c r="AC8" i="10"/>
  <c r="AB8" i="10"/>
  <c r="AA8" i="10"/>
  <c r="Z8" i="10"/>
  <c r="Y8" i="10"/>
  <c r="X8" i="10"/>
  <c r="W8" i="10"/>
  <c r="F8" i="10"/>
  <c r="AH7" i="10"/>
  <c r="AG7" i="10"/>
  <c r="AF7" i="10"/>
  <c r="AE7" i="10"/>
  <c r="AD7" i="10"/>
  <c r="AC7" i="10"/>
  <c r="AB7" i="10"/>
  <c r="AA7" i="10"/>
  <c r="Z7" i="10"/>
  <c r="Y7" i="10"/>
  <c r="X7" i="10"/>
  <c r="W7" i="10"/>
  <c r="F7" i="10"/>
  <c r="AH6" i="10"/>
  <c r="AG6" i="10"/>
  <c r="AF6" i="10"/>
  <c r="AE6" i="10"/>
  <c r="AD6" i="10"/>
  <c r="AC6" i="10"/>
  <c r="AB6" i="10"/>
  <c r="AA6" i="10"/>
  <c r="Z6" i="10"/>
  <c r="Y6" i="10"/>
  <c r="X6" i="10"/>
  <c r="W6" i="10"/>
  <c r="F6" i="10"/>
  <c r="AH100" i="9"/>
  <c r="AG100" i="9"/>
  <c r="AF100" i="9"/>
  <c r="AE100" i="9"/>
  <c r="AD100" i="9"/>
  <c r="AC100" i="9"/>
  <c r="AB100" i="9"/>
  <c r="AA100" i="9"/>
  <c r="Z100" i="9"/>
  <c r="Y100" i="9"/>
  <c r="X100" i="9"/>
  <c r="W100" i="9"/>
  <c r="F100" i="9"/>
  <c r="AH99" i="9"/>
  <c r="AG99" i="9"/>
  <c r="AF99" i="9"/>
  <c r="AE99" i="9"/>
  <c r="AD99" i="9"/>
  <c r="AC99" i="9"/>
  <c r="AB99" i="9"/>
  <c r="AA99" i="9"/>
  <c r="Z99" i="9"/>
  <c r="Y99" i="9"/>
  <c r="X99" i="9"/>
  <c r="W99" i="9"/>
  <c r="F99" i="9"/>
  <c r="AH98" i="9"/>
  <c r="AG98" i="9"/>
  <c r="AF98" i="9"/>
  <c r="AE98" i="9"/>
  <c r="AD98" i="9"/>
  <c r="AC98" i="9"/>
  <c r="AB98" i="9"/>
  <c r="AA98" i="9"/>
  <c r="Z98" i="9"/>
  <c r="Y98" i="9"/>
  <c r="X98" i="9"/>
  <c r="W98" i="9"/>
  <c r="F98" i="9"/>
  <c r="AH97" i="9"/>
  <c r="AG97" i="9"/>
  <c r="AF97" i="9"/>
  <c r="AE97" i="9"/>
  <c r="AD97" i="9"/>
  <c r="AC97" i="9"/>
  <c r="AB97" i="9"/>
  <c r="AA97" i="9"/>
  <c r="Z97" i="9"/>
  <c r="Y97" i="9"/>
  <c r="X97" i="9"/>
  <c r="W97" i="9"/>
  <c r="F97" i="9"/>
  <c r="AH96" i="9"/>
  <c r="AG96" i="9"/>
  <c r="AF96" i="9"/>
  <c r="AE96" i="9"/>
  <c r="AD96" i="9"/>
  <c r="AC96" i="9"/>
  <c r="AB96" i="9"/>
  <c r="AA96" i="9"/>
  <c r="Z96" i="9"/>
  <c r="Y96" i="9"/>
  <c r="X96" i="9"/>
  <c r="W96" i="9"/>
  <c r="F96" i="9"/>
  <c r="AH95" i="9"/>
  <c r="AG95" i="9"/>
  <c r="AF95" i="9"/>
  <c r="AE95" i="9"/>
  <c r="AD95" i="9"/>
  <c r="AC95" i="9"/>
  <c r="AB95" i="9"/>
  <c r="AA95" i="9"/>
  <c r="Z95" i="9"/>
  <c r="Y95" i="9"/>
  <c r="X95" i="9"/>
  <c r="W95" i="9"/>
  <c r="F95" i="9"/>
  <c r="AH94" i="9"/>
  <c r="AG94" i="9"/>
  <c r="AF94" i="9"/>
  <c r="AE94" i="9"/>
  <c r="AD94" i="9"/>
  <c r="AC94" i="9"/>
  <c r="AB94" i="9"/>
  <c r="AA94" i="9"/>
  <c r="Z94" i="9"/>
  <c r="Y94" i="9"/>
  <c r="X94" i="9"/>
  <c r="W94" i="9"/>
  <c r="F94" i="9"/>
  <c r="AH93" i="9"/>
  <c r="AG93" i="9"/>
  <c r="AF93" i="9"/>
  <c r="AE93" i="9"/>
  <c r="AD93" i="9"/>
  <c r="AC93" i="9"/>
  <c r="AB93" i="9"/>
  <c r="AA93" i="9"/>
  <c r="Z93" i="9"/>
  <c r="Y93" i="9"/>
  <c r="X93" i="9"/>
  <c r="W93" i="9"/>
  <c r="F93" i="9"/>
  <c r="AH92" i="9"/>
  <c r="AG92" i="9"/>
  <c r="AF92" i="9"/>
  <c r="AE92" i="9"/>
  <c r="AD92" i="9"/>
  <c r="AC92" i="9"/>
  <c r="AB92" i="9"/>
  <c r="AA92" i="9"/>
  <c r="Z92" i="9"/>
  <c r="Y92" i="9"/>
  <c r="X92" i="9"/>
  <c r="W92" i="9"/>
  <c r="F92" i="9"/>
  <c r="AH91" i="9"/>
  <c r="AG91" i="9"/>
  <c r="AF91" i="9"/>
  <c r="AE91" i="9"/>
  <c r="AD91" i="9"/>
  <c r="AC91" i="9"/>
  <c r="AB91" i="9"/>
  <c r="AA91" i="9"/>
  <c r="Z91" i="9"/>
  <c r="Y91" i="9"/>
  <c r="X91" i="9"/>
  <c r="W91" i="9"/>
  <c r="F91" i="9"/>
  <c r="AH90" i="9"/>
  <c r="AG90" i="9"/>
  <c r="AF90" i="9"/>
  <c r="AE90" i="9"/>
  <c r="AD90" i="9"/>
  <c r="AC90" i="9"/>
  <c r="AB90" i="9"/>
  <c r="AA90" i="9"/>
  <c r="Z90" i="9"/>
  <c r="Y90" i="9"/>
  <c r="X90" i="9"/>
  <c r="W90" i="9"/>
  <c r="F90" i="9"/>
  <c r="AH89" i="9"/>
  <c r="AG89" i="9"/>
  <c r="AF89" i="9"/>
  <c r="AE89" i="9"/>
  <c r="AD89" i="9"/>
  <c r="AC89" i="9"/>
  <c r="AB89" i="9"/>
  <c r="AA89" i="9"/>
  <c r="Z89" i="9"/>
  <c r="Y89" i="9"/>
  <c r="X89" i="9"/>
  <c r="W89" i="9"/>
  <c r="F89" i="9"/>
  <c r="AH88" i="9"/>
  <c r="AG88" i="9"/>
  <c r="AF88" i="9"/>
  <c r="AE88" i="9"/>
  <c r="AD88" i="9"/>
  <c r="AC88" i="9"/>
  <c r="AB88" i="9"/>
  <c r="AA88" i="9"/>
  <c r="Z88" i="9"/>
  <c r="Y88" i="9"/>
  <c r="X88" i="9"/>
  <c r="W88" i="9"/>
  <c r="F88" i="9"/>
  <c r="AH87" i="9"/>
  <c r="AG87" i="9"/>
  <c r="AF87" i="9"/>
  <c r="AE87" i="9"/>
  <c r="AD87" i="9"/>
  <c r="AC87" i="9"/>
  <c r="AB87" i="9"/>
  <c r="AA87" i="9"/>
  <c r="Z87" i="9"/>
  <c r="Y87" i="9"/>
  <c r="X87" i="9"/>
  <c r="W87" i="9"/>
  <c r="F87" i="9"/>
  <c r="AH86" i="9"/>
  <c r="AG86" i="9"/>
  <c r="AF86" i="9"/>
  <c r="AE86" i="9"/>
  <c r="AD86" i="9"/>
  <c r="AC86" i="9"/>
  <c r="AB86" i="9"/>
  <c r="AA86" i="9"/>
  <c r="Z86" i="9"/>
  <c r="Y86" i="9"/>
  <c r="X86" i="9"/>
  <c r="W86" i="9"/>
  <c r="F86" i="9"/>
  <c r="AH85" i="9"/>
  <c r="AG85" i="9"/>
  <c r="AF85" i="9"/>
  <c r="AE85" i="9"/>
  <c r="AD85" i="9"/>
  <c r="AC85" i="9"/>
  <c r="AB85" i="9"/>
  <c r="AA85" i="9"/>
  <c r="Z85" i="9"/>
  <c r="Y85" i="9"/>
  <c r="X85" i="9"/>
  <c r="W85" i="9"/>
  <c r="F85" i="9"/>
  <c r="AH84" i="9"/>
  <c r="AG84" i="9"/>
  <c r="AF84" i="9"/>
  <c r="AE84" i="9"/>
  <c r="AD84" i="9"/>
  <c r="AC84" i="9"/>
  <c r="AB84" i="9"/>
  <c r="AA84" i="9"/>
  <c r="Z84" i="9"/>
  <c r="Y84" i="9"/>
  <c r="X84" i="9"/>
  <c r="W84" i="9"/>
  <c r="F84" i="9"/>
  <c r="AH83" i="9"/>
  <c r="AG83" i="9"/>
  <c r="AF83" i="9"/>
  <c r="AE83" i="9"/>
  <c r="AD83" i="9"/>
  <c r="AC83" i="9"/>
  <c r="AB83" i="9"/>
  <c r="AA83" i="9"/>
  <c r="Z83" i="9"/>
  <c r="Y83" i="9"/>
  <c r="X83" i="9"/>
  <c r="W83" i="9"/>
  <c r="F83" i="9"/>
  <c r="AH82" i="9"/>
  <c r="AG82" i="9"/>
  <c r="AF82" i="9"/>
  <c r="AE82" i="9"/>
  <c r="AD82" i="9"/>
  <c r="AC82" i="9"/>
  <c r="AB82" i="9"/>
  <c r="AA82" i="9"/>
  <c r="Z82" i="9"/>
  <c r="Y82" i="9"/>
  <c r="X82" i="9"/>
  <c r="W82" i="9"/>
  <c r="F82" i="9"/>
  <c r="AH81" i="9"/>
  <c r="AG81" i="9"/>
  <c r="AF81" i="9"/>
  <c r="AE81" i="9"/>
  <c r="AD81" i="9"/>
  <c r="AC81" i="9"/>
  <c r="AB81" i="9"/>
  <c r="AA81" i="9"/>
  <c r="Z81" i="9"/>
  <c r="Y81" i="9"/>
  <c r="X81" i="9"/>
  <c r="W81" i="9"/>
  <c r="F81" i="9"/>
  <c r="AH80" i="9"/>
  <c r="AG80" i="9"/>
  <c r="AF80" i="9"/>
  <c r="AE80" i="9"/>
  <c r="AD80" i="9"/>
  <c r="AC80" i="9"/>
  <c r="AB80" i="9"/>
  <c r="AA80" i="9"/>
  <c r="Z80" i="9"/>
  <c r="Y80" i="9"/>
  <c r="X80" i="9"/>
  <c r="W80" i="9"/>
  <c r="F80" i="9"/>
  <c r="AH79" i="9"/>
  <c r="AG79" i="9"/>
  <c r="AF79" i="9"/>
  <c r="AE79" i="9"/>
  <c r="AD79" i="9"/>
  <c r="AC79" i="9"/>
  <c r="AB79" i="9"/>
  <c r="AA79" i="9"/>
  <c r="Z79" i="9"/>
  <c r="Y79" i="9"/>
  <c r="X79" i="9"/>
  <c r="W79" i="9"/>
  <c r="F79" i="9"/>
  <c r="AH78" i="9"/>
  <c r="AG78" i="9"/>
  <c r="AF78" i="9"/>
  <c r="AE78" i="9"/>
  <c r="AD78" i="9"/>
  <c r="AC78" i="9"/>
  <c r="AB78" i="9"/>
  <c r="AA78" i="9"/>
  <c r="Z78" i="9"/>
  <c r="Y78" i="9"/>
  <c r="X78" i="9"/>
  <c r="W78" i="9"/>
  <c r="F78" i="9"/>
  <c r="AH77" i="9"/>
  <c r="AG77" i="9"/>
  <c r="AF77" i="9"/>
  <c r="AE77" i="9"/>
  <c r="AD77" i="9"/>
  <c r="AC77" i="9"/>
  <c r="AB77" i="9"/>
  <c r="AA77" i="9"/>
  <c r="Z77" i="9"/>
  <c r="Y77" i="9"/>
  <c r="X77" i="9"/>
  <c r="W77" i="9"/>
  <c r="F77" i="9"/>
  <c r="AH76" i="9"/>
  <c r="AG76" i="9"/>
  <c r="AF76" i="9"/>
  <c r="AE76" i="9"/>
  <c r="AD76" i="9"/>
  <c r="AC76" i="9"/>
  <c r="AB76" i="9"/>
  <c r="AA76" i="9"/>
  <c r="Z76" i="9"/>
  <c r="Y76" i="9"/>
  <c r="X76" i="9"/>
  <c r="W76" i="9"/>
  <c r="F76" i="9"/>
  <c r="AH75" i="9"/>
  <c r="AG75" i="9"/>
  <c r="AF75" i="9"/>
  <c r="AE75" i="9"/>
  <c r="AD75" i="9"/>
  <c r="AC75" i="9"/>
  <c r="AB75" i="9"/>
  <c r="AA75" i="9"/>
  <c r="Z75" i="9"/>
  <c r="Y75" i="9"/>
  <c r="X75" i="9"/>
  <c r="W75" i="9"/>
  <c r="F75" i="9"/>
  <c r="AH74" i="9"/>
  <c r="AG74" i="9"/>
  <c r="AF74" i="9"/>
  <c r="AE74" i="9"/>
  <c r="AD74" i="9"/>
  <c r="AC74" i="9"/>
  <c r="AB74" i="9"/>
  <c r="AA74" i="9"/>
  <c r="Z74" i="9"/>
  <c r="Y74" i="9"/>
  <c r="X74" i="9"/>
  <c r="W74" i="9"/>
  <c r="F74" i="9"/>
  <c r="AH73" i="9"/>
  <c r="AG73" i="9"/>
  <c r="AF73" i="9"/>
  <c r="AE73" i="9"/>
  <c r="AD73" i="9"/>
  <c r="AC73" i="9"/>
  <c r="AB73" i="9"/>
  <c r="AA73" i="9"/>
  <c r="Z73" i="9"/>
  <c r="Y73" i="9"/>
  <c r="X73" i="9"/>
  <c r="W73" i="9"/>
  <c r="F73" i="9"/>
  <c r="AH72" i="9"/>
  <c r="AG72" i="9"/>
  <c r="AF72" i="9"/>
  <c r="AE72" i="9"/>
  <c r="AD72" i="9"/>
  <c r="AC72" i="9"/>
  <c r="AB72" i="9"/>
  <c r="AA72" i="9"/>
  <c r="Z72" i="9"/>
  <c r="Y72" i="9"/>
  <c r="X72" i="9"/>
  <c r="W72" i="9"/>
  <c r="F72" i="9"/>
  <c r="AH71" i="9"/>
  <c r="AG71" i="9"/>
  <c r="AF71" i="9"/>
  <c r="AE71" i="9"/>
  <c r="AD71" i="9"/>
  <c r="AC71" i="9"/>
  <c r="AB71" i="9"/>
  <c r="AA71" i="9"/>
  <c r="Z71" i="9"/>
  <c r="Y71" i="9"/>
  <c r="X71" i="9"/>
  <c r="W71" i="9"/>
  <c r="F71" i="9"/>
  <c r="AH70" i="9"/>
  <c r="AG70" i="9"/>
  <c r="AF70" i="9"/>
  <c r="AE70" i="9"/>
  <c r="AD70" i="9"/>
  <c r="AC70" i="9"/>
  <c r="AB70" i="9"/>
  <c r="AA70" i="9"/>
  <c r="Z70" i="9"/>
  <c r="Y70" i="9"/>
  <c r="X70" i="9"/>
  <c r="W70" i="9"/>
  <c r="F70" i="9"/>
  <c r="AH69" i="9"/>
  <c r="AG69" i="9"/>
  <c r="AF69" i="9"/>
  <c r="AE69" i="9"/>
  <c r="AD69" i="9"/>
  <c r="AC69" i="9"/>
  <c r="AB69" i="9"/>
  <c r="AA69" i="9"/>
  <c r="Z69" i="9"/>
  <c r="Y69" i="9"/>
  <c r="X69" i="9"/>
  <c r="W69" i="9"/>
  <c r="F69" i="9"/>
  <c r="AH68" i="9"/>
  <c r="AG68" i="9"/>
  <c r="AF68" i="9"/>
  <c r="AE68" i="9"/>
  <c r="AD68" i="9"/>
  <c r="AC68" i="9"/>
  <c r="AB68" i="9"/>
  <c r="AA68" i="9"/>
  <c r="Z68" i="9"/>
  <c r="Y68" i="9"/>
  <c r="X68" i="9"/>
  <c r="W68" i="9"/>
  <c r="F68" i="9"/>
  <c r="AH67" i="9"/>
  <c r="AG67" i="9"/>
  <c r="AF67" i="9"/>
  <c r="AE67" i="9"/>
  <c r="AD67" i="9"/>
  <c r="AC67" i="9"/>
  <c r="AB67" i="9"/>
  <c r="AA67" i="9"/>
  <c r="Z67" i="9"/>
  <c r="Y67" i="9"/>
  <c r="X67" i="9"/>
  <c r="W67" i="9"/>
  <c r="F67" i="9"/>
  <c r="AH66" i="9"/>
  <c r="AG66" i="9"/>
  <c r="AF66" i="9"/>
  <c r="AE66" i="9"/>
  <c r="AD66" i="9"/>
  <c r="AC66" i="9"/>
  <c r="AB66" i="9"/>
  <c r="AA66" i="9"/>
  <c r="Z66" i="9"/>
  <c r="Y66" i="9"/>
  <c r="X66" i="9"/>
  <c r="W66" i="9"/>
  <c r="F66" i="9"/>
  <c r="AH65" i="9"/>
  <c r="AG65" i="9"/>
  <c r="AF65" i="9"/>
  <c r="AE65" i="9"/>
  <c r="AD65" i="9"/>
  <c r="AC65" i="9"/>
  <c r="AB65" i="9"/>
  <c r="AA65" i="9"/>
  <c r="Z65" i="9"/>
  <c r="Y65" i="9"/>
  <c r="X65" i="9"/>
  <c r="W65" i="9"/>
  <c r="F65" i="9"/>
  <c r="AH64" i="9"/>
  <c r="AG64" i="9"/>
  <c r="AF64" i="9"/>
  <c r="AE64" i="9"/>
  <c r="AD64" i="9"/>
  <c r="AC64" i="9"/>
  <c r="AB64" i="9"/>
  <c r="AA64" i="9"/>
  <c r="Z64" i="9"/>
  <c r="Y64" i="9"/>
  <c r="X64" i="9"/>
  <c r="W64" i="9"/>
  <c r="F64" i="9"/>
  <c r="AH63" i="9"/>
  <c r="AG63" i="9"/>
  <c r="AF63" i="9"/>
  <c r="AE63" i="9"/>
  <c r="AD63" i="9"/>
  <c r="AC63" i="9"/>
  <c r="AB63" i="9"/>
  <c r="AA63" i="9"/>
  <c r="Z63" i="9"/>
  <c r="Y63" i="9"/>
  <c r="X63" i="9"/>
  <c r="W63" i="9"/>
  <c r="F63" i="9"/>
  <c r="AH62" i="9"/>
  <c r="AG62" i="9"/>
  <c r="AF62" i="9"/>
  <c r="AE62" i="9"/>
  <c r="AD62" i="9"/>
  <c r="AC62" i="9"/>
  <c r="AB62" i="9"/>
  <c r="AA62" i="9"/>
  <c r="Z62" i="9"/>
  <c r="Y62" i="9"/>
  <c r="X62" i="9"/>
  <c r="W62" i="9"/>
  <c r="F62" i="9"/>
  <c r="AH61" i="9"/>
  <c r="AG61" i="9"/>
  <c r="AF61" i="9"/>
  <c r="AE61" i="9"/>
  <c r="AD61" i="9"/>
  <c r="AC61" i="9"/>
  <c r="AB61" i="9"/>
  <c r="AA61" i="9"/>
  <c r="Z61" i="9"/>
  <c r="Y61" i="9"/>
  <c r="X61" i="9"/>
  <c r="W61" i="9"/>
  <c r="F61" i="9"/>
  <c r="AH60" i="9"/>
  <c r="AG60" i="9"/>
  <c r="AF60" i="9"/>
  <c r="AE60" i="9"/>
  <c r="AD60" i="9"/>
  <c r="AC60" i="9"/>
  <c r="AB60" i="9"/>
  <c r="AA60" i="9"/>
  <c r="Z60" i="9"/>
  <c r="Y60" i="9"/>
  <c r="X60" i="9"/>
  <c r="W60" i="9"/>
  <c r="F60" i="9"/>
  <c r="AH59" i="9"/>
  <c r="AG59" i="9"/>
  <c r="AF59" i="9"/>
  <c r="AE59" i="9"/>
  <c r="AD59" i="9"/>
  <c r="AC59" i="9"/>
  <c r="AB59" i="9"/>
  <c r="AA59" i="9"/>
  <c r="Z59" i="9"/>
  <c r="Y59" i="9"/>
  <c r="X59" i="9"/>
  <c r="W59" i="9"/>
  <c r="F59" i="9"/>
  <c r="AH58" i="9"/>
  <c r="AG58" i="9"/>
  <c r="AF58" i="9"/>
  <c r="AE58" i="9"/>
  <c r="AD58" i="9"/>
  <c r="AC58" i="9"/>
  <c r="AB58" i="9"/>
  <c r="AA58" i="9"/>
  <c r="Z58" i="9"/>
  <c r="Y58" i="9"/>
  <c r="X58" i="9"/>
  <c r="W58" i="9"/>
  <c r="F58" i="9"/>
  <c r="AH57" i="9"/>
  <c r="AG57" i="9"/>
  <c r="AF57" i="9"/>
  <c r="AE57" i="9"/>
  <c r="AD57" i="9"/>
  <c r="AC57" i="9"/>
  <c r="AB57" i="9"/>
  <c r="AA57" i="9"/>
  <c r="Z57" i="9"/>
  <c r="Y57" i="9"/>
  <c r="X57" i="9"/>
  <c r="W57" i="9"/>
  <c r="F57" i="9"/>
  <c r="AH56" i="9"/>
  <c r="AG56" i="9"/>
  <c r="AF56" i="9"/>
  <c r="AE56" i="9"/>
  <c r="AD56" i="9"/>
  <c r="AC56" i="9"/>
  <c r="AB56" i="9"/>
  <c r="AA56" i="9"/>
  <c r="Z56" i="9"/>
  <c r="Y56" i="9"/>
  <c r="X56" i="9"/>
  <c r="W56" i="9"/>
  <c r="F56" i="9"/>
  <c r="AH55" i="9"/>
  <c r="AG55" i="9"/>
  <c r="AF55" i="9"/>
  <c r="AE55" i="9"/>
  <c r="AD55" i="9"/>
  <c r="AC55" i="9"/>
  <c r="AB55" i="9"/>
  <c r="AA55" i="9"/>
  <c r="Z55" i="9"/>
  <c r="Y55" i="9"/>
  <c r="X55" i="9"/>
  <c r="W55" i="9"/>
  <c r="F55" i="9"/>
  <c r="AH54" i="9"/>
  <c r="AG54" i="9"/>
  <c r="AF54" i="9"/>
  <c r="AE54" i="9"/>
  <c r="AD54" i="9"/>
  <c r="AC54" i="9"/>
  <c r="AB54" i="9"/>
  <c r="AA54" i="9"/>
  <c r="Z54" i="9"/>
  <c r="Y54" i="9"/>
  <c r="X54" i="9"/>
  <c r="W54" i="9"/>
  <c r="F54" i="9"/>
  <c r="AH53" i="9"/>
  <c r="AG53" i="9"/>
  <c r="AF53" i="9"/>
  <c r="AE53" i="9"/>
  <c r="AD53" i="9"/>
  <c r="AC53" i="9"/>
  <c r="AB53" i="9"/>
  <c r="AA53" i="9"/>
  <c r="Z53" i="9"/>
  <c r="Y53" i="9"/>
  <c r="X53" i="9"/>
  <c r="W53" i="9"/>
  <c r="F53" i="9"/>
  <c r="AH52" i="9"/>
  <c r="AG52" i="9"/>
  <c r="AF52" i="9"/>
  <c r="AE52" i="9"/>
  <c r="AD52" i="9"/>
  <c r="AC52" i="9"/>
  <c r="AB52" i="9"/>
  <c r="AA52" i="9"/>
  <c r="Z52" i="9"/>
  <c r="Y52" i="9"/>
  <c r="X52" i="9"/>
  <c r="W52" i="9"/>
  <c r="F52" i="9"/>
  <c r="AH51" i="9"/>
  <c r="AG51" i="9"/>
  <c r="AF51" i="9"/>
  <c r="AE51" i="9"/>
  <c r="AD51" i="9"/>
  <c r="AC51" i="9"/>
  <c r="AB51" i="9"/>
  <c r="AA51" i="9"/>
  <c r="Z51" i="9"/>
  <c r="Y51" i="9"/>
  <c r="X51" i="9"/>
  <c r="W51" i="9"/>
  <c r="F51" i="9"/>
  <c r="AH50" i="9"/>
  <c r="AG50" i="9"/>
  <c r="AF50" i="9"/>
  <c r="AE50" i="9"/>
  <c r="AD50" i="9"/>
  <c r="AC50" i="9"/>
  <c r="AB50" i="9"/>
  <c r="AA50" i="9"/>
  <c r="Z50" i="9"/>
  <c r="Y50" i="9"/>
  <c r="X50" i="9"/>
  <c r="W50" i="9"/>
  <c r="F50" i="9"/>
  <c r="AH49" i="9"/>
  <c r="AG49" i="9"/>
  <c r="AF49" i="9"/>
  <c r="AE49" i="9"/>
  <c r="AD49" i="9"/>
  <c r="AC49" i="9"/>
  <c r="AB49" i="9"/>
  <c r="AA49" i="9"/>
  <c r="Z49" i="9"/>
  <c r="Y49" i="9"/>
  <c r="X49" i="9"/>
  <c r="W49" i="9"/>
  <c r="F49" i="9"/>
  <c r="AH48" i="9"/>
  <c r="AG48" i="9"/>
  <c r="AF48" i="9"/>
  <c r="AE48" i="9"/>
  <c r="AD48" i="9"/>
  <c r="AC48" i="9"/>
  <c r="AB48" i="9"/>
  <c r="AA48" i="9"/>
  <c r="Z48" i="9"/>
  <c r="Y48" i="9"/>
  <c r="X48" i="9"/>
  <c r="W48" i="9"/>
  <c r="F48" i="9"/>
  <c r="AH47" i="9"/>
  <c r="AG47" i="9"/>
  <c r="AF47" i="9"/>
  <c r="AE47" i="9"/>
  <c r="AD47" i="9"/>
  <c r="AC47" i="9"/>
  <c r="AB47" i="9"/>
  <c r="AA47" i="9"/>
  <c r="Z47" i="9"/>
  <c r="Y47" i="9"/>
  <c r="X47" i="9"/>
  <c r="W47" i="9"/>
  <c r="F47" i="9"/>
  <c r="AH46" i="9"/>
  <c r="AG46" i="9"/>
  <c r="AF46" i="9"/>
  <c r="AE46" i="9"/>
  <c r="AD46" i="9"/>
  <c r="AC46" i="9"/>
  <c r="AB46" i="9"/>
  <c r="AA46" i="9"/>
  <c r="Z46" i="9"/>
  <c r="Y46" i="9"/>
  <c r="X46" i="9"/>
  <c r="W46" i="9"/>
  <c r="F46" i="9"/>
  <c r="AH45" i="9"/>
  <c r="AG45" i="9"/>
  <c r="AF45" i="9"/>
  <c r="AE45" i="9"/>
  <c r="AD45" i="9"/>
  <c r="AC45" i="9"/>
  <c r="AB45" i="9"/>
  <c r="AA45" i="9"/>
  <c r="Z45" i="9"/>
  <c r="Y45" i="9"/>
  <c r="X45" i="9"/>
  <c r="W45" i="9"/>
  <c r="F45" i="9"/>
  <c r="AH44" i="9"/>
  <c r="AG44" i="9"/>
  <c r="AF44" i="9"/>
  <c r="AE44" i="9"/>
  <c r="AD44" i="9"/>
  <c r="AC44" i="9"/>
  <c r="AB44" i="9"/>
  <c r="AA44" i="9"/>
  <c r="Z44" i="9"/>
  <c r="Y44" i="9"/>
  <c r="X44" i="9"/>
  <c r="W44" i="9"/>
  <c r="F44" i="9"/>
  <c r="AH43" i="9"/>
  <c r="AG43" i="9"/>
  <c r="AF43" i="9"/>
  <c r="AE43" i="9"/>
  <c r="AD43" i="9"/>
  <c r="AC43" i="9"/>
  <c r="AB43" i="9"/>
  <c r="AA43" i="9"/>
  <c r="Z43" i="9"/>
  <c r="Y43" i="9"/>
  <c r="X43" i="9"/>
  <c r="W43" i="9"/>
  <c r="F43" i="9"/>
  <c r="AH42" i="9"/>
  <c r="AG42" i="9"/>
  <c r="AF42" i="9"/>
  <c r="AE42" i="9"/>
  <c r="AD42" i="9"/>
  <c r="AC42" i="9"/>
  <c r="AB42" i="9"/>
  <c r="AA42" i="9"/>
  <c r="Z42" i="9"/>
  <c r="Y42" i="9"/>
  <c r="X42" i="9"/>
  <c r="W42" i="9"/>
  <c r="F42" i="9"/>
  <c r="AH41" i="9"/>
  <c r="AG41" i="9"/>
  <c r="AF41" i="9"/>
  <c r="AE41" i="9"/>
  <c r="AD41" i="9"/>
  <c r="AC41" i="9"/>
  <c r="AB41" i="9"/>
  <c r="AA41" i="9"/>
  <c r="Z41" i="9"/>
  <c r="Y41" i="9"/>
  <c r="X41" i="9"/>
  <c r="W41" i="9"/>
  <c r="F41" i="9"/>
  <c r="AH40" i="9"/>
  <c r="AG40" i="9"/>
  <c r="AF40" i="9"/>
  <c r="AE40" i="9"/>
  <c r="AD40" i="9"/>
  <c r="AC40" i="9"/>
  <c r="AB40" i="9"/>
  <c r="AA40" i="9"/>
  <c r="Z40" i="9"/>
  <c r="Y40" i="9"/>
  <c r="X40" i="9"/>
  <c r="W40" i="9"/>
  <c r="F40" i="9"/>
  <c r="AH39" i="9"/>
  <c r="AG39" i="9"/>
  <c r="AF39" i="9"/>
  <c r="AE39" i="9"/>
  <c r="AD39" i="9"/>
  <c r="AC39" i="9"/>
  <c r="AB39" i="9"/>
  <c r="AA39" i="9"/>
  <c r="Z39" i="9"/>
  <c r="Y39" i="9"/>
  <c r="X39" i="9"/>
  <c r="W39" i="9"/>
  <c r="F39" i="9"/>
  <c r="AH38" i="9"/>
  <c r="AG38" i="9"/>
  <c r="AF38" i="9"/>
  <c r="AE38" i="9"/>
  <c r="AD38" i="9"/>
  <c r="AC38" i="9"/>
  <c r="AB38" i="9"/>
  <c r="AA38" i="9"/>
  <c r="Z38" i="9"/>
  <c r="Y38" i="9"/>
  <c r="X38" i="9"/>
  <c r="W38" i="9"/>
  <c r="F38" i="9"/>
  <c r="AH37" i="9"/>
  <c r="AG37" i="9"/>
  <c r="AF37" i="9"/>
  <c r="AE37" i="9"/>
  <c r="AD37" i="9"/>
  <c r="AC37" i="9"/>
  <c r="AB37" i="9"/>
  <c r="AA37" i="9"/>
  <c r="Z37" i="9"/>
  <c r="Y37" i="9"/>
  <c r="X37" i="9"/>
  <c r="W37" i="9"/>
  <c r="F37" i="9"/>
  <c r="AH36" i="9"/>
  <c r="AG36" i="9"/>
  <c r="AF36" i="9"/>
  <c r="AE36" i="9"/>
  <c r="AD36" i="9"/>
  <c r="AC36" i="9"/>
  <c r="AB36" i="9"/>
  <c r="AA36" i="9"/>
  <c r="Z36" i="9"/>
  <c r="Y36" i="9"/>
  <c r="X36" i="9"/>
  <c r="W36" i="9"/>
  <c r="F36" i="9"/>
  <c r="AH35" i="9"/>
  <c r="AG35" i="9"/>
  <c r="AF35" i="9"/>
  <c r="AE35" i="9"/>
  <c r="AD35" i="9"/>
  <c r="AC35" i="9"/>
  <c r="AB35" i="9"/>
  <c r="AA35" i="9"/>
  <c r="Z35" i="9"/>
  <c r="Y35" i="9"/>
  <c r="X35" i="9"/>
  <c r="W35" i="9"/>
  <c r="F35" i="9"/>
  <c r="AH34" i="9"/>
  <c r="AG34" i="9"/>
  <c r="AF34" i="9"/>
  <c r="AE34" i="9"/>
  <c r="AD34" i="9"/>
  <c r="AC34" i="9"/>
  <c r="AB34" i="9"/>
  <c r="AA34" i="9"/>
  <c r="Z34" i="9"/>
  <c r="Y34" i="9"/>
  <c r="X34" i="9"/>
  <c r="W34" i="9"/>
  <c r="F34" i="9"/>
  <c r="AH33" i="9"/>
  <c r="AG33" i="9"/>
  <c r="AF33" i="9"/>
  <c r="AE33" i="9"/>
  <c r="AD33" i="9"/>
  <c r="AC33" i="9"/>
  <c r="AB33" i="9"/>
  <c r="AA33" i="9"/>
  <c r="Z33" i="9"/>
  <c r="Y33" i="9"/>
  <c r="X33" i="9"/>
  <c r="W33" i="9"/>
  <c r="F33" i="9"/>
  <c r="AH32" i="9"/>
  <c r="AG32" i="9"/>
  <c r="AF32" i="9"/>
  <c r="AE32" i="9"/>
  <c r="AD32" i="9"/>
  <c r="AC32" i="9"/>
  <c r="AB32" i="9"/>
  <c r="AA32" i="9"/>
  <c r="Z32" i="9"/>
  <c r="Y32" i="9"/>
  <c r="X32" i="9"/>
  <c r="W32" i="9"/>
  <c r="F32" i="9"/>
  <c r="AH31" i="9"/>
  <c r="AG31" i="9"/>
  <c r="AF31" i="9"/>
  <c r="AE31" i="9"/>
  <c r="AD31" i="9"/>
  <c r="AC31" i="9"/>
  <c r="AB31" i="9"/>
  <c r="AA31" i="9"/>
  <c r="Z31" i="9"/>
  <c r="Y31" i="9"/>
  <c r="X31" i="9"/>
  <c r="W31" i="9"/>
  <c r="F31" i="9"/>
  <c r="AH30" i="9"/>
  <c r="AG30" i="9"/>
  <c r="AF30" i="9"/>
  <c r="AE30" i="9"/>
  <c r="AD30" i="9"/>
  <c r="AC30" i="9"/>
  <c r="AB30" i="9"/>
  <c r="AA30" i="9"/>
  <c r="Z30" i="9"/>
  <c r="Y30" i="9"/>
  <c r="X30" i="9"/>
  <c r="W30" i="9"/>
  <c r="F30" i="9"/>
  <c r="AH29" i="9"/>
  <c r="AG29" i="9"/>
  <c r="AF29" i="9"/>
  <c r="AE29" i="9"/>
  <c r="AD29" i="9"/>
  <c r="AC29" i="9"/>
  <c r="AB29" i="9"/>
  <c r="AA29" i="9"/>
  <c r="Z29" i="9"/>
  <c r="Y29" i="9"/>
  <c r="X29" i="9"/>
  <c r="W29" i="9"/>
  <c r="F29" i="9"/>
  <c r="AH28" i="9"/>
  <c r="AG28" i="9"/>
  <c r="AF28" i="9"/>
  <c r="AE28" i="9"/>
  <c r="AD28" i="9"/>
  <c r="AC28" i="9"/>
  <c r="AB28" i="9"/>
  <c r="AA28" i="9"/>
  <c r="Z28" i="9"/>
  <c r="Y28" i="9"/>
  <c r="X28" i="9"/>
  <c r="W28" i="9"/>
  <c r="F28" i="9"/>
  <c r="AH27" i="9"/>
  <c r="AG27" i="9"/>
  <c r="AF27" i="9"/>
  <c r="AE27" i="9"/>
  <c r="AD27" i="9"/>
  <c r="AC27" i="9"/>
  <c r="AB27" i="9"/>
  <c r="AA27" i="9"/>
  <c r="Z27" i="9"/>
  <c r="Y27" i="9"/>
  <c r="X27" i="9"/>
  <c r="W27" i="9"/>
  <c r="F27" i="9"/>
  <c r="AH26" i="9"/>
  <c r="AG26" i="9"/>
  <c r="AF26" i="9"/>
  <c r="AE26" i="9"/>
  <c r="AD26" i="9"/>
  <c r="AC26" i="9"/>
  <c r="AB26" i="9"/>
  <c r="AA26" i="9"/>
  <c r="Z26" i="9"/>
  <c r="Y26" i="9"/>
  <c r="X26" i="9"/>
  <c r="W26" i="9"/>
  <c r="F26" i="9"/>
  <c r="AH25" i="9"/>
  <c r="AG25" i="9"/>
  <c r="AF25" i="9"/>
  <c r="AE25" i="9"/>
  <c r="AD25" i="9"/>
  <c r="AC25" i="9"/>
  <c r="AB25" i="9"/>
  <c r="AA25" i="9"/>
  <c r="Z25" i="9"/>
  <c r="Y25" i="9"/>
  <c r="X25" i="9"/>
  <c r="W25" i="9"/>
  <c r="F25" i="9"/>
  <c r="AH24" i="9"/>
  <c r="AG24" i="9"/>
  <c r="AF24" i="9"/>
  <c r="AE24" i="9"/>
  <c r="AD24" i="9"/>
  <c r="AC24" i="9"/>
  <c r="AB24" i="9"/>
  <c r="AA24" i="9"/>
  <c r="Z24" i="9"/>
  <c r="Y24" i="9"/>
  <c r="X24" i="9"/>
  <c r="W24" i="9"/>
  <c r="F24" i="9"/>
  <c r="AH23" i="9"/>
  <c r="AG23" i="9"/>
  <c r="AF23" i="9"/>
  <c r="AE23" i="9"/>
  <c r="AD23" i="9"/>
  <c r="AC23" i="9"/>
  <c r="AB23" i="9"/>
  <c r="AA23" i="9"/>
  <c r="Z23" i="9"/>
  <c r="Y23" i="9"/>
  <c r="X23" i="9"/>
  <c r="W23" i="9"/>
  <c r="F23" i="9"/>
  <c r="AH22" i="9"/>
  <c r="AG22" i="9"/>
  <c r="AF22" i="9"/>
  <c r="AE22" i="9"/>
  <c r="AD22" i="9"/>
  <c r="AC22" i="9"/>
  <c r="AB22" i="9"/>
  <c r="AA22" i="9"/>
  <c r="Z22" i="9"/>
  <c r="Y22" i="9"/>
  <c r="X22" i="9"/>
  <c r="W22" i="9"/>
  <c r="F22" i="9"/>
  <c r="AH21" i="9"/>
  <c r="AG21" i="9"/>
  <c r="AF21" i="9"/>
  <c r="AE21" i="9"/>
  <c r="AD21" i="9"/>
  <c r="AC21" i="9"/>
  <c r="AB21" i="9"/>
  <c r="AA21" i="9"/>
  <c r="Z21" i="9"/>
  <c r="Y21" i="9"/>
  <c r="X21" i="9"/>
  <c r="W21" i="9"/>
  <c r="F21" i="9"/>
  <c r="AH20" i="9"/>
  <c r="AG20" i="9"/>
  <c r="AF20" i="9"/>
  <c r="AE20" i="9"/>
  <c r="AD20" i="9"/>
  <c r="AC20" i="9"/>
  <c r="AB20" i="9"/>
  <c r="AA20" i="9"/>
  <c r="Z20" i="9"/>
  <c r="Y20" i="9"/>
  <c r="X20" i="9"/>
  <c r="W20" i="9"/>
  <c r="F20" i="9"/>
  <c r="AH19" i="9"/>
  <c r="AG19" i="9"/>
  <c r="AF19" i="9"/>
  <c r="AE19" i="9"/>
  <c r="AD19" i="9"/>
  <c r="AC19" i="9"/>
  <c r="AB19" i="9"/>
  <c r="AA19" i="9"/>
  <c r="Z19" i="9"/>
  <c r="Y19" i="9"/>
  <c r="X19" i="9"/>
  <c r="W19" i="9"/>
  <c r="F19" i="9"/>
  <c r="AH18" i="9"/>
  <c r="AG18" i="9"/>
  <c r="AF18" i="9"/>
  <c r="AE18" i="9"/>
  <c r="AD18" i="9"/>
  <c r="AC18" i="9"/>
  <c r="AB18" i="9"/>
  <c r="AA18" i="9"/>
  <c r="Z18" i="9"/>
  <c r="Y18" i="9"/>
  <c r="X18" i="9"/>
  <c r="W18" i="9"/>
  <c r="F18" i="9"/>
  <c r="AH17" i="9"/>
  <c r="AG17" i="9"/>
  <c r="AF17" i="9"/>
  <c r="AE17" i="9"/>
  <c r="AD17" i="9"/>
  <c r="AC17" i="9"/>
  <c r="AB17" i="9"/>
  <c r="AA17" i="9"/>
  <c r="Z17" i="9"/>
  <c r="Y17" i="9"/>
  <c r="X17" i="9"/>
  <c r="W17" i="9"/>
  <c r="F17" i="9"/>
  <c r="AH16" i="9"/>
  <c r="AG16" i="9"/>
  <c r="AF16" i="9"/>
  <c r="AE16" i="9"/>
  <c r="AD16" i="9"/>
  <c r="AC16" i="9"/>
  <c r="AB16" i="9"/>
  <c r="AA16" i="9"/>
  <c r="Z16" i="9"/>
  <c r="Y16" i="9"/>
  <c r="X16" i="9"/>
  <c r="W16" i="9"/>
  <c r="F16" i="9"/>
  <c r="AH15" i="9"/>
  <c r="AG15" i="9"/>
  <c r="AF15" i="9"/>
  <c r="AE15" i="9"/>
  <c r="AD15" i="9"/>
  <c r="AC15" i="9"/>
  <c r="AB15" i="9"/>
  <c r="AA15" i="9"/>
  <c r="Z15" i="9"/>
  <c r="Y15" i="9"/>
  <c r="X15" i="9"/>
  <c r="W15" i="9"/>
  <c r="F15" i="9"/>
  <c r="AH14" i="9"/>
  <c r="AG14" i="9"/>
  <c r="AF14" i="9"/>
  <c r="AE14" i="9"/>
  <c r="AD14" i="9"/>
  <c r="AC14" i="9"/>
  <c r="AB14" i="9"/>
  <c r="AA14" i="9"/>
  <c r="Z14" i="9"/>
  <c r="Y14" i="9"/>
  <c r="X14" i="9"/>
  <c r="W14" i="9"/>
  <c r="F14" i="9"/>
  <c r="AH13" i="9"/>
  <c r="AG13" i="9"/>
  <c r="AF13" i="9"/>
  <c r="AE13" i="9"/>
  <c r="AD13" i="9"/>
  <c r="AC13" i="9"/>
  <c r="AB13" i="9"/>
  <c r="AA13" i="9"/>
  <c r="Z13" i="9"/>
  <c r="Y13" i="9"/>
  <c r="X13" i="9"/>
  <c r="W13" i="9"/>
  <c r="F13" i="9"/>
  <c r="AH12" i="9"/>
  <c r="AG12" i="9"/>
  <c r="AF12" i="9"/>
  <c r="AE12" i="9"/>
  <c r="AD12" i="9"/>
  <c r="AC12" i="9"/>
  <c r="AB12" i="9"/>
  <c r="AA12" i="9"/>
  <c r="Z12" i="9"/>
  <c r="Y12" i="9"/>
  <c r="X12" i="9"/>
  <c r="W12" i="9"/>
  <c r="F12" i="9"/>
  <c r="AH11" i="9"/>
  <c r="AG11" i="9"/>
  <c r="AF11" i="9"/>
  <c r="AE11" i="9"/>
  <c r="AD11" i="9"/>
  <c r="AC11" i="9"/>
  <c r="AB11" i="9"/>
  <c r="AA11" i="9"/>
  <c r="Z11" i="9"/>
  <c r="Y11" i="9"/>
  <c r="X11" i="9"/>
  <c r="W11" i="9"/>
  <c r="F11" i="9"/>
  <c r="AH10" i="9"/>
  <c r="AG10" i="9"/>
  <c r="AF10" i="9"/>
  <c r="AE10" i="9"/>
  <c r="AD10" i="9"/>
  <c r="AC10" i="9"/>
  <c r="AB10" i="9"/>
  <c r="AA10" i="9"/>
  <c r="Z10" i="9"/>
  <c r="Y10" i="9"/>
  <c r="X10" i="9"/>
  <c r="W10" i="9"/>
  <c r="F10" i="9"/>
  <c r="AH9" i="9"/>
  <c r="AG9" i="9"/>
  <c r="AF9" i="9"/>
  <c r="AE9" i="9"/>
  <c r="AD9" i="9"/>
  <c r="AC9" i="9"/>
  <c r="AB9" i="9"/>
  <c r="AA9" i="9"/>
  <c r="Z9" i="9"/>
  <c r="Y9" i="9"/>
  <c r="X9" i="9"/>
  <c r="W9" i="9"/>
  <c r="F9" i="9"/>
  <c r="AH8" i="9"/>
  <c r="AG8" i="9"/>
  <c r="AF8" i="9"/>
  <c r="AE8" i="9"/>
  <c r="AD8" i="9"/>
  <c r="AC8" i="9"/>
  <c r="AB8" i="9"/>
  <c r="AA8" i="9"/>
  <c r="Z8" i="9"/>
  <c r="Y8" i="9"/>
  <c r="X8" i="9"/>
  <c r="W8" i="9"/>
  <c r="F8" i="9"/>
  <c r="AH7" i="9"/>
  <c r="AG7" i="9"/>
  <c r="AF7" i="9"/>
  <c r="AE7" i="9"/>
  <c r="AD7" i="9"/>
  <c r="AC7" i="9"/>
  <c r="AB7" i="9"/>
  <c r="AA7" i="9"/>
  <c r="Z7" i="9"/>
  <c r="Y7" i="9"/>
  <c r="X7" i="9"/>
  <c r="W7" i="9"/>
  <c r="F7" i="9"/>
  <c r="AH6" i="9"/>
  <c r="AG6" i="9"/>
  <c r="AF6" i="9"/>
  <c r="AE6" i="9"/>
  <c r="AD6" i="9"/>
  <c r="AC6" i="9"/>
  <c r="AB6" i="9"/>
  <c r="AA6" i="9"/>
  <c r="Z6" i="9"/>
  <c r="Y6" i="9"/>
  <c r="X6" i="9"/>
  <c r="W6" i="9"/>
  <c r="F6" i="9"/>
  <c r="AH100" i="8"/>
  <c r="AG100" i="8"/>
  <c r="AF100" i="8"/>
  <c r="AE100" i="8"/>
  <c r="AD100" i="8"/>
  <c r="AC100" i="8"/>
  <c r="AB100" i="8"/>
  <c r="AA100" i="8"/>
  <c r="Z100" i="8"/>
  <c r="Y100" i="8"/>
  <c r="X100" i="8"/>
  <c r="W100" i="8"/>
  <c r="F100" i="8"/>
  <c r="AH99" i="8"/>
  <c r="AG99" i="8"/>
  <c r="AF99" i="8"/>
  <c r="AE99" i="8"/>
  <c r="AD99" i="8"/>
  <c r="AC99" i="8"/>
  <c r="AB99" i="8"/>
  <c r="AA99" i="8"/>
  <c r="Z99" i="8"/>
  <c r="Y99" i="8"/>
  <c r="X99" i="8"/>
  <c r="W99" i="8"/>
  <c r="F99" i="8"/>
  <c r="AH98" i="8"/>
  <c r="AG98" i="8"/>
  <c r="AF98" i="8"/>
  <c r="AE98" i="8"/>
  <c r="AD98" i="8"/>
  <c r="AC98" i="8"/>
  <c r="AB98" i="8"/>
  <c r="AA98" i="8"/>
  <c r="Z98" i="8"/>
  <c r="Y98" i="8"/>
  <c r="X98" i="8"/>
  <c r="W98" i="8"/>
  <c r="F98" i="8"/>
  <c r="AH97" i="8"/>
  <c r="AG97" i="8"/>
  <c r="AF97" i="8"/>
  <c r="AE97" i="8"/>
  <c r="AD97" i="8"/>
  <c r="AC97" i="8"/>
  <c r="AB97" i="8"/>
  <c r="AA97" i="8"/>
  <c r="Z97" i="8"/>
  <c r="Y97" i="8"/>
  <c r="X97" i="8"/>
  <c r="W97" i="8"/>
  <c r="F97" i="8"/>
  <c r="AH96" i="8"/>
  <c r="AG96" i="8"/>
  <c r="AF96" i="8"/>
  <c r="AE96" i="8"/>
  <c r="AD96" i="8"/>
  <c r="AC96" i="8"/>
  <c r="AB96" i="8"/>
  <c r="AA96" i="8"/>
  <c r="Z96" i="8"/>
  <c r="Y96" i="8"/>
  <c r="X96" i="8"/>
  <c r="W96" i="8"/>
  <c r="F96" i="8"/>
  <c r="AH95" i="8"/>
  <c r="AG95" i="8"/>
  <c r="AF95" i="8"/>
  <c r="AE95" i="8"/>
  <c r="AD95" i="8"/>
  <c r="AC95" i="8"/>
  <c r="AB95" i="8"/>
  <c r="AA95" i="8"/>
  <c r="Z95" i="8"/>
  <c r="Y95" i="8"/>
  <c r="X95" i="8"/>
  <c r="W95" i="8"/>
  <c r="F95" i="8"/>
  <c r="AH94" i="8"/>
  <c r="AG94" i="8"/>
  <c r="AF94" i="8"/>
  <c r="AE94" i="8"/>
  <c r="AD94" i="8"/>
  <c r="AC94" i="8"/>
  <c r="AB94" i="8"/>
  <c r="AA94" i="8"/>
  <c r="Z94" i="8"/>
  <c r="Y94" i="8"/>
  <c r="X94" i="8"/>
  <c r="W94" i="8"/>
  <c r="F94" i="8"/>
  <c r="AH93" i="8"/>
  <c r="AG93" i="8"/>
  <c r="AF93" i="8"/>
  <c r="AE93" i="8"/>
  <c r="AD93" i="8"/>
  <c r="AC93" i="8"/>
  <c r="AB93" i="8"/>
  <c r="AA93" i="8"/>
  <c r="Z93" i="8"/>
  <c r="Y93" i="8"/>
  <c r="X93" i="8"/>
  <c r="W93" i="8"/>
  <c r="F93" i="8"/>
  <c r="AH92" i="8"/>
  <c r="AG92" i="8"/>
  <c r="AF92" i="8"/>
  <c r="AE92" i="8"/>
  <c r="AD92" i="8"/>
  <c r="AC92" i="8"/>
  <c r="AB92" i="8"/>
  <c r="AA92" i="8"/>
  <c r="Z92" i="8"/>
  <c r="Y92" i="8"/>
  <c r="X92" i="8"/>
  <c r="W92" i="8"/>
  <c r="F92" i="8"/>
  <c r="AH91" i="8"/>
  <c r="AG91" i="8"/>
  <c r="AF91" i="8"/>
  <c r="AE91" i="8"/>
  <c r="AD91" i="8"/>
  <c r="AC91" i="8"/>
  <c r="AB91" i="8"/>
  <c r="AA91" i="8"/>
  <c r="Z91" i="8"/>
  <c r="Y91" i="8"/>
  <c r="X91" i="8"/>
  <c r="W91" i="8"/>
  <c r="F91" i="8"/>
  <c r="AH90" i="8"/>
  <c r="AG90" i="8"/>
  <c r="AF90" i="8"/>
  <c r="AE90" i="8"/>
  <c r="AD90" i="8"/>
  <c r="AC90" i="8"/>
  <c r="AB90" i="8"/>
  <c r="AA90" i="8"/>
  <c r="Z90" i="8"/>
  <c r="Y90" i="8"/>
  <c r="X90" i="8"/>
  <c r="W90" i="8"/>
  <c r="F90" i="8"/>
  <c r="AH89" i="8"/>
  <c r="AG89" i="8"/>
  <c r="AF89" i="8"/>
  <c r="AE89" i="8"/>
  <c r="AD89" i="8"/>
  <c r="AC89" i="8"/>
  <c r="AB89" i="8"/>
  <c r="AA89" i="8"/>
  <c r="Z89" i="8"/>
  <c r="Y89" i="8"/>
  <c r="X89" i="8"/>
  <c r="W89" i="8"/>
  <c r="F89" i="8"/>
  <c r="AH88" i="8"/>
  <c r="AG88" i="8"/>
  <c r="AF88" i="8"/>
  <c r="AE88" i="8"/>
  <c r="AD88" i="8"/>
  <c r="AC88" i="8"/>
  <c r="AB88" i="8"/>
  <c r="AA88" i="8"/>
  <c r="Z88" i="8"/>
  <c r="Y88" i="8"/>
  <c r="X88" i="8"/>
  <c r="W88" i="8"/>
  <c r="F88" i="8"/>
  <c r="AH87" i="8"/>
  <c r="AG87" i="8"/>
  <c r="AF87" i="8"/>
  <c r="AE87" i="8"/>
  <c r="AD87" i="8"/>
  <c r="AC87" i="8"/>
  <c r="AB87" i="8"/>
  <c r="AA87" i="8"/>
  <c r="Z87" i="8"/>
  <c r="Y87" i="8"/>
  <c r="X87" i="8"/>
  <c r="W87" i="8"/>
  <c r="F87" i="8"/>
  <c r="AH86" i="8"/>
  <c r="AG86" i="8"/>
  <c r="AF86" i="8"/>
  <c r="AE86" i="8"/>
  <c r="AD86" i="8"/>
  <c r="AC86" i="8"/>
  <c r="AB86" i="8"/>
  <c r="AA86" i="8"/>
  <c r="Z86" i="8"/>
  <c r="Y86" i="8"/>
  <c r="X86" i="8"/>
  <c r="W86" i="8"/>
  <c r="F86" i="8"/>
  <c r="AH85" i="8"/>
  <c r="AG85" i="8"/>
  <c r="AF85" i="8"/>
  <c r="AE85" i="8"/>
  <c r="AD85" i="8"/>
  <c r="AC85" i="8"/>
  <c r="AB85" i="8"/>
  <c r="AA85" i="8"/>
  <c r="Z85" i="8"/>
  <c r="Y85" i="8"/>
  <c r="X85" i="8"/>
  <c r="W85" i="8"/>
  <c r="F85" i="8"/>
  <c r="AH84" i="8"/>
  <c r="AG84" i="8"/>
  <c r="AF84" i="8"/>
  <c r="AE84" i="8"/>
  <c r="AD84" i="8"/>
  <c r="AC84" i="8"/>
  <c r="AB84" i="8"/>
  <c r="AA84" i="8"/>
  <c r="Z84" i="8"/>
  <c r="Y84" i="8"/>
  <c r="X84" i="8"/>
  <c r="W84" i="8"/>
  <c r="F84" i="8"/>
  <c r="AH83" i="8"/>
  <c r="AG83" i="8"/>
  <c r="AF83" i="8"/>
  <c r="AE83" i="8"/>
  <c r="AD83" i="8"/>
  <c r="AC83" i="8"/>
  <c r="AB83" i="8"/>
  <c r="AA83" i="8"/>
  <c r="Z83" i="8"/>
  <c r="Y83" i="8"/>
  <c r="X83" i="8"/>
  <c r="W83" i="8"/>
  <c r="F83" i="8"/>
  <c r="AH82" i="8"/>
  <c r="AG82" i="8"/>
  <c r="AF82" i="8"/>
  <c r="AE82" i="8"/>
  <c r="AD82" i="8"/>
  <c r="AC82" i="8"/>
  <c r="AB82" i="8"/>
  <c r="AA82" i="8"/>
  <c r="Z82" i="8"/>
  <c r="Y82" i="8"/>
  <c r="X82" i="8"/>
  <c r="W82" i="8"/>
  <c r="F82" i="8"/>
  <c r="AH81" i="8"/>
  <c r="AG81" i="8"/>
  <c r="AF81" i="8"/>
  <c r="AE81" i="8"/>
  <c r="AD81" i="8"/>
  <c r="AC81" i="8"/>
  <c r="AB81" i="8"/>
  <c r="AA81" i="8"/>
  <c r="Z81" i="8"/>
  <c r="Y81" i="8"/>
  <c r="X81" i="8"/>
  <c r="W81" i="8"/>
  <c r="F81" i="8"/>
  <c r="AH80" i="8"/>
  <c r="AG80" i="8"/>
  <c r="AF80" i="8"/>
  <c r="AE80" i="8"/>
  <c r="AD80" i="8"/>
  <c r="AC80" i="8"/>
  <c r="AB80" i="8"/>
  <c r="AA80" i="8"/>
  <c r="Z80" i="8"/>
  <c r="Y80" i="8"/>
  <c r="X80" i="8"/>
  <c r="W80" i="8"/>
  <c r="F80" i="8"/>
  <c r="AH79" i="8"/>
  <c r="AG79" i="8"/>
  <c r="AF79" i="8"/>
  <c r="AE79" i="8"/>
  <c r="AD79" i="8"/>
  <c r="AC79" i="8"/>
  <c r="AB79" i="8"/>
  <c r="AA79" i="8"/>
  <c r="Z79" i="8"/>
  <c r="Y79" i="8"/>
  <c r="X79" i="8"/>
  <c r="W79" i="8"/>
  <c r="F79" i="8"/>
  <c r="AH78" i="8"/>
  <c r="AG78" i="8"/>
  <c r="AF78" i="8"/>
  <c r="AE78" i="8"/>
  <c r="AD78" i="8"/>
  <c r="AC78" i="8"/>
  <c r="AB78" i="8"/>
  <c r="AA78" i="8"/>
  <c r="Z78" i="8"/>
  <c r="Y78" i="8"/>
  <c r="X78" i="8"/>
  <c r="W78" i="8"/>
  <c r="F78" i="8"/>
  <c r="AH77" i="8"/>
  <c r="AG77" i="8"/>
  <c r="AF77" i="8"/>
  <c r="AE77" i="8"/>
  <c r="AD77" i="8"/>
  <c r="AC77" i="8"/>
  <c r="AB77" i="8"/>
  <c r="AA77" i="8"/>
  <c r="Z77" i="8"/>
  <c r="Y77" i="8"/>
  <c r="X77" i="8"/>
  <c r="W77" i="8"/>
  <c r="F77" i="8"/>
  <c r="AH76" i="8"/>
  <c r="AG76" i="8"/>
  <c r="AF76" i="8"/>
  <c r="AE76" i="8"/>
  <c r="AD76" i="8"/>
  <c r="AC76" i="8"/>
  <c r="AB76" i="8"/>
  <c r="AA76" i="8"/>
  <c r="Z76" i="8"/>
  <c r="Y76" i="8"/>
  <c r="X76" i="8"/>
  <c r="W76" i="8"/>
  <c r="F76" i="8"/>
  <c r="AH75" i="8"/>
  <c r="AG75" i="8"/>
  <c r="AF75" i="8"/>
  <c r="AE75" i="8"/>
  <c r="AD75" i="8"/>
  <c r="AC75" i="8"/>
  <c r="AB75" i="8"/>
  <c r="AA75" i="8"/>
  <c r="Z75" i="8"/>
  <c r="Y75" i="8"/>
  <c r="X75" i="8"/>
  <c r="W75" i="8"/>
  <c r="F75" i="8"/>
  <c r="AH74" i="8"/>
  <c r="AG74" i="8"/>
  <c r="AF74" i="8"/>
  <c r="AE74" i="8"/>
  <c r="AD74" i="8"/>
  <c r="AC74" i="8"/>
  <c r="AB74" i="8"/>
  <c r="AA74" i="8"/>
  <c r="Z74" i="8"/>
  <c r="Y74" i="8"/>
  <c r="X74" i="8"/>
  <c r="W74" i="8"/>
  <c r="F74" i="8"/>
  <c r="AH73" i="8"/>
  <c r="AG73" i="8"/>
  <c r="AF73" i="8"/>
  <c r="AE73" i="8"/>
  <c r="AD73" i="8"/>
  <c r="AC73" i="8"/>
  <c r="AB73" i="8"/>
  <c r="AA73" i="8"/>
  <c r="Z73" i="8"/>
  <c r="Y73" i="8"/>
  <c r="X73" i="8"/>
  <c r="W73" i="8"/>
  <c r="F73" i="8"/>
  <c r="AH72" i="8"/>
  <c r="AG72" i="8"/>
  <c r="AF72" i="8"/>
  <c r="AE72" i="8"/>
  <c r="AD72" i="8"/>
  <c r="AC72" i="8"/>
  <c r="AB72" i="8"/>
  <c r="AA72" i="8"/>
  <c r="Z72" i="8"/>
  <c r="Y72" i="8"/>
  <c r="X72" i="8"/>
  <c r="W72" i="8"/>
  <c r="F72" i="8"/>
  <c r="AH71" i="8"/>
  <c r="AG71" i="8"/>
  <c r="AF71" i="8"/>
  <c r="AE71" i="8"/>
  <c r="AD71" i="8"/>
  <c r="AC71" i="8"/>
  <c r="AB71" i="8"/>
  <c r="AA71" i="8"/>
  <c r="Z71" i="8"/>
  <c r="Y71" i="8"/>
  <c r="X71" i="8"/>
  <c r="W71" i="8"/>
  <c r="F71" i="8"/>
  <c r="AH70" i="8"/>
  <c r="AG70" i="8"/>
  <c r="AF70" i="8"/>
  <c r="AE70" i="8"/>
  <c r="AD70" i="8"/>
  <c r="AC70" i="8"/>
  <c r="AB70" i="8"/>
  <c r="AA70" i="8"/>
  <c r="Z70" i="8"/>
  <c r="Y70" i="8"/>
  <c r="X70" i="8"/>
  <c r="W70" i="8"/>
  <c r="F70" i="8"/>
  <c r="AH69" i="8"/>
  <c r="AG69" i="8"/>
  <c r="AF69" i="8"/>
  <c r="AE69" i="8"/>
  <c r="AD69" i="8"/>
  <c r="AC69" i="8"/>
  <c r="AB69" i="8"/>
  <c r="AA69" i="8"/>
  <c r="Z69" i="8"/>
  <c r="Y69" i="8"/>
  <c r="X69" i="8"/>
  <c r="W69" i="8"/>
  <c r="F69" i="8"/>
  <c r="AH68" i="8"/>
  <c r="AG68" i="8"/>
  <c r="AF68" i="8"/>
  <c r="AE68" i="8"/>
  <c r="AD68" i="8"/>
  <c r="AC68" i="8"/>
  <c r="AB68" i="8"/>
  <c r="AA68" i="8"/>
  <c r="Z68" i="8"/>
  <c r="Y68" i="8"/>
  <c r="X68" i="8"/>
  <c r="W68" i="8"/>
  <c r="F68" i="8"/>
  <c r="AH67" i="8"/>
  <c r="AG67" i="8"/>
  <c r="AF67" i="8"/>
  <c r="AE67" i="8"/>
  <c r="AD67" i="8"/>
  <c r="AC67" i="8"/>
  <c r="AB67" i="8"/>
  <c r="AA67" i="8"/>
  <c r="Z67" i="8"/>
  <c r="Y67" i="8"/>
  <c r="X67" i="8"/>
  <c r="W67" i="8"/>
  <c r="F67" i="8"/>
  <c r="AH66" i="8"/>
  <c r="AG66" i="8"/>
  <c r="AF66" i="8"/>
  <c r="AE66" i="8"/>
  <c r="AD66" i="8"/>
  <c r="AC66" i="8"/>
  <c r="AB66" i="8"/>
  <c r="AA66" i="8"/>
  <c r="Z66" i="8"/>
  <c r="Y66" i="8"/>
  <c r="X66" i="8"/>
  <c r="W66" i="8"/>
  <c r="F66" i="8"/>
  <c r="AH65" i="8"/>
  <c r="AG65" i="8"/>
  <c r="AF65" i="8"/>
  <c r="AE65" i="8"/>
  <c r="AD65" i="8"/>
  <c r="AC65" i="8"/>
  <c r="AB65" i="8"/>
  <c r="AA65" i="8"/>
  <c r="Z65" i="8"/>
  <c r="Y65" i="8"/>
  <c r="X65" i="8"/>
  <c r="W65" i="8"/>
  <c r="F65" i="8"/>
  <c r="AH64" i="8"/>
  <c r="AG64" i="8"/>
  <c r="AF64" i="8"/>
  <c r="AE64" i="8"/>
  <c r="AD64" i="8"/>
  <c r="AC64" i="8"/>
  <c r="AB64" i="8"/>
  <c r="AA64" i="8"/>
  <c r="Z64" i="8"/>
  <c r="Y64" i="8"/>
  <c r="X64" i="8"/>
  <c r="W64" i="8"/>
  <c r="F64" i="8"/>
  <c r="AH63" i="8"/>
  <c r="AG63" i="8"/>
  <c r="AF63" i="8"/>
  <c r="AE63" i="8"/>
  <c r="AD63" i="8"/>
  <c r="AC63" i="8"/>
  <c r="AB63" i="8"/>
  <c r="AA63" i="8"/>
  <c r="Z63" i="8"/>
  <c r="Y63" i="8"/>
  <c r="X63" i="8"/>
  <c r="W63" i="8"/>
  <c r="F63" i="8"/>
  <c r="AH62" i="8"/>
  <c r="AG62" i="8"/>
  <c r="AF62" i="8"/>
  <c r="AE62" i="8"/>
  <c r="AD62" i="8"/>
  <c r="AC62" i="8"/>
  <c r="AB62" i="8"/>
  <c r="AA62" i="8"/>
  <c r="Z62" i="8"/>
  <c r="Y62" i="8"/>
  <c r="X62" i="8"/>
  <c r="W62" i="8"/>
  <c r="F62" i="8"/>
  <c r="AH61" i="8"/>
  <c r="AG61" i="8"/>
  <c r="AF61" i="8"/>
  <c r="AE61" i="8"/>
  <c r="AD61" i="8"/>
  <c r="AC61" i="8"/>
  <c r="AB61" i="8"/>
  <c r="AA61" i="8"/>
  <c r="Z61" i="8"/>
  <c r="Y61" i="8"/>
  <c r="X61" i="8"/>
  <c r="W61" i="8"/>
  <c r="F61" i="8"/>
  <c r="AH60" i="8"/>
  <c r="AG60" i="8"/>
  <c r="AF60" i="8"/>
  <c r="AE60" i="8"/>
  <c r="AD60" i="8"/>
  <c r="AC60" i="8"/>
  <c r="AB60" i="8"/>
  <c r="AA60" i="8"/>
  <c r="Z60" i="8"/>
  <c r="Y60" i="8"/>
  <c r="X60" i="8"/>
  <c r="W60" i="8"/>
  <c r="F60" i="8"/>
  <c r="AH59" i="8"/>
  <c r="AG59" i="8"/>
  <c r="AF59" i="8"/>
  <c r="AE59" i="8"/>
  <c r="AD59" i="8"/>
  <c r="AC59" i="8"/>
  <c r="AB59" i="8"/>
  <c r="AA59" i="8"/>
  <c r="Z59" i="8"/>
  <c r="Y59" i="8"/>
  <c r="X59" i="8"/>
  <c r="W59" i="8"/>
  <c r="F59" i="8"/>
  <c r="AH58" i="8"/>
  <c r="AG58" i="8"/>
  <c r="AF58" i="8"/>
  <c r="AE58" i="8"/>
  <c r="AD58" i="8"/>
  <c r="AC58" i="8"/>
  <c r="AB58" i="8"/>
  <c r="AA58" i="8"/>
  <c r="Z58" i="8"/>
  <c r="Y58" i="8"/>
  <c r="X58" i="8"/>
  <c r="W58" i="8"/>
  <c r="F58" i="8"/>
  <c r="AH57" i="8"/>
  <c r="AG57" i="8"/>
  <c r="AF57" i="8"/>
  <c r="AE57" i="8"/>
  <c r="AD57" i="8"/>
  <c r="AC57" i="8"/>
  <c r="AB57" i="8"/>
  <c r="AA57" i="8"/>
  <c r="Z57" i="8"/>
  <c r="Y57" i="8"/>
  <c r="X57" i="8"/>
  <c r="W57" i="8"/>
  <c r="F57" i="8"/>
  <c r="AH56" i="8"/>
  <c r="AG56" i="8"/>
  <c r="AF56" i="8"/>
  <c r="AE56" i="8"/>
  <c r="AD56" i="8"/>
  <c r="AC56" i="8"/>
  <c r="AB56" i="8"/>
  <c r="AA56" i="8"/>
  <c r="Z56" i="8"/>
  <c r="Y56" i="8"/>
  <c r="X56" i="8"/>
  <c r="W56" i="8"/>
  <c r="F56" i="8"/>
  <c r="AH55" i="8"/>
  <c r="AG55" i="8"/>
  <c r="AF55" i="8"/>
  <c r="AE55" i="8"/>
  <c r="AD55" i="8"/>
  <c r="AC55" i="8"/>
  <c r="AB55" i="8"/>
  <c r="AA55" i="8"/>
  <c r="Z55" i="8"/>
  <c r="Y55" i="8"/>
  <c r="X55" i="8"/>
  <c r="W55" i="8"/>
  <c r="F55" i="8"/>
  <c r="AH54" i="8"/>
  <c r="AG54" i="8"/>
  <c r="AF54" i="8"/>
  <c r="AE54" i="8"/>
  <c r="AD54" i="8"/>
  <c r="AC54" i="8"/>
  <c r="AB54" i="8"/>
  <c r="AA54" i="8"/>
  <c r="Z54" i="8"/>
  <c r="Y54" i="8"/>
  <c r="X54" i="8"/>
  <c r="W54" i="8"/>
  <c r="F54" i="8"/>
  <c r="AH53" i="8"/>
  <c r="AG53" i="8"/>
  <c r="AF53" i="8"/>
  <c r="AE53" i="8"/>
  <c r="AD53" i="8"/>
  <c r="AC53" i="8"/>
  <c r="AB53" i="8"/>
  <c r="AA53" i="8"/>
  <c r="Z53" i="8"/>
  <c r="Y53" i="8"/>
  <c r="X53" i="8"/>
  <c r="W53" i="8"/>
  <c r="F53" i="8"/>
  <c r="AH52" i="8"/>
  <c r="AG52" i="8"/>
  <c r="AF52" i="8"/>
  <c r="AE52" i="8"/>
  <c r="AD52" i="8"/>
  <c r="AC52" i="8"/>
  <c r="AB52" i="8"/>
  <c r="AA52" i="8"/>
  <c r="Z52" i="8"/>
  <c r="Y52" i="8"/>
  <c r="X52" i="8"/>
  <c r="W52" i="8"/>
  <c r="F52" i="8"/>
  <c r="AH51" i="8"/>
  <c r="AG51" i="8"/>
  <c r="AF51" i="8"/>
  <c r="AE51" i="8"/>
  <c r="AD51" i="8"/>
  <c r="AC51" i="8"/>
  <c r="AB51" i="8"/>
  <c r="AA51" i="8"/>
  <c r="Z51" i="8"/>
  <c r="Y51" i="8"/>
  <c r="X51" i="8"/>
  <c r="W51" i="8"/>
  <c r="F51" i="8"/>
  <c r="AH50" i="8"/>
  <c r="AG50" i="8"/>
  <c r="AF50" i="8"/>
  <c r="AE50" i="8"/>
  <c r="AD50" i="8"/>
  <c r="AC50" i="8"/>
  <c r="AB50" i="8"/>
  <c r="AA50" i="8"/>
  <c r="Z50" i="8"/>
  <c r="Y50" i="8"/>
  <c r="X50" i="8"/>
  <c r="W50" i="8"/>
  <c r="F50" i="8"/>
  <c r="AH49" i="8"/>
  <c r="AG49" i="8"/>
  <c r="AF49" i="8"/>
  <c r="AE49" i="8"/>
  <c r="AD49" i="8"/>
  <c r="AC49" i="8"/>
  <c r="AB49" i="8"/>
  <c r="AA49" i="8"/>
  <c r="Z49" i="8"/>
  <c r="Y49" i="8"/>
  <c r="X49" i="8"/>
  <c r="W49" i="8"/>
  <c r="F49" i="8"/>
  <c r="AH48" i="8"/>
  <c r="AG48" i="8"/>
  <c r="AF48" i="8"/>
  <c r="AE48" i="8"/>
  <c r="AD48" i="8"/>
  <c r="AC48" i="8"/>
  <c r="AB48" i="8"/>
  <c r="AA48" i="8"/>
  <c r="Z48" i="8"/>
  <c r="Y48" i="8"/>
  <c r="X48" i="8"/>
  <c r="W48" i="8"/>
  <c r="F48" i="8"/>
  <c r="AH47" i="8"/>
  <c r="AG47" i="8"/>
  <c r="AF47" i="8"/>
  <c r="AE47" i="8"/>
  <c r="AD47" i="8"/>
  <c r="AC47" i="8"/>
  <c r="AB47" i="8"/>
  <c r="AA47" i="8"/>
  <c r="Z47" i="8"/>
  <c r="Y47" i="8"/>
  <c r="X47" i="8"/>
  <c r="W47" i="8"/>
  <c r="F47" i="8"/>
  <c r="AH46" i="8"/>
  <c r="AG46" i="8"/>
  <c r="AF46" i="8"/>
  <c r="AE46" i="8"/>
  <c r="AD46" i="8"/>
  <c r="AC46" i="8"/>
  <c r="AB46" i="8"/>
  <c r="AA46" i="8"/>
  <c r="Z46" i="8"/>
  <c r="Y46" i="8"/>
  <c r="X46" i="8"/>
  <c r="W46" i="8"/>
  <c r="F46" i="8"/>
  <c r="AH45" i="8"/>
  <c r="AG45" i="8"/>
  <c r="AF45" i="8"/>
  <c r="AE45" i="8"/>
  <c r="AD45" i="8"/>
  <c r="AC45" i="8"/>
  <c r="AB45" i="8"/>
  <c r="AA45" i="8"/>
  <c r="Z45" i="8"/>
  <c r="Y45" i="8"/>
  <c r="X45" i="8"/>
  <c r="W45" i="8"/>
  <c r="F45" i="8"/>
  <c r="AH44" i="8"/>
  <c r="AG44" i="8"/>
  <c r="AF44" i="8"/>
  <c r="AE44" i="8"/>
  <c r="AD44" i="8"/>
  <c r="AC44" i="8"/>
  <c r="AB44" i="8"/>
  <c r="AA44" i="8"/>
  <c r="Z44" i="8"/>
  <c r="Y44" i="8"/>
  <c r="X44" i="8"/>
  <c r="W44" i="8"/>
  <c r="F44" i="8"/>
  <c r="AH43" i="8"/>
  <c r="AG43" i="8"/>
  <c r="AF43" i="8"/>
  <c r="AE43" i="8"/>
  <c r="AD43" i="8"/>
  <c r="AC43" i="8"/>
  <c r="AB43" i="8"/>
  <c r="AA43" i="8"/>
  <c r="Z43" i="8"/>
  <c r="Y43" i="8"/>
  <c r="X43" i="8"/>
  <c r="W43" i="8"/>
  <c r="F43" i="8"/>
  <c r="AH42" i="8"/>
  <c r="AG42" i="8"/>
  <c r="AF42" i="8"/>
  <c r="AE42" i="8"/>
  <c r="AD42" i="8"/>
  <c r="AC42" i="8"/>
  <c r="AB42" i="8"/>
  <c r="AA42" i="8"/>
  <c r="Z42" i="8"/>
  <c r="Y42" i="8"/>
  <c r="X42" i="8"/>
  <c r="W42" i="8"/>
  <c r="F42" i="8"/>
  <c r="AH41" i="8"/>
  <c r="AG41" i="8"/>
  <c r="AF41" i="8"/>
  <c r="AE41" i="8"/>
  <c r="AD41" i="8"/>
  <c r="AC41" i="8"/>
  <c r="AB41" i="8"/>
  <c r="AA41" i="8"/>
  <c r="Z41" i="8"/>
  <c r="Y41" i="8"/>
  <c r="X41" i="8"/>
  <c r="W41" i="8"/>
  <c r="F41" i="8"/>
  <c r="AH40" i="8"/>
  <c r="AG40" i="8"/>
  <c r="AF40" i="8"/>
  <c r="AE40" i="8"/>
  <c r="AD40" i="8"/>
  <c r="AC40" i="8"/>
  <c r="AB40" i="8"/>
  <c r="AA40" i="8"/>
  <c r="Z40" i="8"/>
  <c r="Y40" i="8"/>
  <c r="X40" i="8"/>
  <c r="W40" i="8"/>
  <c r="F40" i="8"/>
  <c r="AH39" i="8"/>
  <c r="AG39" i="8"/>
  <c r="AF39" i="8"/>
  <c r="AE39" i="8"/>
  <c r="AD39" i="8"/>
  <c r="AC39" i="8"/>
  <c r="AB39" i="8"/>
  <c r="AA39" i="8"/>
  <c r="Z39" i="8"/>
  <c r="Y39" i="8"/>
  <c r="X39" i="8"/>
  <c r="W39" i="8"/>
  <c r="F39" i="8"/>
  <c r="AH38" i="8"/>
  <c r="AG38" i="8"/>
  <c r="AF38" i="8"/>
  <c r="AE38" i="8"/>
  <c r="AD38" i="8"/>
  <c r="AC38" i="8"/>
  <c r="AB38" i="8"/>
  <c r="AA38" i="8"/>
  <c r="Z38" i="8"/>
  <c r="Y38" i="8"/>
  <c r="X38" i="8"/>
  <c r="W38" i="8"/>
  <c r="F38" i="8"/>
  <c r="AH37" i="8"/>
  <c r="AG37" i="8"/>
  <c r="AF37" i="8"/>
  <c r="AE37" i="8"/>
  <c r="AD37" i="8"/>
  <c r="AC37" i="8"/>
  <c r="AB37" i="8"/>
  <c r="AA37" i="8"/>
  <c r="Z37" i="8"/>
  <c r="Y37" i="8"/>
  <c r="X37" i="8"/>
  <c r="W37" i="8"/>
  <c r="F37" i="8"/>
  <c r="AH36" i="8"/>
  <c r="AG36" i="8"/>
  <c r="AF36" i="8"/>
  <c r="AE36" i="8"/>
  <c r="AD36" i="8"/>
  <c r="AC36" i="8"/>
  <c r="AB36" i="8"/>
  <c r="AA36" i="8"/>
  <c r="Z36" i="8"/>
  <c r="Y36" i="8"/>
  <c r="X36" i="8"/>
  <c r="W36" i="8"/>
  <c r="F36" i="8"/>
  <c r="AH35" i="8"/>
  <c r="AG35" i="8"/>
  <c r="AF35" i="8"/>
  <c r="AE35" i="8"/>
  <c r="AD35" i="8"/>
  <c r="AC35" i="8"/>
  <c r="AB35" i="8"/>
  <c r="AA35" i="8"/>
  <c r="Z35" i="8"/>
  <c r="Y35" i="8"/>
  <c r="X35" i="8"/>
  <c r="W35" i="8"/>
  <c r="F35" i="8"/>
  <c r="AH34" i="8"/>
  <c r="AG34" i="8"/>
  <c r="AF34" i="8"/>
  <c r="AE34" i="8"/>
  <c r="AD34" i="8"/>
  <c r="AC34" i="8"/>
  <c r="AB34" i="8"/>
  <c r="AA34" i="8"/>
  <c r="Z34" i="8"/>
  <c r="Y34" i="8"/>
  <c r="X34" i="8"/>
  <c r="W34" i="8"/>
  <c r="F34" i="8"/>
  <c r="AH33" i="8"/>
  <c r="AG33" i="8"/>
  <c r="AF33" i="8"/>
  <c r="AE33" i="8"/>
  <c r="AD33" i="8"/>
  <c r="AC33" i="8"/>
  <c r="AB33" i="8"/>
  <c r="AA33" i="8"/>
  <c r="Z33" i="8"/>
  <c r="Y33" i="8"/>
  <c r="X33" i="8"/>
  <c r="W33" i="8"/>
  <c r="F33" i="8"/>
  <c r="AH32" i="8"/>
  <c r="AG32" i="8"/>
  <c r="AF32" i="8"/>
  <c r="AE32" i="8"/>
  <c r="AD32" i="8"/>
  <c r="AC32" i="8"/>
  <c r="AB32" i="8"/>
  <c r="AA32" i="8"/>
  <c r="Z32" i="8"/>
  <c r="Y32" i="8"/>
  <c r="X32" i="8"/>
  <c r="W32" i="8"/>
  <c r="F32" i="8"/>
  <c r="AH31" i="8"/>
  <c r="AG31" i="8"/>
  <c r="AF31" i="8"/>
  <c r="AE31" i="8"/>
  <c r="AD31" i="8"/>
  <c r="AC31" i="8"/>
  <c r="AB31" i="8"/>
  <c r="AA31" i="8"/>
  <c r="Z31" i="8"/>
  <c r="Y31" i="8"/>
  <c r="X31" i="8"/>
  <c r="W31" i="8"/>
  <c r="F31" i="8"/>
  <c r="AH30" i="8"/>
  <c r="AG30" i="8"/>
  <c r="AF30" i="8"/>
  <c r="AE30" i="8"/>
  <c r="AD30" i="8"/>
  <c r="AC30" i="8"/>
  <c r="AB30" i="8"/>
  <c r="AA30" i="8"/>
  <c r="Z30" i="8"/>
  <c r="Y30" i="8"/>
  <c r="X30" i="8"/>
  <c r="W30" i="8"/>
  <c r="F30" i="8"/>
  <c r="AH29" i="8"/>
  <c r="AG29" i="8"/>
  <c r="AF29" i="8"/>
  <c r="AE29" i="8"/>
  <c r="AD29" i="8"/>
  <c r="AC29" i="8"/>
  <c r="AB29" i="8"/>
  <c r="AA29" i="8"/>
  <c r="Z29" i="8"/>
  <c r="Y29" i="8"/>
  <c r="X29" i="8"/>
  <c r="W29" i="8"/>
  <c r="F29" i="8"/>
  <c r="AH28" i="8"/>
  <c r="AG28" i="8"/>
  <c r="AF28" i="8"/>
  <c r="AE28" i="8"/>
  <c r="AD28" i="8"/>
  <c r="AC28" i="8"/>
  <c r="AB28" i="8"/>
  <c r="AA28" i="8"/>
  <c r="Z28" i="8"/>
  <c r="Y28" i="8"/>
  <c r="X28" i="8"/>
  <c r="W28" i="8"/>
  <c r="F28" i="8"/>
  <c r="AH27" i="8"/>
  <c r="AG27" i="8"/>
  <c r="AF27" i="8"/>
  <c r="AE27" i="8"/>
  <c r="AD27" i="8"/>
  <c r="AC27" i="8"/>
  <c r="AB27" i="8"/>
  <c r="AA27" i="8"/>
  <c r="Z27" i="8"/>
  <c r="Y27" i="8"/>
  <c r="X27" i="8"/>
  <c r="W27" i="8"/>
  <c r="F27" i="8"/>
  <c r="AH26" i="8"/>
  <c r="AG26" i="8"/>
  <c r="AF26" i="8"/>
  <c r="AE26" i="8"/>
  <c r="AD26" i="8"/>
  <c r="AC26" i="8"/>
  <c r="AB26" i="8"/>
  <c r="AA26" i="8"/>
  <c r="Z26" i="8"/>
  <c r="Y26" i="8"/>
  <c r="X26" i="8"/>
  <c r="W26" i="8"/>
  <c r="F26" i="8"/>
  <c r="AH25" i="8"/>
  <c r="AG25" i="8"/>
  <c r="AF25" i="8"/>
  <c r="AE25" i="8"/>
  <c r="AD25" i="8"/>
  <c r="AC25" i="8"/>
  <c r="AB25" i="8"/>
  <c r="AA25" i="8"/>
  <c r="Z25" i="8"/>
  <c r="Y25" i="8"/>
  <c r="X25" i="8"/>
  <c r="W25" i="8"/>
  <c r="F25" i="8"/>
  <c r="AH24" i="8"/>
  <c r="AG24" i="8"/>
  <c r="AF24" i="8"/>
  <c r="AE24" i="8"/>
  <c r="AD24" i="8"/>
  <c r="AC24" i="8"/>
  <c r="AB24" i="8"/>
  <c r="AA24" i="8"/>
  <c r="Z24" i="8"/>
  <c r="Y24" i="8"/>
  <c r="X24" i="8"/>
  <c r="W24" i="8"/>
  <c r="F24" i="8"/>
  <c r="AH23" i="8"/>
  <c r="AG23" i="8"/>
  <c r="AF23" i="8"/>
  <c r="AE23" i="8"/>
  <c r="AD23" i="8"/>
  <c r="AC23" i="8"/>
  <c r="AB23" i="8"/>
  <c r="AA23" i="8"/>
  <c r="Z23" i="8"/>
  <c r="Y23" i="8"/>
  <c r="X23" i="8"/>
  <c r="W23" i="8"/>
  <c r="F23" i="8"/>
  <c r="AH22" i="8"/>
  <c r="AG22" i="8"/>
  <c r="AF22" i="8"/>
  <c r="AE22" i="8"/>
  <c r="AD22" i="8"/>
  <c r="AC22" i="8"/>
  <c r="AB22" i="8"/>
  <c r="AA22" i="8"/>
  <c r="Z22" i="8"/>
  <c r="Y22" i="8"/>
  <c r="X22" i="8"/>
  <c r="W22" i="8"/>
  <c r="F22" i="8"/>
  <c r="AH21" i="8"/>
  <c r="AG21" i="8"/>
  <c r="AF21" i="8"/>
  <c r="AE21" i="8"/>
  <c r="AD21" i="8"/>
  <c r="AC21" i="8"/>
  <c r="AB21" i="8"/>
  <c r="AA21" i="8"/>
  <c r="Z21" i="8"/>
  <c r="Y21" i="8"/>
  <c r="X21" i="8"/>
  <c r="W21" i="8"/>
  <c r="F21" i="8"/>
  <c r="AH20" i="8"/>
  <c r="AG20" i="8"/>
  <c r="AF20" i="8"/>
  <c r="AE20" i="8"/>
  <c r="AD20" i="8"/>
  <c r="AC20" i="8"/>
  <c r="AB20" i="8"/>
  <c r="AA20" i="8"/>
  <c r="Z20" i="8"/>
  <c r="Y20" i="8"/>
  <c r="X20" i="8"/>
  <c r="W20" i="8"/>
  <c r="F20" i="8"/>
  <c r="AH19" i="8"/>
  <c r="AG19" i="8"/>
  <c r="AF19" i="8"/>
  <c r="AE19" i="8"/>
  <c r="AD19" i="8"/>
  <c r="AC19" i="8"/>
  <c r="AB19" i="8"/>
  <c r="AA19" i="8"/>
  <c r="Z19" i="8"/>
  <c r="Y19" i="8"/>
  <c r="X19" i="8"/>
  <c r="W19" i="8"/>
  <c r="F19" i="8"/>
  <c r="AH18" i="8"/>
  <c r="AG18" i="8"/>
  <c r="AF18" i="8"/>
  <c r="AE18" i="8"/>
  <c r="AD18" i="8"/>
  <c r="AC18" i="8"/>
  <c r="AB18" i="8"/>
  <c r="AA18" i="8"/>
  <c r="Z18" i="8"/>
  <c r="Y18" i="8"/>
  <c r="X18" i="8"/>
  <c r="W18" i="8"/>
  <c r="F18" i="8"/>
  <c r="AH17" i="8"/>
  <c r="AG17" i="8"/>
  <c r="AF17" i="8"/>
  <c r="AE17" i="8"/>
  <c r="AD17" i="8"/>
  <c r="AC17" i="8"/>
  <c r="AB17" i="8"/>
  <c r="AA17" i="8"/>
  <c r="Z17" i="8"/>
  <c r="Y17" i="8"/>
  <c r="X17" i="8"/>
  <c r="W17" i="8"/>
  <c r="F17" i="8"/>
  <c r="AH16" i="8"/>
  <c r="AG16" i="8"/>
  <c r="AF16" i="8"/>
  <c r="AE16" i="8"/>
  <c r="AD16" i="8"/>
  <c r="AC16" i="8"/>
  <c r="AB16" i="8"/>
  <c r="AA16" i="8"/>
  <c r="Z16" i="8"/>
  <c r="Y16" i="8"/>
  <c r="X16" i="8"/>
  <c r="W16" i="8"/>
  <c r="F16" i="8"/>
  <c r="AH15" i="8"/>
  <c r="AG15" i="8"/>
  <c r="AF15" i="8"/>
  <c r="AE15" i="8"/>
  <c r="AD15" i="8"/>
  <c r="AC15" i="8"/>
  <c r="AB15" i="8"/>
  <c r="AA15" i="8"/>
  <c r="Z15" i="8"/>
  <c r="Y15" i="8"/>
  <c r="X15" i="8"/>
  <c r="W15" i="8"/>
  <c r="F15" i="8"/>
  <c r="AH14" i="8"/>
  <c r="AG14" i="8"/>
  <c r="AF14" i="8"/>
  <c r="AE14" i="8"/>
  <c r="AD14" i="8"/>
  <c r="AC14" i="8"/>
  <c r="AB14" i="8"/>
  <c r="AA14" i="8"/>
  <c r="Z14" i="8"/>
  <c r="Y14" i="8"/>
  <c r="X14" i="8"/>
  <c r="W14" i="8"/>
  <c r="F14" i="8"/>
  <c r="AH13" i="8"/>
  <c r="AG13" i="8"/>
  <c r="AF13" i="8"/>
  <c r="AE13" i="8"/>
  <c r="AD13" i="8"/>
  <c r="AC13" i="8"/>
  <c r="AB13" i="8"/>
  <c r="AA13" i="8"/>
  <c r="Z13" i="8"/>
  <c r="Y13" i="8"/>
  <c r="X13" i="8"/>
  <c r="W13" i="8"/>
  <c r="F13" i="8"/>
  <c r="AH12" i="8"/>
  <c r="AG12" i="8"/>
  <c r="AF12" i="8"/>
  <c r="AE12" i="8"/>
  <c r="AD12" i="8"/>
  <c r="AC12" i="8"/>
  <c r="AB12" i="8"/>
  <c r="AA12" i="8"/>
  <c r="Z12" i="8"/>
  <c r="Y12" i="8"/>
  <c r="X12" i="8"/>
  <c r="W12" i="8"/>
  <c r="F12" i="8"/>
  <c r="AH11" i="8"/>
  <c r="AG11" i="8"/>
  <c r="AF11" i="8"/>
  <c r="AE11" i="8"/>
  <c r="AD11" i="8"/>
  <c r="AC11" i="8"/>
  <c r="AB11" i="8"/>
  <c r="AA11" i="8"/>
  <c r="Z11" i="8"/>
  <c r="Y11" i="8"/>
  <c r="X11" i="8"/>
  <c r="W11" i="8"/>
  <c r="F11" i="8"/>
  <c r="AH10" i="8"/>
  <c r="AG10" i="8"/>
  <c r="AF10" i="8"/>
  <c r="AE10" i="8"/>
  <c r="AD10" i="8"/>
  <c r="AC10" i="8"/>
  <c r="AB10" i="8"/>
  <c r="AA10" i="8"/>
  <c r="Z10" i="8"/>
  <c r="Y10" i="8"/>
  <c r="X10" i="8"/>
  <c r="W10" i="8"/>
  <c r="F10" i="8"/>
  <c r="AH9" i="8"/>
  <c r="AG9" i="8"/>
  <c r="AF9" i="8"/>
  <c r="AE9" i="8"/>
  <c r="AD9" i="8"/>
  <c r="AC9" i="8"/>
  <c r="AB9" i="8"/>
  <c r="AA9" i="8"/>
  <c r="Z9" i="8"/>
  <c r="Y9" i="8"/>
  <c r="X9" i="8"/>
  <c r="W9" i="8"/>
  <c r="F9" i="8"/>
  <c r="AH8" i="8"/>
  <c r="AG8" i="8"/>
  <c r="AF8" i="8"/>
  <c r="AE8" i="8"/>
  <c r="AD8" i="8"/>
  <c r="AC8" i="8"/>
  <c r="AB8" i="8"/>
  <c r="AA8" i="8"/>
  <c r="Z8" i="8"/>
  <c r="Y8" i="8"/>
  <c r="X8" i="8"/>
  <c r="W8" i="8"/>
  <c r="F8" i="8"/>
  <c r="AH7" i="8"/>
  <c r="AG7" i="8"/>
  <c r="AF7" i="8"/>
  <c r="AE7" i="8"/>
  <c r="AD7" i="8"/>
  <c r="AC7" i="8"/>
  <c r="AB7" i="8"/>
  <c r="AA7" i="8"/>
  <c r="Z7" i="8"/>
  <c r="Y7" i="8"/>
  <c r="X7" i="8"/>
  <c r="W7" i="8"/>
  <c r="F7" i="8"/>
  <c r="AH6" i="8"/>
  <c r="AG6" i="8"/>
  <c r="AF6" i="8"/>
  <c r="AE6" i="8"/>
  <c r="AD6" i="8"/>
  <c r="AC6" i="8"/>
  <c r="AB6" i="8"/>
  <c r="AA6" i="8"/>
  <c r="Z6" i="8"/>
  <c r="Y6" i="8"/>
  <c r="X6" i="8"/>
  <c r="W6" i="8"/>
  <c r="F6" i="8"/>
  <c r="W7" i="7" l="1"/>
  <c r="X7" i="7"/>
  <c r="Y7" i="7"/>
  <c r="Z7" i="7"/>
  <c r="AA7" i="7"/>
  <c r="AB7" i="7"/>
  <c r="AC7" i="7"/>
  <c r="AD7" i="7"/>
  <c r="AE7" i="7"/>
  <c r="AF7" i="7"/>
  <c r="AG7" i="7"/>
  <c r="AH7" i="7"/>
  <c r="W8" i="7"/>
  <c r="X8" i="7"/>
  <c r="Y8" i="7"/>
  <c r="Z8" i="7"/>
  <c r="AA8" i="7"/>
  <c r="AB8" i="7"/>
  <c r="AC8" i="7"/>
  <c r="AD8" i="7"/>
  <c r="AE8" i="7"/>
  <c r="AF8" i="7"/>
  <c r="AG8" i="7"/>
  <c r="AH8" i="7"/>
  <c r="W9" i="7"/>
  <c r="X9" i="7"/>
  <c r="Y9" i="7"/>
  <c r="Z9" i="7"/>
  <c r="AA9" i="7"/>
  <c r="AB9" i="7"/>
  <c r="AC9" i="7"/>
  <c r="AD9" i="7"/>
  <c r="AE9" i="7"/>
  <c r="AF9" i="7"/>
  <c r="AG9" i="7"/>
  <c r="AH9" i="7"/>
  <c r="W10" i="7"/>
  <c r="X10" i="7"/>
  <c r="Y10" i="7"/>
  <c r="Z10" i="7"/>
  <c r="AA10" i="7"/>
  <c r="AB10" i="7"/>
  <c r="AC10" i="7"/>
  <c r="AD10" i="7"/>
  <c r="AE10" i="7"/>
  <c r="AF10" i="7"/>
  <c r="AG10" i="7"/>
  <c r="AH10" i="7"/>
  <c r="W11" i="7"/>
  <c r="X11" i="7"/>
  <c r="Y11" i="7"/>
  <c r="Z11" i="7"/>
  <c r="AA11" i="7"/>
  <c r="AB11" i="7"/>
  <c r="AC11" i="7"/>
  <c r="AD11" i="7"/>
  <c r="AE11" i="7"/>
  <c r="AF11" i="7"/>
  <c r="AG11" i="7"/>
  <c r="AH11" i="7"/>
  <c r="W12" i="7"/>
  <c r="X12" i="7"/>
  <c r="Y12" i="7"/>
  <c r="Z12" i="7"/>
  <c r="AA12" i="7"/>
  <c r="AB12" i="7"/>
  <c r="AC12" i="7"/>
  <c r="AD12" i="7"/>
  <c r="AE12" i="7"/>
  <c r="AF12" i="7"/>
  <c r="AG12" i="7"/>
  <c r="AH12" i="7"/>
  <c r="W13" i="7"/>
  <c r="X13" i="7"/>
  <c r="Y13" i="7"/>
  <c r="Z13" i="7"/>
  <c r="AA13" i="7"/>
  <c r="AB13" i="7"/>
  <c r="AC13" i="7"/>
  <c r="AD13" i="7"/>
  <c r="AE13" i="7"/>
  <c r="AF13" i="7"/>
  <c r="AG13" i="7"/>
  <c r="AH13" i="7"/>
  <c r="W14" i="7"/>
  <c r="X14" i="7"/>
  <c r="Y14" i="7"/>
  <c r="Z14" i="7"/>
  <c r="AA14" i="7"/>
  <c r="AB14" i="7"/>
  <c r="AC14" i="7"/>
  <c r="AD14" i="7"/>
  <c r="AE14" i="7"/>
  <c r="AF14" i="7"/>
  <c r="AG14" i="7"/>
  <c r="AH14" i="7"/>
  <c r="W15" i="7"/>
  <c r="X15" i="7"/>
  <c r="Y15" i="7"/>
  <c r="Z15" i="7"/>
  <c r="AA15" i="7"/>
  <c r="AB15" i="7"/>
  <c r="AC15" i="7"/>
  <c r="AD15" i="7"/>
  <c r="AE15" i="7"/>
  <c r="AF15" i="7"/>
  <c r="AG15" i="7"/>
  <c r="AH15" i="7"/>
  <c r="W16" i="7"/>
  <c r="X16" i="7"/>
  <c r="Y16" i="7"/>
  <c r="Z16" i="7"/>
  <c r="AA16" i="7"/>
  <c r="AB16" i="7"/>
  <c r="AC16" i="7"/>
  <c r="AD16" i="7"/>
  <c r="AE16" i="7"/>
  <c r="AF16" i="7"/>
  <c r="AG16" i="7"/>
  <c r="AH16" i="7"/>
  <c r="W17" i="7"/>
  <c r="X17" i="7"/>
  <c r="Y17" i="7"/>
  <c r="Z17" i="7"/>
  <c r="AA17" i="7"/>
  <c r="AB17" i="7"/>
  <c r="AC17" i="7"/>
  <c r="AD17" i="7"/>
  <c r="AE17" i="7"/>
  <c r="AF17" i="7"/>
  <c r="AG17" i="7"/>
  <c r="AH17" i="7"/>
  <c r="W18" i="7"/>
  <c r="X18" i="7"/>
  <c r="Y18" i="7"/>
  <c r="Z18" i="7"/>
  <c r="AA18" i="7"/>
  <c r="AB18" i="7"/>
  <c r="AC18" i="7"/>
  <c r="AD18" i="7"/>
  <c r="AE18" i="7"/>
  <c r="AF18" i="7"/>
  <c r="AG18" i="7"/>
  <c r="AH18" i="7"/>
  <c r="W19" i="7"/>
  <c r="X19" i="7"/>
  <c r="Y19" i="7"/>
  <c r="Z19" i="7"/>
  <c r="AA19" i="7"/>
  <c r="AB19" i="7"/>
  <c r="AC19" i="7"/>
  <c r="AD19" i="7"/>
  <c r="AE19" i="7"/>
  <c r="AF19" i="7"/>
  <c r="AG19" i="7"/>
  <c r="AH19" i="7"/>
  <c r="W20" i="7"/>
  <c r="X20" i="7"/>
  <c r="Y20" i="7"/>
  <c r="Z20" i="7"/>
  <c r="AA20" i="7"/>
  <c r="AB20" i="7"/>
  <c r="AC20" i="7"/>
  <c r="AD20" i="7"/>
  <c r="AE20" i="7"/>
  <c r="AF20" i="7"/>
  <c r="AG20" i="7"/>
  <c r="AH20" i="7"/>
  <c r="W21" i="7"/>
  <c r="X21" i="7"/>
  <c r="Y21" i="7"/>
  <c r="Z21" i="7"/>
  <c r="AA21" i="7"/>
  <c r="AB21" i="7"/>
  <c r="AC21" i="7"/>
  <c r="AD21" i="7"/>
  <c r="AE21" i="7"/>
  <c r="AF21" i="7"/>
  <c r="AG21" i="7"/>
  <c r="AH21" i="7"/>
  <c r="W22" i="7"/>
  <c r="X22" i="7"/>
  <c r="Y22" i="7"/>
  <c r="Z22" i="7"/>
  <c r="AA22" i="7"/>
  <c r="AB22" i="7"/>
  <c r="AC22" i="7"/>
  <c r="AD22" i="7"/>
  <c r="AE22" i="7"/>
  <c r="AF22" i="7"/>
  <c r="AG22" i="7"/>
  <c r="AH22" i="7"/>
  <c r="W23" i="7"/>
  <c r="X23" i="7"/>
  <c r="Y23" i="7"/>
  <c r="Z23" i="7"/>
  <c r="AA23" i="7"/>
  <c r="AB23" i="7"/>
  <c r="AC23" i="7"/>
  <c r="AD23" i="7"/>
  <c r="AE23" i="7"/>
  <c r="AF23" i="7"/>
  <c r="AG23" i="7"/>
  <c r="AH23" i="7"/>
  <c r="W24" i="7"/>
  <c r="X24" i="7"/>
  <c r="Y24" i="7"/>
  <c r="Z24" i="7"/>
  <c r="AA24" i="7"/>
  <c r="AB24" i="7"/>
  <c r="AC24" i="7"/>
  <c r="AD24" i="7"/>
  <c r="AE24" i="7"/>
  <c r="AF24" i="7"/>
  <c r="AG24" i="7"/>
  <c r="AH24" i="7"/>
  <c r="W25" i="7"/>
  <c r="X25" i="7"/>
  <c r="Y25" i="7"/>
  <c r="Z25" i="7"/>
  <c r="AA25" i="7"/>
  <c r="AB25" i="7"/>
  <c r="AC25" i="7"/>
  <c r="AD25" i="7"/>
  <c r="AE25" i="7"/>
  <c r="AF25" i="7"/>
  <c r="AG25" i="7"/>
  <c r="AH25" i="7"/>
  <c r="W26" i="7"/>
  <c r="X26" i="7"/>
  <c r="Y26" i="7"/>
  <c r="Z26" i="7"/>
  <c r="AA26" i="7"/>
  <c r="AB26" i="7"/>
  <c r="AC26" i="7"/>
  <c r="AD26" i="7"/>
  <c r="AE26" i="7"/>
  <c r="AF26" i="7"/>
  <c r="AG26" i="7"/>
  <c r="AH26" i="7"/>
  <c r="W27" i="7"/>
  <c r="X27" i="7"/>
  <c r="Y27" i="7"/>
  <c r="Z27" i="7"/>
  <c r="AA27" i="7"/>
  <c r="AB27" i="7"/>
  <c r="AC27" i="7"/>
  <c r="AD27" i="7"/>
  <c r="AE27" i="7"/>
  <c r="AF27" i="7"/>
  <c r="AG27" i="7"/>
  <c r="AH27" i="7"/>
  <c r="W28" i="7"/>
  <c r="X28" i="7"/>
  <c r="Y28" i="7"/>
  <c r="Z28" i="7"/>
  <c r="AA28" i="7"/>
  <c r="AB28" i="7"/>
  <c r="AC28" i="7"/>
  <c r="AD28" i="7"/>
  <c r="AE28" i="7"/>
  <c r="AF28" i="7"/>
  <c r="AG28" i="7"/>
  <c r="AH28" i="7"/>
  <c r="W29" i="7"/>
  <c r="X29" i="7"/>
  <c r="Y29" i="7"/>
  <c r="Z29" i="7"/>
  <c r="AA29" i="7"/>
  <c r="AB29" i="7"/>
  <c r="AC29" i="7"/>
  <c r="AD29" i="7"/>
  <c r="AE29" i="7"/>
  <c r="AF29" i="7"/>
  <c r="AG29" i="7"/>
  <c r="AH29" i="7"/>
  <c r="W30" i="7"/>
  <c r="X30" i="7"/>
  <c r="Y30" i="7"/>
  <c r="Z30" i="7"/>
  <c r="AA30" i="7"/>
  <c r="AB30" i="7"/>
  <c r="AC30" i="7"/>
  <c r="AD30" i="7"/>
  <c r="AE30" i="7"/>
  <c r="AF30" i="7"/>
  <c r="AG30" i="7"/>
  <c r="AH30" i="7"/>
  <c r="W31" i="7"/>
  <c r="X31" i="7"/>
  <c r="Y31" i="7"/>
  <c r="Z31" i="7"/>
  <c r="AA31" i="7"/>
  <c r="AB31" i="7"/>
  <c r="AC31" i="7"/>
  <c r="AD31" i="7"/>
  <c r="AE31" i="7"/>
  <c r="AF31" i="7"/>
  <c r="AG31" i="7"/>
  <c r="AH31" i="7"/>
  <c r="W32" i="7"/>
  <c r="X32" i="7"/>
  <c r="Y32" i="7"/>
  <c r="Z32" i="7"/>
  <c r="AA32" i="7"/>
  <c r="AB32" i="7"/>
  <c r="AC32" i="7"/>
  <c r="AD32" i="7"/>
  <c r="AE32" i="7"/>
  <c r="AF32" i="7"/>
  <c r="AG32" i="7"/>
  <c r="AH32" i="7"/>
  <c r="W33" i="7"/>
  <c r="X33" i="7"/>
  <c r="Y33" i="7"/>
  <c r="Z33" i="7"/>
  <c r="AA33" i="7"/>
  <c r="AB33" i="7"/>
  <c r="AC33" i="7"/>
  <c r="AD33" i="7"/>
  <c r="AE33" i="7"/>
  <c r="AF33" i="7"/>
  <c r="AG33" i="7"/>
  <c r="AH33" i="7"/>
  <c r="W34" i="7"/>
  <c r="X34" i="7"/>
  <c r="Y34" i="7"/>
  <c r="Z34" i="7"/>
  <c r="AA34" i="7"/>
  <c r="AB34" i="7"/>
  <c r="AC34" i="7"/>
  <c r="AD34" i="7"/>
  <c r="AE34" i="7"/>
  <c r="AF34" i="7"/>
  <c r="AG34" i="7"/>
  <c r="AH34" i="7"/>
  <c r="W35" i="7"/>
  <c r="X35" i="7"/>
  <c r="Y35" i="7"/>
  <c r="Z35" i="7"/>
  <c r="AA35" i="7"/>
  <c r="AB35" i="7"/>
  <c r="AC35" i="7"/>
  <c r="AD35" i="7"/>
  <c r="AE35" i="7"/>
  <c r="AF35" i="7"/>
  <c r="AG35" i="7"/>
  <c r="AH35" i="7"/>
  <c r="W36" i="7"/>
  <c r="X36" i="7"/>
  <c r="Y36" i="7"/>
  <c r="Z36" i="7"/>
  <c r="AA36" i="7"/>
  <c r="AB36" i="7"/>
  <c r="AC36" i="7"/>
  <c r="AD36" i="7"/>
  <c r="AE36" i="7"/>
  <c r="AF36" i="7"/>
  <c r="AG36" i="7"/>
  <c r="AH36" i="7"/>
  <c r="W37" i="7"/>
  <c r="X37" i="7"/>
  <c r="Y37" i="7"/>
  <c r="Z37" i="7"/>
  <c r="AA37" i="7"/>
  <c r="AB37" i="7"/>
  <c r="AC37" i="7"/>
  <c r="AD37" i="7"/>
  <c r="AE37" i="7"/>
  <c r="AF37" i="7"/>
  <c r="AG37" i="7"/>
  <c r="AH37" i="7"/>
  <c r="W38" i="7"/>
  <c r="X38" i="7"/>
  <c r="Y38" i="7"/>
  <c r="Z38" i="7"/>
  <c r="AA38" i="7"/>
  <c r="AB38" i="7"/>
  <c r="AC38" i="7"/>
  <c r="AD38" i="7"/>
  <c r="AE38" i="7"/>
  <c r="AF38" i="7"/>
  <c r="AG38" i="7"/>
  <c r="AH38" i="7"/>
  <c r="W39" i="7"/>
  <c r="X39" i="7"/>
  <c r="Y39" i="7"/>
  <c r="Z39" i="7"/>
  <c r="AA39" i="7"/>
  <c r="AB39" i="7"/>
  <c r="AC39" i="7"/>
  <c r="AD39" i="7"/>
  <c r="AE39" i="7"/>
  <c r="AF39" i="7"/>
  <c r="AG39" i="7"/>
  <c r="AH39" i="7"/>
  <c r="W40" i="7"/>
  <c r="X40" i="7"/>
  <c r="Y40" i="7"/>
  <c r="Z40" i="7"/>
  <c r="AA40" i="7"/>
  <c r="AB40" i="7"/>
  <c r="AC40" i="7"/>
  <c r="AD40" i="7"/>
  <c r="AE40" i="7"/>
  <c r="AF40" i="7"/>
  <c r="AG40" i="7"/>
  <c r="AH40" i="7"/>
  <c r="W41" i="7"/>
  <c r="X41" i="7"/>
  <c r="Y41" i="7"/>
  <c r="Z41" i="7"/>
  <c r="AA41" i="7"/>
  <c r="AB41" i="7"/>
  <c r="AC41" i="7"/>
  <c r="AD41" i="7"/>
  <c r="AE41" i="7"/>
  <c r="AF41" i="7"/>
  <c r="AG41" i="7"/>
  <c r="AH41" i="7"/>
  <c r="W42" i="7"/>
  <c r="X42" i="7"/>
  <c r="Y42" i="7"/>
  <c r="Z42" i="7"/>
  <c r="AA42" i="7"/>
  <c r="AB42" i="7"/>
  <c r="AC42" i="7"/>
  <c r="AD42" i="7"/>
  <c r="AE42" i="7"/>
  <c r="AF42" i="7"/>
  <c r="AG42" i="7"/>
  <c r="AH42" i="7"/>
  <c r="W43" i="7"/>
  <c r="X43" i="7"/>
  <c r="Y43" i="7"/>
  <c r="Z43" i="7"/>
  <c r="AA43" i="7"/>
  <c r="AB43" i="7"/>
  <c r="AC43" i="7"/>
  <c r="AD43" i="7"/>
  <c r="AE43" i="7"/>
  <c r="AF43" i="7"/>
  <c r="AG43" i="7"/>
  <c r="AH43" i="7"/>
  <c r="W44" i="7"/>
  <c r="X44" i="7"/>
  <c r="Y44" i="7"/>
  <c r="Z44" i="7"/>
  <c r="AA44" i="7"/>
  <c r="AB44" i="7"/>
  <c r="AC44" i="7"/>
  <c r="AD44" i="7"/>
  <c r="AE44" i="7"/>
  <c r="AF44" i="7"/>
  <c r="AG44" i="7"/>
  <c r="AH44" i="7"/>
  <c r="W45" i="7"/>
  <c r="X45" i="7"/>
  <c r="Y45" i="7"/>
  <c r="Z45" i="7"/>
  <c r="AA45" i="7"/>
  <c r="AB45" i="7"/>
  <c r="AC45" i="7"/>
  <c r="AD45" i="7"/>
  <c r="AE45" i="7"/>
  <c r="AF45" i="7"/>
  <c r="AG45" i="7"/>
  <c r="AH45" i="7"/>
  <c r="W46" i="7"/>
  <c r="X46" i="7"/>
  <c r="Y46" i="7"/>
  <c r="Z46" i="7"/>
  <c r="AA46" i="7"/>
  <c r="AB46" i="7"/>
  <c r="AC46" i="7"/>
  <c r="AD46" i="7"/>
  <c r="AE46" i="7"/>
  <c r="AF46" i="7"/>
  <c r="AG46" i="7"/>
  <c r="AH46" i="7"/>
  <c r="W47" i="7"/>
  <c r="X47" i="7"/>
  <c r="Y47" i="7"/>
  <c r="Z47" i="7"/>
  <c r="AA47" i="7"/>
  <c r="AB47" i="7"/>
  <c r="AC47" i="7"/>
  <c r="AD47" i="7"/>
  <c r="AE47" i="7"/>
  <c r="AF47" i="7"/>
  <c r="AG47" i="7"/>
  <c r="AH47" i="7"/>
  <c r="W48" i="7"/>
  <c r="X48" i="7"/>
  <c r="Y48" i="7"/>
  <c r="Z48" i="7"/>
  <c r="AA48" i="7"/>
  <c r="AB48" i="7"/>
  <c r="AC48" i="7"/>
  <c r="AD48" i="7"/>
  <c r="AE48" i="7"/>
  <c r="AF48" i="7"/>
  <c r="AG48" i="7"/>
  <c r="AH48" i="7"/>
  <c r="W49" i="7"/>
  <c r="X49" i="7"/>
  <c r="Y49" i="7"/>
  <c r="Z49" i="7"/>
  <c r="AA49" i="7"/>
  <c r="AB49" i="7"/>
  <c r="AC49" i="7"/>
  <c r="AD49" i="7"/>
  <c r="AE49" i="7"/>
  <c r="AF49" i="7"/>
  <c r="AG49" i="7"/>
  <c r="AH49" i="7"/>
  <c r="W50" i="7"/>
  <c r="X50" i="7"/>
  <c r="Y50" i="7"/>
  <c r="Z50" i="7"/>
  <c r="AA50" i="7"/>
  <c r="AB50" i="7"/>
  <c r="AC50" i="7"/>
  <c r="AD50" i="7"/>
  <c r="AE50" i="7"/>
  <c r="AF50" i="7"/>
  <c r="AG50" i="7"/>
  <c r="AH50" i="7"/>
  <c r="W51" i="7"/>
  <c r="X51" i="7"/>
  <c r="Y51" i="7"/>
  <c r="Z51" i="7"/>
  <c r="AA51" i="7"/>
  <c r="AB51" i="7"/>
  <c r="AC51" i="7"/>
  <c r="AD51" i="7"/>
  <c r="AE51" i="7"/>
  <c r="AF51" i="7"/>
  <c r="AG51" i="7"/>
  <c r="AH51" i="7"/>
  <c r="W52" i="7"/>
  <c r="X52" i="7"/>
  <c r="Y52" i="7"/>
  <c r="Z52" i="7"/>
  <c r="AA52" i="7"/>
  <c r="AB52" i="7"/>
  <c r="AC52" i="7"/>
  <c r="AD52" i="7"/>
  <c r="AE52" i="7"/>
  <c r="AF52" i="7"/>
  <c r="AG52" i="7"/>
  <c r="AH52" i="7"/>
  <c r="W53" i="7"/>
  <c r="X53" i="7"/>
  <c r="Y53" i="7"/>
  <c r="Z53" i="7"/>
  <c r="AA53" i="7"/>
  <c r="AB53" i="7"/>
  <c r="AC53" i="7"/>
  <c r="AD53" i="7"/>
  <c r="AE53" i="7"/>
  <c r="AF53" i="7"/>
  <c r="AG53" i="7"/>
  <c r="AH53" i="7"/>
  <c r="W54" i="7"/>
  <c r="X54" i="7"/>
  <c r="Y54" i="7"/>
  <c r="Z54" i="7"/>
  <c r="AA54" i="7"/>
  <c r="AB54" i="7"/>
  <c r="AC54" i="7"/>
  <c r="AD54" i="7"/>
  <c r="AE54" i="7"/>
  <c r="AF54" i="7"/>
  <c r="AG54" i="7"/>
  <c r="AH54" i="7"/>
  <c r="W55" i="7"/>
  <c r="X55" i="7"/>
  <c r="Y55" i="7"/>
  <c r="Z55" i="7"/>
  <c r="AA55" i="7"/>
  <c r="AB55" i="7"/>
  <c r="AC55" i="7"/>
  <c r="AD55" i="7"/>
  <c r="AE55" i="7"/>
  <c r="AF55" i="7"/>
  <c r="AG55" i="7"/>
  <c r="AH55" i="7"/>
  <c r="W56" i="7"/>
  <c r="X56" i="7"/>
  <c r="Y56" i="7"/>
  <c r="Z56" i="7"/>
  <c r="AA56" i="7"/>
  <c r="AB56" i="7"/>
  <c r="AC56" i="7"/>
  <c r="AD56" i="7"/>
  <c r="AE56" i="7"/>
  <c r="AF56" i="7"/>
  <c r="AG56" i="7"/>
  <c r="AH56" i="7"/>
  <c r="W57" i="7"/>
  <c r="X57" i="7"/>
  <c r="Y57" i="7"/>
  <c r="Z57" i="7"/>
  <c r="AA57" i="7"/>
  <c r="AB57" i="7"/>
  <c r="AC57" i="7"/>
  <c r="AD57" i="7"/>
  <c r="AE57" i="7"/>
  <c r="AF57" i="7"/>
  <c r="AG57" i="7"/>
  <c r="AH57" i="7"/>
  <c r="W58" i="7"/>
  <c r="X58" i="7"/>
  <c r="Y58" i="7"/>
  <c r="Z58" i="7"/>
  <c r="AA58" i="7"/>
  <c r="AB58" i="7"/>
  <c r="AC58" i="7"/>
  <c r="AD58" i="7"/>
  <c r="AE58" i="7"/>
  <c r="AF58" i="7"/>
  <c r="AG58" i="7"/>
  <c r="AH58" i="7"/>
  <c r="W59" i="7"/>
  <c r="X59" i="7"/>
  <c r="Y59" i="7"/>
  <c r="Z59" i="7"/>
  <c r="AA59" i="7"/>
  <c r="AB59" i="7"/>
  <c r="AC59" i="7"/>
  <c r="AD59" i="7"/>
  <c r="AE59" i="7"/>
  <c r="AF59" i="7"/>
  <c r="AG59" i="7"/>
  <c r="AH59" i="7"/>
  <c r="W60" i="7"/>
  <c r="X60" i="7"/>
  <c r="Y60" i="7"/>
  <c r="Z60" i="7"/>
  <c r="AA60" i="7"/>
  <c r="AB60" i="7"/>
  <c r="AC60" i="7"/>
  <c r="AD60" i="7"/>
  <c r="AE60" i="7"/>
  <c r="AF60" i="7"/>
  <c r="AG60" i="7"/>
  <c r="AH60" i="7"/>
  <c r="W61" i="7"/>
  <c r="X61" i="7"/>
  <c r="Y61" i="7"/>
  <c r="Z61" i="7"/>
  <c r="AA61" i="7"/>
  <c r="AB61" i="7"/>
  <c r="AC61" i="7"/>
  <c r="AD61" i="7"/>
  <c r="AE61" i="7"/>
  <c r="AF61" i="7"/>
  <c r="AG61" i="7"/>
  <c r="AH61" i="7"/>
  <c r="W62" i="7"/>
  <c r="X62" i="7"/>
  <c r="Y62" i="7"/>
  <c r="Z62" i="7"/>
  <c r="AA62" i="7"/>
  <c r="AB62" i="7"/>
  <c r="AC62" i="7"/>
  <c r="AD62" i="7"/>
  <c r="AE62" i="7"/>
  <c r="AF62" i="7"/>
  <c r="AG62" i="7"/>
  <c r="AH62" i="7"/>
  <c r="W63" i="7"/>
  <c r="X63" i="7"/>
  <c r="Y63" i="7"/>
  <c r="Z63" i="7"/>
  <c r="AA63" i="7"/>
  <c r="AB63" i="7"/>
  <c r="AC63" i="7"/>
  <c r="AD63" i="7"/>
  <c r="AE63" i="7"/>
  <c r="AF63" i="7"/>
  <c r="AG63" i="7"/>
  <c r="AH63" i="7"/>
  <c r="W64" i="7"/>
  <c r="X64" i="7"/>
  <c r="Y64" i="7"/>
  <c r="Z64" i="7"/>
  <c r="AA64" i="7"/>
  <c r="AB64" i="7"/>
  <c r="AC64" i="7"/>
  <c r="AD64" i="7"/>
  <c r="AE64" i="7"/>
  <c r="AF64" i="7"/>
  <c r="AG64" i="7"/>
  <c r="AH64" i="7"/>
  <c r="W65" i="7"/>
  <c r="X65" i="7"/>
  <c r="Y65" i="7"/>
  <c r="Z65" i="7"/>
  <c r="AA65" i="7"/>
  <c r="AB65" i="7"/>
  <c r="AC65" i="7"/>
  <c r="AD65" i="7"/>
  <c r="AE65" i="7"/>
  <c r="AF65" i="7"/>
  <c r="AG65" i="7"/>
  <c r="AH65" i="7"/>
  <c r="W66" i="7"/>
  <c r="X66" i="7"/>
  <c r="Y66" i="7"/>
  <c r="Z66" i="7"/>
  <c r="AA66" i="7"/>
  <c r="AB66" i="7"/>
  <c r="AC66" i="7"/>
  <c r="AD66" i="7"/>
  <c r="AE66" i="7"/>
  <c r="AF66" i="7"/>
  <c r="AG66" i="7"/>
  <c r="AH66" i="7"/>
  <c r="W67" i="7"/>
  <c r="X67" i="7"/>
  <c r="Y67" i="7"/>
  <c r="Z67" i="7"/>
  <c r="AA67" i="7"/>
  <c r="AB67" i="7"/>
  <c r="AC67" i="7"/>
  <c r="AD67" i="7"/>
  <c r="AE67" i="7"/>
  <c r="AF67" i="7"/>
  <c r="AG67" i="7"/>
  <c r="AH67" i="7"/>
  <c r="W68" i="7"/>
  <c r="X68" i="7"/>
  <c r="Y68" i="7"/>
  <c r="Z68" i="7"/>
  <c r="AA68" i="7"/>
  <c r="AB68" i="7"/>
  <c r="AC68" i="7"/>
  <c r="AD68" i="7"/>
  <c r="AE68" i="7"/>
  <c r="AF68" i="7"/>
  <c r="AG68" i="7"/>
  <c r="AH68" i="7"/>
  <c r="W69" i="7"/>
  <c r="X69" i="7"/>
  <c r="Y69" i="7"/>
  <c r="Z69" i="7"/>
  <c r="AA69" i="7"/>
  <c r="AB69" i="7"/>
  <c r="AC69" i="7"/>
  <c r="AD69" i="7"/>
  <c r="AE69" i="7"/>
  <c r="AF69" i="7"/>
  <c r="AG69" i="7"/>
  <c r="AH69" i="7"/>
  <c r="W70" i="7"/>
  <c r="X70" i="7"/>
  <c r="Y70" i="7"/>
  <c r="Z70" i="7"/>
  <c r="AA70" i="7"/>
  <c r="AB70" i="7"/>
  <c r="AC70" i="7"/>
  <c r="AD70" i="7"/>
  <c r="AE70" i="7"/>
  <c r="AF70" i="7"/>
  <c r="AG70" i="7"/>
  <c r="AH70" i="7"/>
  <c r="W71" i="7"/>
  <c r="X71" i="7"/>
  <c r="Y71" i="7"/>
  <c r="Z71" i="7"/>
  <c r="AA71" i="7"/>
  <c r="AB71" i="7"/>
  <c r="AC71" i="7"/>
  <c r="AD71" i="7"/>
  <c r="AE71" i="7"/>
  <c r="AF71" i="7"/>
  <c r="AG71" i="7"/>
  <c r="AH71" i="7"/>
  <c r="W72" i="7"/>
  <c r="X72" i="7"/>
  <c r="Y72" i="7"/>
  <c r="Z72" i="7"/>
  <c r="AA72" i="7"/>
  <c r="AB72" i="7"/>
  <c r="AC72" i="7"/>
  <c r="AD72" i="7"/>
  <c r="AE72" i="7"/>
  <c r="AF72" i="7"/>
  <c r="AG72" i="7"/>
  <c r="AH72" i="7"/>
  <c r="W73" i="7"/>
  <c r="X73" i="7"/>
  <c r="Y73" i="7"/>
  <c r="Z73" i="7"/>
  <c r="AA73" i="7"/>
  <c r="AB73" i="7"/>
  <c r="AC73" i="7"/>
  <c r="AD73" i="7"/>
  <c r="AE73" i="7"/>
  <c r="AF73" i="7"/>
  <c r="AG73" i="7"/>
  <c r="AH73" i="7"/>
  <c r="W74" i="7"/>
  <c r="X74" i="7"/>
  <c r="Y74" i="7"/>
  <c r="Z74" i="7"/>
  <c r="AA74" i="7"/>
  <c r="AB74" i="7"/>
  <c r="AC74" i="7"/>
  <c r="AD74" i="7"/>
  <c r="AE74" i="7"/>
  <c r="AF74" i="7"/>
  <c r="AG74" i="7"/>
  <c r="AH74" i="7"/>
  <c r="W75" i="7"/>
  <c r="X75" i="7"/>
  <c r="Y75" i="7"/>
  <c r="Z75" i="7"/>
  <c r="AA75" i="7"/>
  <c r="AB75" i="7"/>
  <c r="AC75" i="7"/>
  <c r="AD75" i="7"/>
  <c r="AE75" i="7"/>
  <c r="AF75" i="7"/>
  <c r="AG75" i="7"/>
  <c r="AH75" i="7"/>
  <c r="W76" i="7"/>
  <c r="X76" i="7"/>
  <c r="Y76" i="7"/>
  <c r="Z76" i="7"/>
  <c r="AA76" i="7"/>
  <c r="AB76" i="7"/>
  <c r="AC76" i="7"/>
  <c r="AD76" i="7"/>
  <c r="AE76" i="7"/>
  <c r="AF76" i="7"/>
  <c r="AG76" i="7"/>
  <c r="AH76" i="7"/>
  <c r="W77" i="7"/>
  <c r="X77" i="7"/>
  <c r="Y77" i="7"/>
  <c r="Z77" i="7"/>
  <c r="AA77" i="7"/>
  <c r="AB77" i="7"/>
  <c r="AC77" i="7"/>
  <c r="AD77" i="7"/>
  <c r="AE77" i="7"/>
  <c r="AF77" i="7"/>
  <c r="AG77" i="7"/>
  <c r="AH77" i="7"/>
  <c r="W78" i="7"/>
  <c r="X78" i="7"/>
  <c r="Y78" i="7"/>
  <c r="Z78" i="7"/>
  <c r="AA78" i="7"/>
  <c r="AB78" i="7"/>
  <c r="AC78" i="7"/>
  <c r="AD78" i="7"/>
  <c r="AE78" i="7"/>
  <c r="AF78" i="7"/>
  <c r="AG78" i="7"/>
  <c r="AH78" i="7"/>
  <c r="W79" i="7"/>
  <c r="X79" i="7"/>
  <c r="Y79" i="7"/>
  <c r="Z79" i="7"/>
  <c r="AA79" i="7"/>
  <c r="AB79" i="7"/>
  <c r="AC79" i="7"/>
  <c r="AD79" i="7"/>
  <c r="AE79" i="7"/>
  <c r="AF79" i="7"/>
  <c r="AG79" i="7"/>
  <c r="AH79" i="7"/>
  <c r="W80" i="7"/>
  <c r="X80" i="7"/>
  <c r="Y80" i="7"/>
  <c r="Z80" i="7"/>
  <c r="AA80" i="7"/>
  <c r="AB80" i="7"/>
  <c r="AC80" i="7"/>
  <c r="AD80" i="7"/>
  <c r="AE80" i="7"/>
  <c r="AF80" i="7"/>
  <c r="AG80" i="7"/>
  <c r="AH80" i="7"/>
  <c r="W81" i="7"/>
  <c r="X81" i="7"/>
  <c r="Y81" i="7"/>
  <c r="Z81" i="7"/>
  <c r="AA81" i="7"/>
  <c r="AB81" i="7"/>
  <c r="AC81" i="7"/>
  <c r="AD81" i="7"/>
  <c r="AE81" i="7"/>
  <c r="AF81" i="7"/>
  <c r="AG81" i="7"/>
  <c r="AH81" i="7"/>
  <c r="W82" i="7"/>
  <c r="X82" i="7"/>
  <c r="Y82" i="7"/>
  <c r="Z82" i="7"/>
  <c r="AA82" i="7"/>
  <c r="AB82" i="7"/>
  <c r="AC82" i="7"/>
  <c r="AD82" i="7"/>
  <c r="AE82" i="7"/>
  <c r="AF82" i="7"/>
  <c r="AG82" i="7"/>
  <c r="AH82" i="7"/>
  <c r="W83" i="7"/>
  <c r="X83" i="7"/>
  <c r="Y83" i="7"/>
  <c r="Z83" i="7"/>
  <c r="AA83" i="7"/>
  <c r="AB83" i="7"/>
  <c r="AC83" i="7"/>
  <c r="AD83" i="7"/>
  <c r="AE83" i="7"/>
  <c r="AF83" i="7"/>
  <c r="AG83" i="7"/>
  <c r="AH83" i="7"/>
  <c r="W84" i="7"/>
  <c r="X84" i="7"/>
  <c r="Y84" i="7"/>
  <c r="Z84" i="7"/>
  <c r="AA84" i="7"/>
  <c r="AB84" i="7"/>
  <c r="AC84" i="7"/>
  <c r="AD84" i="7"/>
  <c r="AE84" i="7"/>
  <c r="AF84" i="7"/>
  <c r="AG84" i="7"/>
  <c r="AH84" i="7"/>
  <c r="W85" i="7"/>
  <c r="X85" i="7"/>
  <c r="Y85" i="7"/>
  <c r="Z85" i="7"/>
  <c r="AA85" i="7"/>
  <c r="AB85" i="7"/>
  <c r="AC85" i="7"/>
  <c r="AD85" i="7"/>
  <c r="AE85" i="7"/>
  <c r="AF85" i="7"/>
  <c r="AG85" i="7"/>
  <c r="AH85" i="7"/>
  <c r="W86" i="7"/>
  <c r="X86" i="7"/>
  <c r="Y86" i="7"/>
  <c r="Z86" i="7"/>
  <c r="AA86" i="7"/>
  <c r="AB86" i="7"/>
  <c r="AC86" i="7"/>
  <c r="AD86" i="7"/>
  <c r="AE86" i="7"/>
  <c r="AF86" i="7"/>
  <c r="AG86" i="7"/>
  <c r="AH86" i="7"/>
  <c r="W87" i="7"/>
  <c r="X87" i="7"/>
  <c r="Y87" i="7"/>
  <c r="Z87" i="7"/>
  <c r="AA87" i="7"/>
  <c r="AB87" i="7"/>
  <c r="AC87" i="7"/>
  <c r="AD87" i="7"/>
  <c r="AE87" i="7"/>
  <c r="AF87" i="7"/>
  <c r="AG87" i="7"/>
  <c r="AH87" i="7"/>
  <c r="W88" i="7"/>
  <c r="X88" i="7"/>
  <c r="Y88" i="7"/>
  <c r="Z88" i="7"/>
  <c r="AA88" i="7"/>
  <c r="AB88" i="7"/>
  <c r="AC88" i="7"/>
  <c r="AD88" i="7"/>
  <c r="AE88" i="7"/>
  <c r="AF88" i="7"/>
  <c r="AG88" i="7"/>
  <c r="AH88" i="7"/>
  <c r="W89" i="7"/>
  <c r="X89" i="7"/>
  <c r="Y89" i="7"/>
  <c r="Z89" i="7"/>
  <c r="AA89" i="7"/>
  <c r="AB89" i="7"/>
  <c r="AC89" i="7"/>
  <c r="AD89" i="7"/>
  <c r="AE89" i="7"/>
  <c r="AF89" i="7"/>
  <c r="AG89" i="7"/>
  <c r="AH89" i="7"/>
  <c r="W90" i="7"/>
  <c r="X90" i="7"/>
  <c r="Y90" i="7"/>
  <c r="Z90" i="7"/>
  <c r="AA90" i="7"/>
  <c r="AB90" i="7"/>
  <c r="AC90" i="7"/>
  <c r="AD90" i="7"/>
  <c r="AE90" i="7"/>
  <c r="AF90" i="7"/>
  <c r="AG90" i="7"/>
  <c r="AH90" i="7"/>
  <c r="W91" i="7"/>
  <c r="X91" i="7"/>
  <c r="Y91" i="7"/>
  <c r="Z91" i="7"/>
  <c r="AA91" i="7"/>
  <c r="AB91" i="7"/>
  <c r="AC91" i="7"/>
  <c r="AD91" i="7"/>
  <c r="AE91" i="7"/>
  <c r="AF91" i="7"/>
  <c r="AG91" i="7"/>
  <c r="AH91" i="7"/>
  <c r="W92" i="7"/>
  <c r="X92" i="7"/>
  <c r="Y92" i="7"/>
  <c r="Z92" i="7"/>
  <c r="AA92" i="7"/>
  <c r="AB92" i="7"/>
  <c r="AC92" i="7"/>
  <c r="AD92" i="7"/>
  <c r="AE92" i="7"/>
  <c r="AF92" i="7"/>
  <c r="AG92" i="7"/>
  <c r="AH92" i="7"/>
  <c r="W93" i="7"/>
  <c r="X93" i="7"/>
  <c r="Y93" i="7"/>
  <c r="Z93" i="7"/>
  <c r="AA93" i="7"/>
  <c r="AB93" i="7"/>
  <c r="AC93" i="7"/>
  <c r="AD93" i="7"/>
  <c r="AE93" i="7"/>
  <c r="AF93" i="7"/>
  <c r="AG93" i="7"/>
  <c r="AH93" i="7"/>
  <c r="W94" i="7"/>
  <c r="X94" i="7"/>
  <c r="Y94" i="7"/>
  <c r="Z94" i="7"/>
  <c r="AA94" i="7"/>
  <c r="AB94" i="7"/>
  <c r="AC94" i="7"/>
  <c r="AD94" i="7"/>
  <c r="AE94" i="7"/>
  <c r="AF94" i="7"/>
  <c r="AG94" i="7"/>
  <c r="AH94" i="7"/>
  <c r="W95" i="7"/>
  <c r="X95" i="7"/>
  <c r="Y95" i="7"/>
  <c r="Z95" i="7"/>
  <c r="AA95" i="7"/>
  <c r="AB95" i="7"/>
  <c r="AC95" i="7"/>
  <c r="AD95" i="7"/>
  <c r="AE95" i="7"/>
  <c r="AF95" i="7"/>
  <c r="AG95" i="7"/>
  <c r="AH95" i="7"/>
  <c r="W96" i="7"/>
  <c r="X96" i="7"/>
  <c r="Y96" i="7"/>
  <c r="Z96" i="7"/>
  <c r="AA96" i="7"/>
  <c r="AB96" i="7"/>
  <c r="AC96" i="7"/>
  <c r="AD96" i="7"/>
  <c r="AE96" i="7"/>
  <c r="AF96" i="7"/>
  <c r="AG96" i="7"/>
  <c r="AH96" i="7"/>
  <c r="W97" i="7"/>
  <c r="X97" i="7"/>
  <c r="Y97" i="7"/>
  <c r="Z97" i="7"/>
  <c r="AA97" i="7"/>
  <c r="AB97" i="7"/>
  <c r="AC97" i="7"/>
  <c r="AD97" i="7"/>
  <c r="AE97" i="7"/>
  <c r="AF97" i="7"/>
  <c r="AG97" i="7"/>
  <c r="AH97" i="7"/>
  <c r="W98" i="7"/>
  <c r="X98" i="7"/>
  <c r="Y98" i="7"/>
  <c r="Z98" i="7"/>
  <c r="AA98" i="7"/>
  <c r="AB98" i="7"/>
  <c r="AC98" i="7"/>
  <c r="AD98" i="7"/>
  <c r="AE98" i="7"/>
  <c r="AF98" i="7"/>
  <c r="AG98" i="7"/>
  <c r="AH98" i="7"/>
  <c r="W99" i="7"/>
  <c r="X99" i="7"/>
  <c r="Y99" i="7"/>
  <c r="Z99" i="7"/>
  <c r="AA99" i="7"/>
  <c r="AB99" i="7"/>
  <c r="AC99" i="7"/>
  <c r="AD99" i="7"/>
  <c r="AE99" i="7"/>
  <c r="AF99" i="7"/>
  <c r="AG99" i="7"/>
  <c r="AH99" i="7"/>
  <c r="W100" i="7"/>
  <c r="X100" i="7"/>
  <c r="Y100" i="7"/>
  <c r="Z100" i="7"/>
  <c r="AA100" i="7"/>
  <c r="AB100" i="7"/>
  <c r="AC100" i="7"/>
  <c r="AD100" i="7"/>
  <c r="AE100" i="7"/>
  <c r="AF100" i="7"/>
  <c r="AG100" i="7"/>
  <c r="AH100" i="7"/>
  <c r="AH6" i="7"/>
  <c r="AG6" i="7"/>
  <c r="AF6" i="7"/>
  <c r="AE6" i="7"/>
  <c r="AD6" i="7"/>
  <c r="AC6" i="7"/>
  <c r="AB6" i="7"/>
  <c r="AA6" i="7"/>
  <c r="Z6" i="7"/>
  <c r="Y6" i="7"/>
  <c r="X6" i="7"/>
  <c r="W6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6" i="7"/>
</calcChain>
</file>

<file path=xl/comments1.xml><?xml version="1.0" encoding="utf-8"?>
<comments xmlns="http://schemas.openxmlformats.org/spreadsheetml/2006/main">
  <authors>
    <author>中村 純規</author>
  </authors>
  <commentList>
    <comment ref="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XX日前～当日までのデータを
取得します。全シート一括更新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XX日前のデータ1日分を取得。
例：5日前なら5と入力</t>
        </r>
      </text>
    </comment>
  </commentList>
</comments>
</file>

<file path=xl/sharedStrings.xml><?xml version="1.0" encoding="utf-8"?>
<sst xmlns="http://schemas.openxmlformats.org/spreadsheetml/2006/main" count="2594" uniqueCount="53">
  <si>
    <t>測定日</t>
    <rPh sb="0" eb="2">
      <t>ソクテイ</t>
    </rPh>
    <rPh sb="2" eb="3">
      <t>ヒ</t>
    </rPh>
    <phoneticPr fontId="1"/>
  </si>
  <si>
    <t>VF</t>
    <phoneticPr fontId="1"/>
  </si>
  <si>
    <t>x</t>
    <phoneticPr fontId="1"/>
  </si>
  <si>
    <t>y</t>
    <phoneticPr fontId="1"/>
  </si>
  <si>
    <t>Lf</t>
    <phoneticPr fontId="1"/>
  </si>
  <si>
    <t>G1</t>
    <phoneticPr fontId="1"/>
  </si>
  <si>
    <t>G2</t>
    <phoneticPr fontId="1"/>
  </si>
  <si>
    <t>G3</t>
    <phoneticPr fontId="1"/>
  </si>
  <si>
    <t>VF</t>
    <phoneticPr fontId="1"/>
  </si>
  <si>
    <t>x</t>
    <phoneticPr fontId="1"/>
  </si>
  <si>
    <t>y</t>
    <phoneticPr fontId="1"/>
  </si>
  <si>
    <t>Lf</t>
    <phoneticPr fontId="1"/>
  </si>
  <si>
    <t>規格</t>
    <rPh sb="0" eb="2">
      <t>キカク</t>
    </rPh>
    <phoneticPr fontId="1"/>
  </si>
  <si>
    <t>内規</t>
    <rPh sb="0" eb="2">
      <t>ナイキ</t>
    </rPh>
    <phoneticPr fontId="1"/>
  </si>
  <si>
    <t>No</t>
    <phoneticPr fontId="1"/>
  </si>
  <si>
    <t>基準サンプル</t>
    <rPh sb="0" eb="2">
      <t>キジュン</t>
    </rPh>
    <phoneticPr fontId="1"/>
  </si>
  <si>
    <t>XX日分データ一括取得</t>
    <rPh sb="2" eb="3">
      <t>ニチ</t>
    </rPh>
    <rPh sb="3" eb="4">
      <t>ブン</t>
    </rPh>
    <rPh sb="7" eb="9">
      <t>イッカツ</t>
    </rPh>
    <rPh sb="9" eb="11">
      <t>シュトク</t>
    </rPh>
    <phoneticPr fontId="1"/>
  </si>
  <si>
    <t>1日分のデータを取得</t>
    <rPh sb="1" eb="2">
      <t>ニチ</t>
    </rPh>
    <rPh sb="2" eb="3">
      <t>ブン</t>
    </rPh>
    <rPh sb="8" eb="10">
      <t>シュトク</t>
    </rPh>
    <phoneticPr fontId="1"/>
  </si>
  <si>
    <t>※左記ボタンはデータが全て削除されます。</t>
    <rPh sb="1" eb="3">
      <t>サキ</t>
    </rPh>
    <rPh sb="11" eb="12">
      <t>スベ</t>
    </rPh>
    <rPh sb="13" eb="15">
      <t>サクジョ</t>
    </rPh>
    <phoneticPr fontId="1"/>
  </si>
  <si>
    <t>総合判定</t>
    <rPh sb="0" eb="2">
      <t>ソウゴウ</t>
    </rPh>
    <rPh sb="2" eb="4">
      <t>ハンテイ</t>
    </rPh>
    <phoneticPr fontId="1"/>
  </si>
  <si>
    <t>FT36</t>
    <phoneticPr fontId="1"/>
  </si>
  <si>
    <t>VF</t>
    <phoneticPr fontId="1"/>
  </si>
  <si>
    <t>x</t>
    <phoneticPr fontId="1"/>
  </si>
  <si>
    <t>y</t>
    <phoneticPr fontId="1"/>
  </si>
  <si>
    <t>Lf</t>
    <phoneticPr fontId="1"/>
  </si>
  <si>
    <t>FT42</t>
    <phoneticPr fontId="1"/>
  </si>
  <si>
    <t>FT43</t>
    <phoneticPr fontId="1"/>
  </si>
  <si>
    <t>FT59</t>
    <phoneticPr fontId="1"/>
  </si>
  <si>
    <t>FT60</t>
    <phoneticPr fontId="1"/>
  </si>
  <si>
    <t>FT65</t>
    <phoneticPr fontId="1"/>
  </si>
  <si>
    <t>FT70</t>
    <phoneticPr fontId="1"/>
  </si>
  <si>
    <t>FT72</t>
    <phoneticPr fontId="1"/>
  </si>
  <si>
    <t>FT73</t>
    <phoneticPr fontId="1"/>
  </si>
  <si>
    <t>FT74</t>
    <phoneticPr fontId="1"/>
  </si>
  <si>
    <t>FT76</t>
    <phoneticPr fontId="1"/>
  </si>
  <si>
    <t>FTA4</t>
    <phoneticPr fontId="1"/>
  </si>
  <si>
    <t>FTD9</t>
    <phoneticPr fontId="1"/>
  </si>
  <si>
    <t>○</t>
  </si>
  <si>
    <t>×</t>
  </si>
  <si>
    <t>×</t>
    <phoneticPr fontId="1"/>
  </si>
  <si>
    <t>○</t>
    <phoneticPr fontId="1"/>
  </si>
  <si>
    <t>×</t>
    <phoneticPr fontId="1"/>
  </si>
  <si>
    <t>×</t>
    <phoneticPr fontId="1"/>
  </si>
  <si>
    <t>○</t>
    <phoneticPr fontId="1"/>
  </si>
  <si>
    <t>×</t>
    <phoneticPr fontId="1"/>
  </si>
  <si>
    <t>×</t>
    <phoneticPr fontId="1"/>
  </si>
  <si>
    <t>○</t>
    <phoneticPr fontId="1"/>
  </si>
  <si>
    <t>VF</t>
    <phoneticPr fontId="1"/>
  </si>
  <si>
    <t>x</t>
    <phoneticPr fontId="1"/>
  </si>
  <si>
    <t>y</t>
    <phoneticPr fontId="1"/>
  </si>
  <si>
    <t>Lf</t>
    <phoneticPr fontId="1"/>
  </si>
  <si>
    <t>サンプル4つ目の測定値</t>
    <rPh sb="6" eb="7">
      <t>メ</t>
    </rPh>
    <rPh sb="8" eb="10">
      <t>ソクテイ</t>
    </rPh>
    <rPh sb="10" eb="11">
      <t>アタイ</t>
    </rPh>
    <phoneticPr fontId="1"/>
  </si>
  <si>
    <t>サンプル5つ目の測定値</t>
    <rPh sb="6" eb="7">
      <t>メ</t>
    </rPh>
    <rPh sb="8" eb="10">
      <t>ソクテイ</t>
    </rPh>
    <rPh sb="10" eb="11">
      <t>アタイ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</si>
</sst>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00"/>
    <numFmt numFmtId="177" formatCode="0.000"/>
    <numFmt numFmtId="178" formatCode="yyyy/mm/dd"/>
  </numFmts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u/>
      <sz val="11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Border="1" applyAlignment="1">
      <alignment vertical="center"/>
    </xf>
    <xf numFmtId="0" fontId="0" fillId="0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0" xfId="0" applyNumberFormat="1">
      <alignment vertical="center"/>
    </xf>
    <xf numFmtId="22" fontId="0" fillId="0" borderId="1" xfId="0" applyNumberFormat="1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10" fontId="0" fillId="0" borderId="1" xfId="5" applyNumberFormat="1" applyFont="1" applyBorder="1">
      <alignment vertical="center"/>
    </xf>
    <xf numFmtId="177" fontId="0" fillId="0" borderId="1" xfId="0" applyNumberFormat="1" applyBorder="1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Fill="1">
      <alignment vertical="center"/>
    </xf>
    <xf numFmtId="0" fontId="0" fillId="0" borderId="3" xfId="0" applyFill="1" applyBorder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NumberFormat="1" applyBorder="1">
      <alignment vertical="center"/>
    </xf>
    <xf numFmtId="176" fontId="0" fillId="0" borderId="1" xfId="5" applyNumberFormat="1" applyFont="1" applyBorder="1">
      <alignment vertical="center"/>
    </xf>
    <xf numFmtId="177" fontId="0" fillId="0" borderId="1" xfId="5" applyNumberFormat="1" applyFont="1" applyBorder="1">
      <alignment vertical="center"/>
    </xf>
    <xf numFmtId="0" fontId="0" fillId="0" borderId="0" xfId="0" applyNumberFormat="1" applyFill="1" applyAlignment="1">
      <alignment horizontal="left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1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NumberFormat="1" applyFill="1">
      <alignment vertical="center"/>
    </xf>
    <xf numFmtId="0" fontId="0" fillId="0" borderId="1" xfId="0" applyBorder="1" applyAlignment="1">
      <alignment horizontal="center"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8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6">
    <cellStyle name="パーセント" xfId="5" builtinId="5"/>
    <cellStyle name="標準" xfId="0" builtinId="0"/>
    <cellStyle name="標準 2" xfId="1"/>
    <cellStyle name="標準 3" xfId="3"/>
    <cellStyle name="標準 4" xfId="4"/>
    <cellStyle name="標準 5" xfId="2"/>
  </cellStyles>
  <dxfs count="1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光束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'FT36'!$W$4:$Z$4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'FT36'!$Z$6:$Z$100</c:f>
              <c:numCache>
                <c:formatCode>0.00%</c:formatCode>
                <c:ptCount val="95"/>
                <c:pt idx="0">
                  <c:v>-3.0809205642168269E-3</c:v>
                </c:pt>
                <c:pt idx="1">
                  <c:v>-4.0460282108389922E-3</c:v>
                </c:pt>
                <c:pt idx="2">
                  <c:v>-6.7186340014848689E-3</c:v>
                </c:pt>
                <c:pt idx="3">
                  <c:v>-1.3845582776540466E-2</c:v>
                </c:pt>
                <c:pt idx="4">
                  <c:v>-1.2880475129918412E-2</c:v>
                </c:pt>
                <c:pt idx="5">
                  <c:v>-1.492204899777283E-2</c:v>
                </c:pt>
                <c:pt idx="6">
                  <c:v>-1.6109873793615503E-2</c:v>
                </c:pt>
                <c:pt idx="7">
                  <c:v>-1.1989606533036379E-2</c:v>
                </c:pt>
                <c:pt idx="8">
                  <c:v>-1.5144766146993338E-2</c:v>
                </c:pt>
                <c:pt idx="9">
                  <c:v>-1.533036377134378E-2</c:v>
                </c:pt>
                <c:pt idx="10">
                  <c:v>-1.4365256124721615E-2</c:v>
                </c:pt>
                <c:pt idx="11">
                  <c:v>-1.4291017074981482E-2</c:v>
                </c:pt>
                <c:pt idx="12">
                  <c:v>-1.4179658500371284E-2</c:v>
                </c:pt>
                <c:pt idx="13">
                  <c:v>-1.4513734224201991E-2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'FT36'!$AA$4:$AD$4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'FT36'!$AD$6:$AD$100</c:f>
              <c:numCache>
                <c:formatCode>0.00%</c:formatCode>
                <c:ptCount val="95"/>
                <c:pt idx="0">
                  <c:v>1.5529753265602242E-2</c:v>
                </c:pt>
                <c:pt idx="1">
                  <c:v>1.3860667634252533E-2</c:v>
                </c:pt>
                <c:pt idx="2">
                  <c:v>1.1719883889695248E-2</c:v>
                </c:pt>
                <c:pt idx="3">
                  <c:v>4.2815674891147903E-3</c:v>
                </c:pt>
                <c:pt idx="4">
                  <c:v>3.9550072568941275E-3</c:v>
                </c:pt>
                <c:pt idx="5">
                  <c:v>3.4107402031930967E-3</c:v>
                </c:pt>
                <c:pt idx="6">
                  <c:v>1.0885341074020616E-3</c:v>
                </c:pt>
                <c:pt idx="7">
                  <c:v>7.656023222061048E-3</c:v>
                </c:pt>
                <c:pt idx="8">
                  <c:v>4.4629898403483192E-3</c:v>
                </c:pt>
                <c:pt idx="9">
                  <c:v>1.7416545718433873E-3</c:v>
                </c:pt>
                <c:pt idx="10">
                  <c:v>3.2656023222061847E-3</c:v>
                </c:pt>
                <c:pt idx="11">
                  <c:v>3.9550072568941275E-3</c:v>
                </c:pt>
                <c:pt idx="12">
                  <c:v>3.3744557329462577E-3</c:v>
                </c:pt>
                <c:pt idx="13">
                  <c:v>3.2656023222061847E-3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#N/A</c:v>
                </c:pt>
                <c:pt idx="34">
                  <c:v>#N/A</c:v>
                </c:pt>
                <c:pt idx="35">
                  <c:v>-1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'FT36'!$AE$4:$AH$4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'FT36'!$AH$6:$AH$100</c:f>
              <c:numCache>
                <c:formatCode>0.00%</c:formatCode>
                <c:ptCount val="95"/>
                <c:pt idx="0">
                  <c:v>2.8397341211226168E-2</c:v>
                </c:pt>
                <c:pt idx="1">
                  <c:v>2.8397341211226168E-2</c:v>
                </c:pt>
                <c:pt idx="2">
                  <c:v>2.4556868537666254E-2</c:v>
                </c:pt>
                <c:pt idx="3">
                  <c:v>1.8796159527326495E-2</c:v>
                </c:pt>
                <c:pt idx="4">
                  <c:v>2.2525849335302883E-2</c:v>
                </c:pt>
                <c:pt idx="5">
                  <c:v>1.9128508124076848E-2</c:v>
                </c:pt>
                <c:pt idx="6">
                  <c:v>1.7319054652880306E-2</c:v>
                </c:pt>
                <c:pt idx="7">
                  <c:v>2.1639586410635125E-2</c:v>
                </c:pt>
                <c:pt idx="8">
                  <c:v>2.0494830132939512E-2</c:v>
                </c:pt>
                <c:pt idx="9">
                  <c:v>1.8316100443131589E-2</c:v>
                </c:pt>
                <c:pt idx="10">
                  <c:v>1.8426883308715114E-2</c:v>
                </c:pt>
                <c:pt idx="11">
                  <c:v>2.0679468242245314E-2</c:v>
                </c:pt>
                <c:pt idx="12">
                  <c:v>2.1639586410635125E-2</c:v>
                </c:pt>
                <c:pt idx="13">
                  <c:v>1.994091580502233E-2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#N/A</c:v>
                </c:pt>
                <c:pt idx="34">
                  <c:v>#N/A</c:v>
                </c:pt>
                <c:pt idx="35">
                  <c:v>-1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'FT36'!$AO$4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'FT36'!$AO$6:$AO$100</c:f>
              <c:numCache>
                <c:formatCode>0.00%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'FT36'!$AP$6:$AP$100</c:f>
              <c:numCache>
                <c:formatCode>0.00%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'FT36'!$AW$4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'FT36'!$AW$6:$AW$100</c:f>
              <c:numCache>
                <c:formatCode>0.00%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'FT36'!$AX$6:$AX$100</c:f>
              <c:numCache>
                <c:formatCode>0.00%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671168"/>
        <c:axId val="256673128"/>
      </c:lineChart>
      <c:catAx>
        <c:axId val="256671168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256673128"/>
        <c:crosses val="autoZero"/>
        <c:auto val="0"/>
        <c:lblAlgn val="ctr"/>
        <c:lblOffset val="100"/>
        <c:noMultiLvlLbl val="0"/>
      </c:catAx>
      <c:valAx>
        <c:axId val="256673128"/>
        <c:scaling>
          <c:orientation val="minMax"/>
          <c:max val="3.0000000000000006E-2"/>
          <c:min val="-3.0000000000000006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256671168"/>
        <c:crosses val="autoZero"/>
        <c:crossBetween val="between"/>
        <c:majorUnit val="1.0000000000000002E-2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VF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'FT36'!$W$4:$Z$4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'FT36'!$F$6:$F$96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'FT36'!$W$6:$W$100</c:f>
              <c:numCache>
                <c:formatCode>0.000</c:formatCode>
                <c:ptCount val="95"/>
                <c:pt idx="0">
                  <c:v>-4.9999999999998934E-3</c:v>
                </c:pt>
                <c:pt idx="1">
                  <c:v>-4.9999999999998934E-3</c:v>
                </c:pt>
                <c:pt idx="2">
                  <c:v>-4.0000000000000036E-3</c:v>
                </c:pt>
                <c:pt idx="3">
                  <c:v>3.0000000000001137E-3</c:v>
                </c:pt>
                <c:pt idx="4">
                  <c:v>2.0000000000002238E-3</c:v>
                </c:pt>
                <c:pt idx="5">
                  <c:v>-9.9999999999988987E-4</c:v>
                </c:pt>
                <c:pt idx="6">
                  <c:v>4.0000000000000036E-3</c:v>
                </c:pt>
                <c:pt idx="7">
                  <c:v>2.0000000000002238E-3</c:v>
                </c:pt>
                <c:pt idx="8">
                  <c:v>-1.9999999999997797E-3</c:v>
                </c:pt>
                <c:pt idx="9">
                  <c:v>6.0000000000002274E-3</c:v>
                </c:pt>
                <c:pt idx="10">
                  <c:v>4.9999999999998934E-3</c:v>
                </c:pt>
                <c:pt idx="11">
                  <c:v>-9.9999999999988987E-4</c:v>
                </c:pt>
                <c:pt idx="12">
                  <c:v>3.0000000000001137E-3</c:v>
                </c:pt>
                <c:pt idx="13">
                  <c:v>3.0000000000001137E-3</c:v>
                </c:pt>
                <c:pt idx="14">
                  <c:v>-3.113</c:v>
                </c:pt>
                <c:pt idx="15">
                  <c:v>-3.113</c:v>
                </c:pt>
                <c:pt idx="16">
                  <c:v>-3.113</c:v>
                </c:pt>
                <c:pt idx="17">
                  <c:v>-3.113</c:v>
                </c:pt>
                <c:pt idx="18">
                  <c:v>-3.113</c:v>
                </c:pt>
                <c:pt idx="19">
                  <c:v>-3.113</c:v>
                </c:pt>
                <c:pt idx="20">
                  <c:v>-3.113</c:v>
                </c:pt>
                <c:pt idx="21">
                  <c:v>-3.113</c:v>
                </c:pt>
                <c:pt idx="22">
                  <c:v>-3.113</c:v>
                </c:pt>
                <c:pt idx="23">
                  <c:v>-3.113</c:v>
                </c:pt>
                <c:pt idx="24">
                  <c:v>-3.113</c:v>
                </c:pt>
                <c:pt idx="25">
                  <c:v>-3.113</c:v>
                </c:pt>
                <c:pt idx="26">
                  <c:v>-3.113</c:v>
                </c:pt>
                <c:pt idx="27">
                  <c:v>-3.113</c:v>
                </c:pt>
                <c:pt idx="28">
                  <c:v>-3.113</c:v>
                </c:pt>
                <c:pt idx="29">
                  <c:v>-3.113</c:v>
                </c:pt>
                <c:pt idx="30">
                  <c:v>-3.113</c:v>
                </c:pt>
                <c:pt idx="31">
                  <c:v>-3.113</c:v>
                </c:pt>
                <c:pt idx="32">
                  <c:v>-3.113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'FT36'!$AA$4:$AD$4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'FT36'!$F$6:$F$96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'FT36'!$AA$6:$AA$100</c:f>
              <c:numCache>
                <c:formatCode>0.000</c:formatCode>
                <c:ptCount val="95"/>
                <c:pt idx="0">
                  <c:v>-9.0000000000003411E-3</c:v>
                </c:pt>
                <c:pt idx="1">
                  <c:v>-1.1000000000000121E-2</c:v>
                </c:pt>
                <c:pt idx="2">
                  <c:v>-9.0000000000003411E-3</c:v>
                </c:pt>
                <c:pt idx="3">
                  <c:v>-1.000000000000334E-3</c:v>
                </c:pt>
                <c:pt idx="4">
                  <c:v>-2.0000000000002238E-3</c:v>
                </c:pt>
                <c:pt idx="5">
                  <c:v>-6.0000000000002274E-3</c:v>
                </c:pt>
                <c:pt idx="6">
                  <c:v>9.9999999999988987E-4</c:v>
                </c:pt>
                <c:pt idx="7">
                  <c:v>-2.0000000000002238E-3</c:v>
                </c:pt>
                <c:pt idx="8">
                  <c:v>-8.0000000000000071E-3</c:v>
                </c:pt>
                <c:pt idx="9">
                  <c:v>2.9999999999996696E-3</c:v>
                </c:pt>
                <c:pt idx="10">
                  <c:v>9.9999999999988987E-4</c:v>
                </c:pt>
                <c:pt idx="11">
                  <c:v>-7.0000000000001172E-3</c:v>
                </c:pt>
                <c:pt idx="12">
                  <c:v>-2.0000000000002238E-3</c:v>
                </c:pt>
                <c:pt idx="13">
                  <c:v>-1.000000000000334E-3</c:v>
                </c:pt>
                <c:pt idx="14">
                  <c:v>-3.1150000000000002</c:v>
                </c:pt>
                <c:pt idx="15">
                  <c:v>-3.1150000000000002</c:v>
                </c:pt>
                <c:pt idx="16">
                  <c:v>-3.1150000000000002</c:v>
                </c:pt>
                <c:pt idx="17">
                  <c:v>-3.1150000000000002</c:v>
                </c:pt>
                <c:pt idx="18">
                  <c:v>-3.1150000000000002</c:v>
                </c:pt>
                <c:pt idx="19">
                  <c:v>-3.1150000000000002</c:v>
                </c:pt>
                <c:pt idx="20">
                  <c:v>-3.1150000000000002</c:v>
                </c:pt>
                <c:pt idx="21">
                  <c:v>-3.1150000000000002</c:v>
                </c:pt>
                <c:pt idx="22">
                  <c:v>-3.1150000000000002</c:v>
                </c:pt>
                <c:pt idx="23">
                  <c:v>-3.1150000000000002</c:v>
                </c:pt>
                <c:pt idx="24">
                  <c:v>-3.1150000000000002</c:v>
                </c:pt>
                <c:pt idx="25">
                  <c:v>-3.1150000000000002</c:v>
                </c:pt>
                <c:pt idx="26">
                  <c:v>-3.1150000000000002</c:v>
                </c:pt>
                <c:pt idx="27">
                  <c:v>-3.1150000000000002</c:v>
                </c:pt>
                <c:pt idx="28">
                  <c:v>-3.1150000000000002</c:v>
                </c:pt>
                <c:pt idx="29">
                  <c:v>-3.1150000000000002</c:v>
                </c:pt>
                <c:pt idx="30">
                  <c:v>-3.1150000000000002</c:v>
                </c:pt>
                <c:pt idx="31">
                  <c:v>-3.1150000000000002</c:v>
                </c:pt>
                <c:pt idx="32">
                  <c:v>-3.1150000000000002</c:v>
                </c:pt>
                <c:pt idx="33">
                  <c:v>#N/A</c:v>
                </c:pt>
                <c:pt idx="34">
                  <c:v>#N/A</c:v>
                </c:pt>
                <c:pt idx="35">
                  <c:v>-3.1150000000000002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'FT36'!$AE$4:$AH$4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'FT36'!$F$6:$F$96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'FT36'!$AE$6:$AE$100</c:f>
              <c:numCache>
                <c:formatCode>0.000</c:formatCode>
                <c:ptCount val="95"/>
                <c:pt idx="0">
                  <c:v>-2.9999999999999805E-2</c:v>
                </c:pt>
                <c:pt idx="1">
                  <c:v>-3.2999999999999918E-2</c:v>
                </c:pt>
                <c:pt idx="2">
                  <c:v>-3.1000000000000139E-2</c:v>
                </c:pt>
                <c:pt idx="3">
                  <c:v>-2.1999999999999797E-2</c:v>
                </c:pt>
                <c:pt idx="4">
                  <c:v>-1.6999999999999904E-2</c:v>
                </c:pt>
                <c:pt idx="5">
                  <c:v>-2.4000000000000021E-2</c:v>
                </c:pt>
                <c:pt idx="6">
                  <c:v>-1.7999999999999794E-2</c:v>
                </c:pt>
                <c:pt idx="7">
                  <c:v>-2.0000000000000018E-2</c:v>
                </c:pt>
                <c:pt idx="8">
                  <c:v>-2.5999999999999801E-2</c:v>
                </c:pt>
                <c:pt idx="9">
                  <c:v>-1.9000000000000128E-2</c:v>
                </c:pt>
                <c:pt idx="10">
                  <c:v>-2.0999999999999908E-2</c:v>
                </c:pt>
                <c:pt idx="11">
                  <c:v>-2.5999999999999801E-2</c:v>
                </c:pt>
                <c:pt idx="12">
                  <c:v>-2.3000000000000131E-2</c:v>
                </c:pt>
                <c:pt idx="13">
                  <c:v>-2.1999999999999797E-2</c:v>
                </c:pt>
                <c:pt idx="14">
                  <c:v>-3.137</c:v>
                </c:pt>
                <c:pt idx="15">
                  <c:v>-3.137</c:v>
                </c:pt>
                <c:pt idx="16">
                  <c:v>-3.137</c:v>
                </c:pt>
                <c:pt idx="17">
                  <c:v>-3.137</c:v>
                </c:pt>
                <c:pt idx="18">
                  <c:v>-3.137</c:v>
                </c:pt>
                <c:pt idx="19">
                  <c:v>-3.137</c:v>
                </c:pt>
                <c:pt idx="20">
                  <c:v>-3.137</c:v>
                </c:pt>
                <c:pt idx="21">
                  <c:v>-3.137</c:v>
                </c:pt>
                <c:pt idx="22">
                  <c:v>-3.137</c:v>
                </c:pt>
                <c:pt idx="23">
                  <c:v>-3.137</c:v>
                </c:pt>
                <c:pt idx="24">
                  <c:v>-3.137</c:v>
                </c:pt>
                <c:pt idx="25">
                  <c:v>-3.137</c:v>
                </c:pt>
                <c:pt idx="26">
                  <c:v>-3.137</c:v>
                </c:pt>
                <c:pt idx="27">
                  <c:v>-3.137</c:v>
                </c:pt>
                <c:pt idx="28">
                  <c:v>-3.137</c:v>
                </c:pt>
                <c:pt idx="29">
                  <c:v>-3.137</c:v>
                </c:pt>
                <c:pt idx="30">
                  <c:v>-3.137</c:v>
                </c:pt>
                <c:pt idx="31">
                  <c:v>-3.137</c:v>
                </c:pt>
                <c:pt idx="32">
                  <c:v>-3.137</c:v>
                </c:pt>
                <c:pt idx="33">
                  <c:v>#N/A</c:v>
                </c:pt>
                <c:pt idx="34">
                  <c:v>#N/A</c:v>
                </c:pt>
                <c:pt idx="35">
                  <c:v>-3.137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'FT36'!$AO$4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'FT36'!$F$6:$F$96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'FT36'!$AI$6:$AI$100</c:f>
              <c:numCache>
                <c:formatCode>General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'FT36'!$F$6:$F$96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'FT36'!$AJ$6:$AJ$100</c:f>
              <c:numCache>
                <c:formatCode>General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'FT36'!$AW$4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'FT36'!$F$6:$F$96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'FT36'!$AQ$6:$AQ$100</c:f>
              <c:numCache>
                <c:formatCode>General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'FT36'!$F$6:$F$96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'FT36'!$AR$6:$AR$100</c:f>
              <c:numCache>
                <c:formatCode>General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448064"/>
        <c:axId val="313451592"/>
      </c:lineChart>
      <c:catAx>
        <c:axId val="313448064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3451592"/>
        <c:crosses val="autoZero"/>
        <c:auto val="0"/>
        <c:lblAlgn val="ctr"/>
        <c:lblOffset val="100"/>
        <c:noMultiLvlLbl val="0"/>
      </c:catAx>
      <c:valAx>
        <c:axId val="313451592"/>
        <c:scaling>
          <c:orientation val="minMax"/>
        </c:scaling>
        <c:delete val="0"/>
        <c:axPos val="l"/>
        <c:numFmt formatCode="#,##0.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344806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X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'FT36'!$W$4:$Z$4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'FT36'!$X$6:$X$100</c:f>
              <c:numCache>
                <c:formatCode>0.0000</c:formatCode>
                <c:ptCount val="95"/>
                <c:pt idx="0">
                  <c:v>-1.1399999999999744E-3</c:v>
                </c:pt>
                <c:pt idx="1">
                  <c:v>-1.2300000000000089E-3</c:v>
                </c:pt>
                <c:pt idx="2">
                  <c:v>-9.1999999999997639E-4</c:v>
                </c:pt>
                <c:pt idx="3">
                  <c:v>-8.599999999999719E-4</c:v>
                </c:pt>
                <c:pt idx="4">
                  <c:v>-8.1999999999998741E-4</c:v>
                </c:pt>
                <c:pt idx="5">
                  <c:v>-8.9999999999995639E-4</c:v>
                </c:pt>
                <c:pt idx="6">
                  <c:v>-8.9999999999995639E-4</c:v>
                </c:pt>
                <c:pt idx="7">
                  <c:v>-1.0399999999999854E-3</c:v>
                </c:pt>
                <c:pt idx="8">
                  <c:v>-9.1999999999997639E-4</c:v>
                </c:pt>
                <c:pt idx="9">
                  <c:v>-1.0600000000000054E-3</c:v>
                </c:pt>
                <c:pt idx="10">
                  <c:v>-9.6999999999997089E-4</c:v>
                </c:pt>
                <c:pt idx="11">
                  <c:v>-1.0199999999999654E-3</c:v>
                </c:pt>
                <c:pt idx="12">
                  <c:v>-1.0399999999999854E-3</c:v>
                </c:pt>
                <c:pt idx="13">
                  <c:v>-1.0199999999999654E-3</c:v>
                </c:pt>
                <c:pt idx="14">
                  <c:v>-0.28955999999999998</c:v>
                </c:pt>
                <c:pt idx="15">
                  <c:v>-0.28955999999999998</c:v>
                </c:pt>
                <c:pt idx="16">
                  <c:v>-0.28955999999999998</c:v>
                </c:pt>
                <c:pt idx="17">
                  <c:v>-0.28955999999999998</c:v>
                </c:pt>
                <c:pt idx="18">
                  <c:v>-0.28955999999999998</c:v>
                </c:pt>
                <c:pt idx="19">
                  <c:v>-0.28955999999999998</c:v>
                </c:pt>
                <c:pt idx="20">
                  <c:v>-0.28955999999999998</c:v>
                </c:pt>
                <c:pt idx="21">
                  <c:v>-0.28955999999999998</c:v>
                </c:pt>
                <c:pt idx="22">
                  <c:v>-0.28955999999999998</c:v>
                </c:pt>
                <c:pt idx="23">
                  <c:v>-0.28955999999999998</c:v>
                </c:pt>
                <c:pt idx="24">
                  <c:v>-0.28955999999999998</c:v>
                </c:pt>
                <c:pt idx="25">
                  <c:v>-0.28955999999999998</c:v>
                </c:pt>
                <c:pt idx="26">
                  <c:v>-0.28955999999999998</c:v>
                </c:pt>
                <c:pt idx="27">
                  <c:v>-0.28955999999999998</c:v>
                </c:pt>
                <c:pt idx="28">
                  <c:v>-0.28955999999999998</c:v>
                </c:pt>
                <c:pt idx="29">
                  <c:v>-0.28955999999999998</c:v>
                </c:pt>
                <c:pt idx="30">
                  <c:v>-0.28955999999999998</c:v>
                </c:pt>
                <c:pt idx="31">
                  <c:v>-0.28955999999999998</c:v>
                </c:pt>
                <c:pt idx="32">
                  <c:v>-0.28955999999999998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'FT36'!$AA$4:$AD$4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'FT36'!$AB$6:$AB$100</c:f>
              <c:numCache>
                <c:formatCode>0.0000</c:formatCode>
                <c:ptCount val="95"/>
                <c:pt idx="0">
                  <c:v>-3.5400000000000431E-3</c:v>
                </c:pt>
                <c:pt idx="1">
                  <c:v>-3.6400000000000321E-3</c:v>
                </c:pt>
                <c:pt idx="2">
                  <c:v>-3.3700000000000396E-3</c:v>
                </c:pt>
                <c:pt idx="3">
                  <c:v>-3.3100000000000351E-3</c:v>
                </c:pt>
                <c:pt idx="4">
                  <c:v>-3.5700000000000176E-3</c:v>
                </c:pt>
                <c:pt idx="5">
                  <c:v>-3.3500000000000196E-3</c:v>
                </c:pt>
                <c:pt idx="6">
                  <c:v>-3.3500000000000196E-3</c:v>
                </c:pt>
                <c:pt idx="7">
                  <c:v>-3.3200000000000451E-3</c:v>
                </c:pt>
                <c:pt idx="8">
                  <c:v>-3.2800000000000051E-3</c:v>
                </c:pt>
                <c:pt idx="9">
                  <c:v>-3.5300000000000331E-3</c:v>
                </c:pt>
                <c:pt idx="10">
                  <c:v>-3.4200000000000341E-3</c:v>
                </c:pt>
                <c:pt idx="11">
                  <c:v>-3.4399999999999986E-3</c:v>
                </c:pt>
                <c:pt idx="12">
                  <c:v>-3.5700000000000176E-3</c:v>
                </c:pt>
                <c:pt idx="13">
                  <c:v>-3.5499999999999976E-3</c:v>
                </c:pt>
                <c:pt idx="14">
                  <c:v>-0.29093000000000002</c:v>
                </c:pt>
                <c:pt idx="15">
                  <c:v>-0.29093000000000002</c:v>
                </c:pt>
                <c:pt idx="16">
                  <c:v>-0.29093000000000002</c:v>
                </c:pt>
                <c:pt idx="17">
                  <c:v>-0.29093000000000002</c:v>
                </c:pt>
                <c:pt idx="18">
                  <c:v>-0.29093000000000002</c:v>
                </c:pt>
                <c:pt idx="19">
                  <c:v>-0.29093000000000002</c:v>
                </c:pt>
                <c:pt idx="20">
                  <c:v>-0.29093000000000002</c:v>
                </c:pt>
                <c:pt idx="21">
                  <c:v>-0.29093000000000002</c:v>
                </c:pt>
                <c:pt idx="22">
                  <c:v>-0.29093000000000002</c:v>
                </c:pt>
                <c:pt idx="23">
                  <c:v>-0.29093000000000002</c:v>
                </c:pt>
                <c:pt idx="24">
                  <c:v>-0.29093000000000002</c:v>
                </c:pt>
                <c:pt idx="25">
                  <c:v>-0.29093000000000002</c:v>
                </c:pt>
                <c:pt idx="26">
                  <c:v>-0.29093000000000002</c:v>
                </c:pt>
                <c:pt idx="27">
                  <c:v>-0.29093000000000002</c:v>
                </c:pt>
                <c:pt idx="28">
                  <c:v>-0.29093000000000002</c:v>
                </c:pt>
                <c:pt idx="29">
                  <c:v>-0.29093000000000002</c:v>
                </c:pt>
                <c:pt idx="30">
                  <c:v>-0.29093000000000002</c:v>
                </c:pt>
                <c:pt idx="31">
                  <c:v>-0.29093000000000002</c:v>
                </c:pt>
                <c:pt idx="32">
                  <c:v>-0.29093000000000002</c:v>
                </c:pt>
                <c:pt idx="33">
                  <c:v>#N/A</c:v>
                </c:pt>
                <c:pt idx="34">
                  <c:v>#N/A</c:v>
                </c:pt>
                <c:pt idx="35">
                  <c:v>-0.29093000000000002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'FT36'!$AE$4:$AH$4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'FT36'!$AF$6:$AF$100</c:f>
              <c:numCache>
                <c:formatCode>0.0000</c:formatCode>
                <c:ptCount val="95"/>
                <c:pt idx="0">
                  <c:v>-8.0400000000000471E-3</c:v>
                </c:pt>
                <c:pt idx="1">
                  <c:v>-7.9500000000000126E-3</c:v>
                </c:pt>
                <c:pt idx="2">
                  <c:v>-7.6200000000000156E-3</c:v>
                </c:pt>
                <c:pt idx="3">
                  <c:v>-7.5000000000000067E-3</c:v>
                </c:pt>
                <c:pt idx="4">
                  <c:v>-5.9200000000000363E-3</c:v>
                </c:pt>
                <c:pt idx="5">
                  <c:v>-6.0300000000000353E-3</c:v>
                </c:pt>
                <c:pt idx="6">
                  <c:v>-6.0600000000000098E-3</c:v>
                </c:pt>
                <c:pt idx="7">
                  <c:v>-6.0900000000000398E-3</c:v>
                </c:pt>
                <c:pt idx="8">
                  <c:v>-6.0800000000000298E-3</c:v>
                </c:pt>
                <c:pt idx="9">
                  <c:v>-6.0000000000000053E-3</c:v>
                </c:pt>
                <c:pt idx="10">
                  <c:v>-6.0700000000000198E-3</c:v>
                </c:pt>
                <c:pt idx="11">
                  <c:v>-6.0000000000000053E-3</c:v>
                </c:pt>
                <c:pt idx="12">
                  <c:v>-6.0700000000000198E-3</c:v>
                </c:pt>
                <c:pt idx="13">
                  <c:v>-6.2300000000000133E-3</c:v>
                </c:pt>
                <c:pt idx="14">
                  <c:v>-0.28949000000000003</c:v>
                </c:pt>
                <c:pt idx="15">
                  <c:v>-0.28949000000000003</c:v>
                </c:pt>
                <c:pt idx="16">
                  <c:v>-0.28949000000000003</c:v>
                </c:pt>
                <c:pt idx="17">
                  <c:v>-0.28949000000000003</c:v>
                </c:pt>
                <c:pt idx="18">
                  <c:v>-0.28949000000000003</c:v>
                </c:pt>
                <c:pt idx="19">
                  <c:v>-0.28949000000000003</c:v>
                </c:pt>
                <c:pt idx="20">
                  <c:v>-0.28949000000000003</c:v>
                </c:pt>
                <c:pt idx="21">
                  <c:v>-0.28949000000000003</c:v>
                </c:pt>
                <c:pt idx="22">
                  <c:v>-0.28949000000000003</c:v>
                </c:pt>
                <c:pt idx="23">
                  <c:v>-0.28949000000000003</c:v>
                </c:pt>
                <c:pt idx="24">
                  <c:v>-0.28949000000000003</c:v>
                </c:pt>
                <c:pt idx="25">
                  <c:v>-0.28949000000000003</c:v>
                </c:pt>
                <c:pt idx="26">
                  <c:v>-0.28949000000000003</c:v>
                </c:pt>
                <c:pt idx="27">
                  <c:v>-0.28949000000000003</c:v>
                </c:pt>
                <c:pt idx="28">
                  <c:v>-0.28949000000000003</c:v>
                </c:pt>
                <c:pt idx="29">
                  <c:v>-0.28949000000000003</c:v>
                </c:pt>
                <c:pt idx="30">
                  <c:v>-0.28949000000000003</c:v>
                </c:pt>
                <c:pt idx="31">
                  <c:v>-0.28949000000000003</c:v>
                </c:pt>
                <c:pt idx="32">
                  <c:v>-0.28949000000000003</c:v>
                </c:pt>
                <c:pt idx="33">
                  <c:v>#N/A</c:v>
                </c:pt>
                <c:pt idx="34">
                  <c:v>#N/A</c:v>
                </c:pt>
                <c:pt idx="35">
                  <c:v>-0.28949000000000003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'FT36'!$AO$4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'FT36'!$AW$4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450024"/>
        <c:axId val="313446496"/>
      </c:lineChart>
      <c:catAx>
        <c:axId val="313450024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3446496"/>
        <c:crosses val="autoZero"/>
        <c:auto val="0"/>
        <c:lblAlgn val="ctr"/>
        <c:lblOffset val="100"/>
        <c:noMultiLvlLbl val="0"/>
      </c:catAx>
      <c:valAx>
        <c:axId val="313446496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3450024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y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'FT36'!$W$4:$Z$4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'FT36'!$Y$6:$Y$100</c:f>
              <c:numCache>
                <c:formatCode>0.0000</c:formatCode>
                <c:ptCount val="95"/>
                <c:pt idx="0">
                  <c:v>-5.9999999999998943E-4</c:v>
                </c:pt>
                <c:pt idx="1">
                  <c:v>-7.3000000000000842E-4</c:v>
                </c:pt>
                <c:pt idx="2">
                  <c:v>-5.2999999999997494E-4</c:v>
                </c:pt>
                <c:pt idx="3">
                  <c:v>-4.0000000000001146E-4</c:v>
                </c:pt>
                <c:pt idx="4">
                  <c:v>-4.5000000000000595E-4</c:v>
                </c:pt>
                <c:pt idx="5">
                  <c:v>-4.1999999999997595E-4</c:v>
                </c:pt>
                <c:pt idx="6">
                  <c:v>-4.7999999999998044E-4</c:v>
                </c:pt>
                <c:pt idx="7">
                  <c:v>-7.3000000000000842E-4</c:v>
                </c:pt>
                <c:pt idx="8">
                  <c:v>-6.2000000000000943E-4</c:v>
                </c:pt>
                <c:pt idx="9">
                  <c:v>-8.4000000000000741E-4</c:v>
                </c:pt>
                <c:pt idx="10">
                  <c:v>-6.9000000000002393E-4</c:v>
                </c:pt>
                <c:pt idx="11">
                  <c:v>-8.4000000000000741E-4</c:v>
                </c:pt>
                <c:pt idx="12">
                  <c:v>-7.5000000000002842E-4</c:v>
                </c:pt>
                <c:pt idx="13">
                  <c:v>-8.5000000000001741E-4</c:v>
                </c:pt>
                <c:pt idx="14">
                  <c:v>-0.28214</c:v>
                </c:pt>
                <c:pt idx="15">
                  <c:v>-0.28214</c:v>
                </c:pt>
                <c:pt idx="16">
                  <c:v>-0.28214</c:v>
                </c:pt>
                <c:pt idx="17">
                  <c:v>-0.28214</c:v>
                </c:pt>
                <c:pt idx="18">
                  <c:v>-0.28214</c:v>
                </c:pt>
                <c:pt idx="19">
                  <c:v>-0.28214</c:v>
                </c:pt>
                <c:pt idx="20">
                  <c:v>-0.28214</c:v>
                </c:pt>
                <c:pt idx="21">
                  <c:v>-0.28214</c:v>
                </c:pt>
                <c:pt idx="22">
                  <c:v>-0.28214</c:v>
                </c:pt>
                <c:pt idx="23">
                  <c:v>-0.28214</c:v>
                </c:pt>
                <c:pt idx="24">
                  <c:v>-0.28214</c:v>
                </c:pt>
                <c:pt idx="25">
                  <c:v>-0.28214</c:v>
                </c:pt>
                <c:pt idx="26">
                  <c:v>-0.28214</c:v>
                </c:pt>
                <c:pt idx="27">
                  <c:v>-0.28214</c:v>
                </c:pt>
                <c:pt idx="28">
                  <c:v>-0.28214</c:v>
                </c:pt>
                <c:pt idx="29">
                  <c:v>-0.28214</c:v>
                </c:pt>
                <c:pt idx="30">
                  <c:v>-0.28214</c:v>
                </c:pt>
                <c:pt idx="31">
                  <c:v>-0.28214</c:v>
                </c:pt>
                <c:pt idx="32">
                  <c:v>-0.28214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'FT36'!$AA$4:$AD$4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'FT36'!$AC$6:$AC$100</c:f>
              <c:numCache>
                <c:formatCode>0.0000</c:formatCode>
                <c:ptCount val="95"/>
                <c:pt idx="0">
                  <c:v>-8.9099999999999735E-3</c:v>
                </c:pt>
                <c:pt idx="1">
                  <c:v>-9.169999999999956E-3</c:v>
                </c:pt>
                <c:pt idx="2">
                  <c:v>-8.8300000000000045E-3</c:v>
                </c:pt>
                <c:pt idx="3">
                  <c:v>-8.7099999999999955E-3</c:v>
                </c:pt>
                <c:pt idx="4">
                  <c:v>-9.2299999999999605E-3</c:v>
                </c:pt>
                <c:pt idx="5">
                  <c:v>-8.9099999999999735E-3</c:v>
                </c:pt>
                <c:pt idx="6">
                  <c:v>-8.9099999999999735E-3</c:v>
                </c:pt>
                <c:pt idx="7">
                  <c:v>-8.7999999999999745E-3</c:v>
                </c:pt>
                <c:pt idx="8">
                  <c:v>-8.75999999999999E-3</c:v>
                </c:pt>
                <c:pt idx="9">
                  <c:v>-9.220000000000006E-3</c:v>
                </c:pt>
                <c:pt idx="10">
                  <c:v>-8.9400000000000035E-3</c:v>
                </c:pt>
                <c:pt idx="11">
                  <c:v>-8.9299999999999935E-3</c:v>
                </c:pt>
                <c:pt idx="12">
                  <c:v>-9.110000000000007E-3</c:v>
                </c:pt>
                <c:pt idx="13">
                  <c:v>-9.179999999999966E-3</c:v>
                </c:pt>
                <c:pt idx="14">
                  <c:v>-0.28061999999999998</c:v>
                </c:pt>
                <c:pt idx="15">
                  <c:v>-0.28061999999999998</c:v>
                </c:pt>
                <c:pt idx="16">
                  <c:v>-0.28061999999999998</c:v>
                </c:pt>
                <c:pt idx="17">
                  <c:v>-0.28061999999999998</c:v>
                </c:pt>
                <c:pt idx="18">
                  <c:v>-0.28061999999999998</c:v>
                </c:pt>
                <c:pt idx="19">
                  <c:v>-0.28061999999999998</c:v>
                </c:pt>
                <c:pt idx="20">
                  <c:v>-0.28061999999999998</c:v>
                </c:pt>
                <c:pt idx="21">
                  <c:v>-0.28061999999999998</c:v>
                </c:pt>
                <c:pt idx="22">
                  <c:v>-0.28061999999999998</c:v>
                </c:pt>
                <c:pt idx="23">
                  <c:v>-0.28061999999999998</c:v>
                </c:pt>
                <c:pt idx="24">
                  <c:v>-0.28061999999999998</c:v>
                </c:pt>
                <c:pt idx="25">
                  <c:v>-0.28061999999999998</c:v>
                </c:pt>
                <c:pt idx="26">
                  <c:v>-0.28061999999999998</c:v>
                </c:pt>
                <c:pt idx="27">
                  <c:v>-0.28061999999999998</c:v>
                </c:pt>
                <c:pt idx="28">
                  <c:v>-0.28061999999999998</c:v>
                </c:pt>
                <c:pt idx="29">
                  <c:v>-0.28061999999999998</c:v>
                </c:pt>
                <c:pt idx="30">
                  <c:v>-0.28061999999999998</c:v>
                </c:pt>
                <c:pt idx="31">
                  <c:v>-0.28061999999999998</c:v>
                </c:pt>
                <c:pt idx="32">
                  <c:v>-0.28061999999999998</c:v>
                </c:pt>
                <c:pt idx="33">
                  <c:v>#N/A</c:v>
                </c:pt>
                <c:pt idx="34">
                  <c:v>#N/A</c:v>
                </c:pt>
                <c:pt idx="35">
                  <c:v>-0.28061999999999998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'FT36'!$AE$4:$AH$4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'FT36'!$AG$6:$AG$100</c:f>
              <c:numCache>
                <c:formatCode>0.0000</c:formatCode>
                <c:ptCount val="95"/>
                <c:pt idx="0">
                  <c:v>-1.3999999999999957E-2</c:v>
                </c:pt>
                <c:pt idx="1">
                  <c:v>-1.3949999999999962E-2</c:v>
                </c:pt>
                <c:pt idx="2">
                  <c:v>-1.3779999999999959E-2</c:v>
                </c:pt>
                <c:pt idx="3">
                  <c:v>-1.3559999999999961E-2</c:v>
                </c:pt>
                <c:pt idx="4">
                  <c:v>-1.0579999999999978E-2</c:v>
                </c:pt>
                <c:pt idx="5">
                  <c:v>-1.0940000000000005E-2</c:v>
                </c:pt>
                <c:pt idx="6">
                  <c:v>-1.1009999999999964E-2</c:v>
                </c:pt>
                <c:pt idx="7">
                  <c:v>-1.0899999999999965E-2</c:v>
                </c:pt>
                <c:pt idx="8">
                  <c:v>-1.097999999999999E-2</c:v>
                </c:pt>
                <c:pt idx="9">
                  <c:v>-1.1059999999999959E-2</c:v>
                </c:pt>
                <c:pt idx="10">
                  <c:v>-1.1050000000000004E-2</c:v>
                </c:pt>
                <c:pt idx="11">
                  <c:v>-1.097999999999999E-2</c:v>
                </c:pt>
                <c:pt idx="12">
                  <c:v>-1.1059999999999959E-2</c:v>
                </c:pt>
                <c:pt idx="13">
                  <c:v>-1.1419999999999986E-2</c:v>
                </c:pt>
                <c:pt idx="14">
                  <c:v>-0.27939999999999998</c:v>
                </c:pt>
                <c:pt idx="15">
                  <c:v>-0.27939999999999998</c:v>
                </c:pt>
                <c:pt idx="16">
                  <c:v>-0.27939999999999998</c:v>
                </c:pt>
                <c:pt idx="17">
                  <c:v>-0.27939999999999998</c:v>
                </c:pt>
                <c:pt idx="18">
                  <c:v>-0.27939999999999998</c:v>
                </c:pt>
                <c:pt idx="19">
                  <c:v>-0.27939999999999998</c:v>
                </c:pt>
                <c:pt idx="20">
                  <c:v>-0.27939999999999998</c:v>
                </c:pt>
                <c:pt idx="21">
                  <c:v>-0.27939999999999998</c:v>
                </c:pt>
                <c:pt idx="22">
                  <c:v>-0.27939999999999998</c:v>
                </c:pt>
                <c:pt idx="23">
                  <c:v>-0.27939999999999998</c:v>
                </c:pt>
                <c:pt idx="24">
                  <c:v>-0.27939999999999998</c:v>
                </c:pt>
                <c:pt idx="25">
                  <c:v>-0.27939999999999998</c:v>
                </c:pt>
                <c:pt idx="26">
                  <c:v>-0.27939999999999998</c:v>
                </c:pt>
                <c:pt idx="27">
                  <c:v>-0.27939999999999998</c:v>
                </c:pt>
                <c:pt idx="28">
                  <c:v>-0.27939999999999998</c:v>
                </c:pt>
                <c:pt idx="29">
                  <c:v>-0.27939999999999998</c:v>
                </c:pt>
                <c:pt idx="30">
                  <c:v>-0.27939999999999998</c:v>
                </c:pt>
                <c:pt idx="31">
                  <c:v>-0.27939999999999998</c:v>
                </c:pt>
                <c:pt idx="32">
                  <c:v>-0.27939999999999998</c:v>
                </c:pt>
                <c:pt idx="33">
                  <c:v>#N/A</c:v>
                </c:pt>
                <c:pt idx="34">
                  <c:v>#N/A</c:v>
                </c:pt>
                <c:pt idx="35">
                  <c:v>-0.27939999999999998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'FT36'!$AO$4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'FT36'!$AW$4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'FT36'!$F$6:$F$100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2021/02/26</c:v>
                </c:pt>
              </c:strCache>
            </c:strRef>
          </c:cat>
          <c:val>
            <c:numRef>
              <c:f>'FT36'!$AT$6:$AT$100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442432"/>
        <c:axId val="314445568"/>
      </c:lineChart>
      <c:catAx>
        <c:axId val="314442432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4445568"/>
        <c:crosses val="autoZero"/>
        <c:auto val="0"/>
        <c:lblAlgn val="ctr"/>
        <c:lblOffset val="100"/>
        <c:noMultiLvlLbl val="0"/>
      </c:catAx>
      <c:valAx>
        <c:axId val="314445568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4442432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光束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'FT42'!$W$4:$Z$4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val>
            <c:numRef>
              <c:f>'FT42'!$Z$6:$Z$100</c:f>
              <c:numCache>
                <c:formatCode>0.00%</c:formatCode>
                <c:ptCount val="95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'FT42'!$AA$4:$AD$4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val>
            <c:numRef>
              <c:f>'FT42'!$AD$6:$AD$100</c:f>
              <c:numCache>
                <c:formatCode>0.00%</c:formatCode>
                <c:ptCount val="95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strRef>
              <c:f>'FT42'!$AE$4:$AH$4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val>
            <c:numRef>
              <c:f>'FT42'!$AH$6:$AH$100</c:f>
              <c:numCache>
                <c:formatCode>0.00%</c:formatCode>
                <c:ptCount val="95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strRef>
              <c:f>'FT42'!$AO$4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'FT42'!$AO$6:$AO$100</c:f>
              <c:numCache>
                <c:formatCode>0.00%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'FT42'!$AP$6:$AP$100</c:f>
              <c:numCache>
                <c:formatCode>0.00%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strRef>
              <c:f>'FT42'!$AW$4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'FT42'!$AW$6:$AW$100</c:f>
              <c:numCache>
                <c:formatCode>0.00%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'FT42'!$AX$6:$AX$100</c:f>
              <c:numCache>
                <c:formatCode>0.00%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439296"/>
        <c:axId val="314443216"/>
      </c:lineChart>
      <c:catAx>
        <c:axId val="314439296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4443216"/>
        <c:crosses val="autoZero"/>
        <c:auto val="0"/>
        <c:lblAlgn val="ctr"/>
        <c:lblOffset val="100"/>
        <c:noMultiLvlLbl val="0"/>
      </c:catAx>
      <c:valAx>
        <c:axId val="314443216"/>
        <c:scaling>
          <c:orientation val="minMax"/>
          <c:max val="3.0000000000000006E-2"/>
          <c:min val="-3.0000000000000006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4439296"/>
        <c:crosses val="autoZero"/>
        <c:crossBetween val="between"/>
        <c:majorUnit val="1.0000000000000002E-2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VF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'FT42'!$W$4:$Z$4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val>
            <c:numRef>
              <c:f>'FT42'!$W$6:$W$100</c:f>
              <c:numCache>
                <c:formatCode>0.000</c:formatCode>
                <c:ptCount val="95"/>
                <c:pt idx="0">
                  <c:v>-2.8805200000000002</c:v>
                </c:pt>
                <c:pt idx="1">
                  <c:v>-2.8805200000000002</c:v>
                </c:pt>
                <c:pt idx="2">
                  <c:v>-2.8805200000000002</c:v>
                </c:pt>
                <c:pt idx="3">
                  <c:v>-2.8805200000000002</c:v>
                </c:pt>
                <c:pt idx="4">
                  <c:v>-2.8805200000000002</c:v>
                </c:pt>
                <c:pt idx="5">
                  <c:v>-2.8805200000000002</c:v>
                </c:pt>
                <c:pt idx="6">
                  <c:v>-2.8805200000000002</c:v>
                </c:pt>
                <c:pt idx="7">
                  <c:v>-2.8805200000000002</c:v>
                </c:pt>
                <c:pt idx="8">
                  <c:v>-2.8805200000000002</c:v>
                </c:pt>
                <c:pt idx="9">
                  <c:v>-2.8805200000000002</c:v>
                </c:pt>
                <c:pt idx="10">
                  <c:v>-2.8805200000000002</c:v>
                </c:pt>
                <c:pt idx="11">
                  <c:v>-2.8805200000000002</c:v>
                </c:pt>
                <c:pt idx="12">
                  <c:v>-2.8805200000000002</c:v>
                </c:pt>
                <c:pt idx="13">
                  <c:v>-2.8805200000000002</c:v>
                </c:pt>
                <c:pt idx="14">
                  <c:v>-2.8805200000000002</c:v>
                </c:pt>
                <c:pt idx="15">
                  <c:v>-2.8805200000000002</c:v>
                </c:pt>
                <c:pt idx="16">
                  <c:v>-2.8805200000000002</c:v>
                </c:pt>
                <c:pt idx="17">
                  <c:v>-2.8805200000000002</c:v>
                </c:pt>
                <c:pt idx="18">
                  <c:v>-2.8805200000000002</c:v>
                </c:pt>
                <c:pt idx="19">
                  <c:v>-2.8805200000000002</c:v>
                </c:pt>
                <c:pt idx="20">
                  <c:v>-2.8805200000000002</c:v>
                </c:pt>
                <c:pt idx="21">
                  <c:v>-2.8805200000000002</c:v>
                </c:pt>
                <c:pt idx="22">
                  <c:v>-2.8805200000000002</c:v>
                </c:pt>
                <c:pt idx="23">
                  <c:v>-2.8805200000000002</c:v>
                </c:pt>
                <c:pt idx="24">
                  <c:v>-2.8805200000000002</c:v>
                </c:pt>
                <c:pt idx="25">
                  <c:v>-2.8805200000000002</c:v>
                </c:pt>
                <c:pt idx="26">
                  <c:v>-2.8805200000000002</c:v>
                </c:pt>
                <c:pt idx="27">
                  <c:v>-2.8805200000000002</c:v>
                </c:pt>
                <c:pt idx="28">
                  <c:v>-2.8805200000000002</c:v>
                </c:pt>
                <c:pt idx="29">
                  <c:v>-2.8805200000000002</c:v>
                </c:pt>
                <c:pt idx="30">
                  <c:v>-2.8805200000000002</c:v>
                </c:pt>
                <c:pt idx="31">
                  <c:v>-2.8805200000000002</c:v>
                </c:pt>
                <c:pt idx="32">
                  <c:v>-2.8805200000000002</c:v>
                </c:pt>
                <c:pt idx="33">
                  <c:v>-2.8805200000000002</c:v>
                </c:pt>
                <c:pt idx="34">
                  <c:v>-2.8805200000000002</c:v>
                </c:pt>
                <c:pt idx="35">
                  <c:v>-2.8805200000000002</c:v>
                </c:pt>
                <c:pt idx="36">
                  <c:v>-2.8805200000000002</c:v>
                </c:pt>
                <c:pt idx="37">
                  <c:v>-2.8805200000000002</c:v>
                </c:pt>
                <c:pt idx="38">
                  <c:v>-2.8805200000000002</c:v>
                </c:pt>
                <c:pt idx="39">
                  <c:v>-2.8805200000000002</c:v>
                </c:pt>
                <c:pt idx="40">
                  <c:v>-2.8805200000000002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'FT42'!$F$6:$F$96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'FT42'!$AA$4:$AD$4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val>
            <c:numRef>
              <c:f>'FT42'!$AA$6:$AA$100</c:f>
              <c:numCache>
                <c:formatCode>0.000</c:formatCode>
                <c:ptCount val="95"/>
                <c:pt idx="0">
                  <c:v>-2.8800400000000002</c:v>
                </c:pt>
                <c:pt idx="1">
                  <c:v>-2.8800400000000002</c:v>
                </c:pt>
                <c:pt idx="2">
                  <c:v>-2.8800400000000002</c:v>
                </c:pt>
                <c:pt idx="3">
                  <c:v>-2.8800400000000002</c:v>
                </c:pt>
                <c:pt idx="4">
                  <c:v>-2.8800400000000002</c:v>
                </c:pt>
                <c:pt idx="5">
                  <c:v>-2.8800400000000002</c:v>
                </c:pt>
                <c:pt idx="6">
                  <c:v>-2.8800400000000002</c:v>
                </c:pt>
                <c:pt idx="7">
                  <c:v>-2.8800400000000002</c:v>
                </c:pt>
                <c:pt idx="8">
                  <c:v>-2.8800400000000002</c:v>
                </c:pt>
                <c:pt idx="9">
                  <c:v>-2.8800400000000002</c:v>
                </c:pt>
                <c:pt idx="10">
                  <c:v>-2.8800400000000002</c:v>
                </c:pt>
                <c:pt idx="11">
                  <c:v>-2.8800400000000002</c:v>
                </c:pt>
                <c:pt idx="12">
                  <c:v>-2.8800400000000002</c:v>
                </c:pt>
                <c:pt idx="13">
                  <c:v>-2.8800400000000002</c:v>
                </c:pt>
                <c:pt idx="14">
                  <c:v>-2.8800400000000002</c:v>
                </c:pt>
                <c:pt idx="15">
                  <c:v>-2.8800400000000002</c:v>
                </c:pt>
                <c:pt idx="16">
                  <c:v>-2.8800400000000002</c:v>
                </c:pt>
                <c:pt idx="17">
                  <c:v>-2.8800400000000002</c:v>
                </c:pt>
                <c:pt idx="18">
                  <c:v>-2.8800400000000002</c:v>
                </c:pt>
                <c:pt idx="19">
                  <c:v>-2.8800400000000002</c:v>
                </c:pt>
                <c:pt idx="20">
                  <c:v>-2.8800400000000002</c:v>
                </c:pt>
                <c:pt idx="21">
                  <c:v>-2.8800400000000002</c:v>
                </c:pt>
                <c:pt idx="22">
                  <c:v>-2.8800400000000002</c:v>
                </c:pt>
                <c:pt idx="23">
                  <c:v>-2.8800400000000002</c:v>
                </c:pt>
                <c:pt idx="24">
                  <c:v>-2.8800400000000002</c:v>
                </c:pt>
                <c:pt idx="25">
                  <c:v>-2.8800400000000002</c:v>
                </c:pt>
                <c:pt idx="26">
                  <c:v>-2.8800400000000002</c:v>
                </c:pt>
                <c:pt idx="27">
                  <c:v>-2.8800400000000002</c:v>
                </c:pt>
                <c:pt idx="28">
                  <c:v>-2.8800400000000002</c:v>
                </c:pt>
                <c:pt idx="29">
                  <c:v>-2.8800400000000002</c:v>
                </c:pt>
                <c:pt idx="30">
                  <c:v>-2.8800400000000002</c:v>
                </c:pt>
                <c:pt idx="31">
                  <c:v>-2.8800400000000002</c:v>
                </c:pt>
                <c:pt idx="32">
                  <c:v>-2.8800400000000002</c:v>
                </c:pt>
                <c:pt idx="33">
                  <c:v>-2.8800400000000002</c:v>
                </c:pt>
                <c:pt idx="34">
                  <c:v>-2.8800400000000002</c:v>
                </c:pt>
                <c:pt idx="35">
                  <c:v>-2.8800400000000002</c:v>
                </c:pt>
                <c:pt idx="36">
                  <c:v>-2.8800400000000002</c:v>
                </c:pt>
                <c:pt idx="37">
                  <c:v>-2.8800400000000002</c:v>
                </c:pt>
                <c:pt idx="38">
                  <c:v>-2.8800400000000002</c:v>
                </c:pt>
                <c:pt idx="39">
                  <c:v>-2.8800400000000002</c:v>
                </c:pt>
                <c:pt idx="40">
                  <c:v>-2.8800400000000002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'FT42'!$F$6:$F$96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strRef>
              <c:f>'FT42'!$AE$4:$AH$4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val>
            <c:numRef>
              <c:f>'FT42'!$AE$6:$AE$100</c:f>
              <c:numCache>
                <c:formatCode>0.000</c:formatCode>
                <c:ptCount val="95"/>
                <c:pt idx="0">
                  <c:v>-2.88232</c:v>
                </c:pt>
                <c:pt idx="1">
                  <c:v>-2.88232</c:v>
                </c:pt>
                <c:pt idx="2">
                  <c:v>-2.88232</c:v>
                </c:pt>
                <c:pt idx="3">
                  <c:v>-2.88232</c:v>
                </c:pt>
                <c:pt idx="4">
                  <c:v>-2.88232</c:v>
                </c:pt>
                <c:pt idx="5">
                  <c:v>-2.88232</c:v>
                </c:pt>
                <c:pt idx="6">
                  <c:v>-2.88232</c:v>
                </c:pt>
                <c:pt idx="7">
                  <c:v>-2.88232</c:v>
                </c:pt>
                <c:pt idx="8">
                  <c:v>-2.88232</c:v>
                </c:pt>
                <c:pt idx="9">
                  <c:v>-2.88232</c:v>
                </c:pt>
                <c:pt idx="10">
                  <c:v>-2.88232</c:v>
                </c:pt>
                <c:pt idx="11">
                  <c:v>-2.88232</c:v>
                </c:pt>
                <c:pt idx="12">
                  <c:v>-2.88232</c:v>
                </c:pt>
                <c:pt idx="13">
                  <c:v>-2.88232</c:v>
                </c:pt>
                <c:pt idx="14">
                  <c:v>-2.88232</c:v>
                </c:pt>
                <c:pt idx="15">
                  <c:v>-2.88232</c:v>
                </c:pt>
                <c:pt idx="16">
                  <c:v>-2.88232</c:v>
                </c:pt>
                <c:pt idx="17">
                  <c:v>-2.88232</c:v>
                </c:pt>
                <c:pt idx="18">
                  <c:v>-2.88232</c:v>
                </c:pt>
                <c:pt idx="19">
                  <c:v>-2.88232</c:v>
                </c:pt>
                <c:pt idx="20">
                  <c:v>-2.88232</c:v>
                </c:pt>
                <c:pt idx="21">
                  <c:v>-2.88232</c:v>
                </c:pt>
                <c:pt idx="22">
                  <c:v>-2.88232</c:v>
                </c:pt>
                <c:pt idx="23">
                  <c:v>-2.88232</c:v>
                </c:pt>
                <c:pt idx="24">
                  <c:v>-2.88232</c:v>
                </c:pt>
                <c:pt idx="25">
                  <c:v>-2.88232</c:v>
                </c:pt>
                <c:pt idx="26">
                  <c:v>-2.88232</c:v>
                </c:pt>
                <c:pt idx="27">
                  <c:v>-2.88232</c:v>
                </c:pt>
                <c:pt idx="28">
                  <c:v>-2.88232</c:v>
                </c:pt>
                <c:pt idx="29">
                  <c:v>-2.88232</c:v>
                </c:pt>
                <c:pt idx="30">
                  <c:v>-2.88232</c:v>
                </c:pt>
                <c:pt idx="31">
                  <c:v>-2.88232</c:v>
                </c:pt>
                <c:pt idx="32">
                  <c:v>-2.88232</c:v>
                </c:pt>
                <c:pt idx="33">
                  <c:v>-2.88232</c:v>
                </c:pt>
                <c:pt idx="34">
                  <c:v>-2.88232</c:v>
                </c:pt>
                <c:pt idx="35">
                  <c:v>-2.88232</c:v>
                </c:pt>
                <c:pt idx="36">
                  <c:v>-2.88232</c:v>
                </c:pt>
                <c:pt idx="37">
                  <c:v>-2.88232</c:v>
                </c:pt>
                <c:pt idx="38">
                  <c:v>-2.88232</c:v>
                </c:pt>
                <c:pt idx="39">
                  <c:v>-2.88232</c:v>
                </c:pt>
                <c:pt idx="40">
                  <c:v>-2.88232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'FT42'!$F$6:$F$96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strRef>
              <c:f>'FT42'!$AO$4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'FT42'!$AI$6:$AI$100</c:f>
              <c:numCache>
                <c:formatCode>General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'FT42'!$F$6:$F$96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'FT42'!$AJ$6:$AJ$100</c:f>
              <c:numCache>
                <c:formatCode>General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'FT42'!$F$6:$F$96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strRef>
              <c:f>'FT42'!$AW$4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'FT42'!$AQ$6:$AQ$100</c:f>
              <c:numCache>
                <c:formatCode>General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'FT42'!$F$6:$F$96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'FT42'!$AR$6:$AR$100</c:f>
              <c:numCache>
                <c:formatCode>General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'FT42'!$F$6:$F$96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061480"/>
        <c:axId val="315065400"/>
      </c:lineChart>
      <c:catAx>
        <c:axId val="315061480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5065400"/>
        <c:crosses val="autoZero"/>
        <c:auto val="0"/>
        <c:lblAlgn val="ctr"/>
        <c:lblOffset val="100"/>
        <c:noMultiLvlLbl val="0"/>
      </c:catAx>
      <c:valAx>
        <c:axId val="315065400"/>
        <c:scaling>
          <c:orientation val="minMax"/>
        </c:scaling>
        <c:delete val="0"/>
        <c:axPos val="l"/>
        <c:numFmt formatCode="#,##0.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506148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X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'FT42'!$W$4:$Z$4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val>
            <c:numRef>
              <c:f>'FT42'!$X$6:$X$100</c:f>
              <c:numCache>
                <c:formatCode>0.0000</c:formatCode>
                <c:ptCount val="95"/>
                <c:pt idx="0">
                  <c:v>-0.34182200000000001</c:v>
                </c:pt>
                <c:pt idx="1">
                  <c:v>-0.34182200000000001</c:v>
                </c:pt>
                <c:pt idx="2">
                  <c:v>-0.34182200000000001</c:v>
                </c:pt>
                <c:pt idx="3">
                  <c:v>-0.34182200000000001</c:v>
                </c:pt>
                <c:pt idx="4">
                  <c:v>-0.34182200000000001</c:v>
                </c:pt>
                <c:pt idx="5">
                  <c:v>-0.34182200000000001</c:v>
                </c:pt>
                <c:pt idx="6">
                  <c:v>-0.34182200000000001</c:v>
                </c:pt>
                <c:pt idx="7">
                  <c:v>-0.34182200000000001</c:v>
                </c:pt>
                <c:pt idx="8">
                  <c:v>-0.34182200000000001</c:v>
                </c:pt>
                <c:pt idx="9">
                  <c:v>-0.34182200000000001</c:v>
                </c:pt>
                <c:pt idx="10">
                  <c:v>-0.34182200000000001</c:v>
                </c:pt>
                <c:pt idx="11">
                  <c:v>-0.34182200000000001</c:v>
                </c:pt>
                <c:pt idx="12">
                  <c:v>-0.34182200000000001</c:v>
                </c:pt>
                <c:pt idx="13">
                  <c:v>-0.34182200000000001</c:v>
                </c:pt>
                <c:pt idx="14">
                  <c:v>-0.34182200000000001</c:v>
                </c:pt>
                <c:pt idx="15">
                  <c:v>-0.34182200000000001</c:v>
                </c:pt>
                <c:pt idx="16">
                  <c:v>-0.34182200000000001</c:v>
                </c:pt>
                <c:pt idx="17">
                  <c:v>-0.34182200000000001</c:v>
                </c:pt>
                <c:pt idx="18">
                  <c:v>-0.34182200000000001</c:v>
                </c:pt>
                <c:pt idx="19">
                  <c:v>-0.34182200000000001</c:v>
                </c:pt>
                <c:pt idx="20">
                  <c:v>-0.34182200000000001</c:v>
                </c:pt>
                <c:pt idx="21">
                  <c:v>-0.34182200000000001</c:v>
                </c:pt>
                <c:pt idx="22">
                  <c:v>-0.34182200000000001</c:v>
                </c:pt>
                <c:pt idx="23">
                  <c:v>-0.34182200000000001</c:v>
                </c:pt>
                <c:pt idx="24">
                  <c:v>-0.34182200000000001</c:v>
                </c:pt>
                <c:pt idx="25">
                  <c:v>-0.34182200000000001</c:v>
                </c:pt>
                <c:pt idx="26">
                  <c:v>-0.34182200000000001</c:v>
                </c:pt>
                <c:pt idx="27">
                  <c:v>-0.34182200000000001</c:v>
                </c:pt>
                <c:pt idx="28">
                  <c:v>-0.34182200000000001</c:v>
                </c:pt>
                <c:pt idx="29">
                  <c:v>-0.34182200000000001</c:v>
                </c:pt>
                <c:pt idx="30">
                  <c:v>-0.34182200000000001</c:v>
                </c:pt>
                <c:pt idx="31">
                  <c:v>-0.34182200000000001</c:v>
                </c:pt>
                <c:pt idx="32">
                  <c:v>-0.34182200000000001</c:v>
                </c:pt>
                <c:pt idx="33">
                  <c:v>-0.34182200000000001</c:v>
                </c:pt>
                <c:pt idx="34">
                  <c:v>-0.34182200000000001</c:v>
                </c:pt>
                <c:pt idx="35">
                  <c:v>-0.34182200000000001</c:v>
                </c:pt>
                <c:pt idx="36">
                  <c:v>-0.34182200000000001</c:v>
                </c:pt>
                <c:pt idx="37">
                  <c:v>-0.34182200000000001</c:v>
                </c:pt>
                <c:pt idx="38">
                  <c:v>-0.34182200000000001</c:v>
                </c:pt>
                <c:pt idx="39">
                  <c:v>-0.34182200000000001</c:v>
                </c:pt>
                <c:pt idx="40">
                  <c:v>-0.34182200000000001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'FT42'!$AA$4:$AD$4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val>
            <c:numRef>
              <c:f>'FT42'!$AB$6:$AB$100</c:f>
              <c:numCache>
                <c:formatCode>0.0000</c:formatCode>
                <c:ptCount val="95"/>
                <c:pt idx="0">
                  <c:v>-0.34086899999999998</c:v>
                </c:pt>
                <c:pt idx="1">
                  <c:v>-0.34086899999999998</c:v>
                </c:pt>
                <c:pt idx="2">
                  <c:v>-0.34086899999999998</c:v>
                </c:pt>
                <c:pt idx="3">
                  <c:v>-0.34086899999999998</c:v>
                </c:pt>
                <c:pt idx="4">
                  <c:v>-0.34086899999999998</c:v>
                </c:pt>
                <c:pt idx="5">
                  <c:v>-0.34086899999999998</c:v>
                </c:pt>
                <c:pt idx="6">
                  <c:v>-0.34086899999999998</c:v>
                </c:pt>
                <c:pt idx="7">
                  <c:v>-0.34086899999999998</c:v>
                </c:pt>
                <c:pt idx="8">
                  <c:v>-0.34086899999999998</c:v>
                </c:pt>
                <c:pt idx="9">
                  <c:v>-0.34086899999999998</c:v>
                </c:pt>
                <c:pt idx="10">
                  <c:v>-0.34086899999999998</c:v>
                </c:pt>
                <c:pt idx="11">
                  <c:v>-0.34086899999999998</c:v>
                </c:pt>
                <c:pt idx="12">
                  <c:v>-0.34086899999999998</c:v>
                </c:pt>
                <c:pt idx="13">
                  <c:v>-0.34086899999999998</c:v>
                </c:pt>
                <c:pt idx="14">
                  <c:v>-0.34086899999999998</c:v>
                </c:pt>
                <c:pt idx="15">
                  <c:v>-0.34086899999999998</c:v>
                </c:pt>
                <c:pt idx="16">
                  <c:v>-0.34086899999999998</c:v>
                </c:pt>
                <c:pt idx="17">
                  <c:v>-0.34086899999999998</c:v>
                </c:pt>
                <c:pt idx="18">
                  <c:v>-0.34086899999999998</c:v>
                </c:pt>
                <c:pt idx="19">
                  <c:v>-0.34086899999999998</c:v>
                </c:pt>
                <c:pt idx="20">
                  <c:v>-0.34086899999999998</c:v>
                </c:pt>
                <c:pt idx="21">
                  <c:v>-0.34086899999999998</c:v>
                </c:pt>
                <c:pt idx="22">
                  <c:v>-0.34086899999999998</c:v>
                </c:pt>
                <c:pt idx="23">
                  <c:v>-0.34086899999999998</c:v>
                </c:pt>
                <c:pt idx="24">
                  <c:v>-0.34086899999999998</c:v>
                </c:pt>
                <c:pt idx="25">
                  <c:v>-0.34086899999999998</c:v>
                </c:pt>
                <c:pt idx="26">
                  <c:v>-0.34086899999999998</c:v>
                </c:pt>
                <c:pt idx="27">
                  <c:v>-0.34086899999999998</c:v>
                </c:pt>
                <c:pt idx="28">
                  <c:v>-0.34086899999999998</c:v>
                </c:pt>
                <c:pt idx="29">
                  <c:v>-0.34086899999999998</c:v>
                </c:pt>
                <c:pt idx="30">
                  <c:v>-0.34086899999999998</c:v>
                </c:pt>
                <c:pt idx="31">
                  <c:v>-0.34086899999999998</c:v>
                </c:pt>
                <c:pt idx="32">
                  <c:v>-0.34086899999999998</c:v>
                </c:pt>
                <c:pt idx="33">
                  <c:v>-0.34086899999999998</c:v>
                </c:pt>
                <c:pt idx="34">
                  <c:v>-0.34086899999999998</c:v>
                </c:pt>
                <c:pt idx="35">
                  <c:v>-0.34086899999999998</c:v>
                </c:pt>
                <c:pt idx="36">
                  <c:v>-0.34086899999999998</c:v>
                </c:pt>
                <c:pt idx="37">
                  <c:v>-0.34086899999999998</c:v>
                </c:pt>
                <c:pt idx="38">
                  <c:v>-0.34086899999999998</c:v>
                </c:pt>
                <c:pt idx="39">
                  <c:v>-0.34086899999999998</c:v>
                </c:pt>
                <c:pt idx="40">
                  <c:v>-0.34086899999999998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strRef>
              <c:f>'FT42'!$AE$4:$AH$4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val>
            <c:numRef>
              <c:f>'FT42'!$AF$6:$AF$100</c:f>
              <c:numCache>
                <c:formatCode>0.0000</c:formatCode>
                <c:ptCount val="95"/>
                <c:pt idx="0">
                  <c:v>-0.34007399999999999</c:v>
                </c:pt>
                <c:pt idx="1">
                  <c:v>-0.34007399999999999</c:v>
                </c:pt>
                <c:pt idx="2">
                  <c:v>-0.34007399999999999</c:v>
                </c:pt>
                <c:pt idx="3">
                  <c:v>-0.34007399999999999</c:v>
                </c:pt>
                <c:pt idx="4">
                  <c:v>-0.34007399999999999</c:v>
                </c:pt>
                <c:pt idx="5">
                  <c:v>-0.34007399999999999</c:v>
                </c:pt>
                <c:pt idx="6">
                  <c:v>-0.34007399999999999</c:v>
                </c:pt>
                <c:pt idx="7">
                  <c:v>-0.34007399999999999</c:v>
                </c:pt>
                <c:pt idx="8">
                  <c:v>-0.34007399999999999</c:v>
                </c:pt>
                <c:pt idx="9">
                  <c:v>-0.34007399999999999</c:v>
                </c:pt>
                <c:pt idx="10">
                  <c:v>-0.34007399999999999</c:v>
                </c:pt>
                <c:pt idx="11">
                  <c:v>-0.34007399999999999</c:v>
                </c:pt>
                <c:pt idx="12">
                  <c:v>-0.34007399999999999</c:v>
                </c:pt>
                <c:pt idx="13">
                  <c:v>-0.34007399999999999</c:v>
                </c:pt>
                <c:pt idx="14">
                  <c:v>-0.34007399999999999</c:v>
                </c:pt>
                <c:pt idx="15">
                  <c:v>-0.34007399999999999</c:v>
                </c:pt>
                <c:pt idx="16">
                  <c:v>-0.34007399999999999</c:v>
                </c:pt>
                <c:pt idx="17">
                  <c:v>-0.34007399999999999</c:v>
                </c:pt>
                <c:pt idx="18">
                  <c:v>-0.34007399999999999</c:v>
                </c:pt>
                <c:pt idx="19">
                  <c:v>-0.34007399999999999</c:v>
                </c:pt>
                <c:pt idx="20">
                  <c:v>-0.34007399999999999</c:v>
                </c:pt>
                <c:pt idx="21">
                  <c:v>-0.34007399999999999</c:v>
                </c:pt>
                <c:pt idx="22">
                  <c:v>-0.34007399999999999</c:v>
                </c:pt>
                <c:pt idx="23">
                  <c:v>-0.34007399999999999</c:v>
                </c:pt>
                <c:pt idx="24">
                  <c:v>-0.34007399999999999</c:v>
                </c:pt>
                <c:pt idx="25">
                  <c:v>-0.34007399999999999</c:v>
                </c:pt>
                <c:pt idx="26">
                  <c:v>-0.34007399999999999</c:v>
                </c:pt>
                <c:pt idx="27">
                  <c:v>-0.34007399999999999</c:v>
                </c:pt>
                <c:pt idx="28">
                  <c:v>-0.34007399999999999</c:v>
                </c:pt>
                <c:pt idx="29">
                  <c:v>-0.34007399999999999</c:v>
                </c:pt>
                <c:pt idx="30">
                  <c:v>-0.34007399999999999</c:v>
                </c:pt>
                <c:pt idx="31">
                  <c:v>-0.34007399999999999</c:v>
                </c:pt>
                <c:pt idx="32">
                  <c:v>-0.34007399999999999</c:v>
                </c:pt>
                <c:pt idx="33">
                  <c:v>-0.34007399999999999</c:v>
                </c:pt>
                <c:pt idx="34">
                  <c:v>-0.34007399999999999</c:v>
                </c:pt>
                <c:pt idx="35">
                  <c:v>-0.34007399999999999</c:v>
                </c:pt>
                <c:pt idx="36">
                  <c:v>-0.34007399999999999</c:v>
                </c:pt>
                <c:pt idx="37">
                  <c:v>-0.34007399999999999</c:v>
                </c:pt>
                <c:pt idx="38">
                  <c:v>-0.34007399999999999</c:v>
                </c:pt>
                <c:pt idx="39">
                  <c:v>-0.34007399999999999</c:v>
                </c:pt>
                <c:pt idx="40">
                  <c:v>-0.34007399999999999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strRef>
              <c:f>'FT42'!$AO$4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strRef>
              <c:f>'FT42'!$AW$4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060304"/>
        <c:axId val="315059128"/>
      </c:lineChart>
      <c:catAx>
        <c:axId val="315060304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5059128"/>
        <c:crosses val="autoZero"/>
        <c:auto val="0"/>
        <c:lblAlgn val="ctr"/>
        <c:lblOffset val="100"/>
        <c:noMultiLvlLbl val="0"/>
      </c:catAx>
      <c:valAx>
        <c:axId val="315059128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5060304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y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'FT42'!$W$4:$Z$4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val>
            <c:numRef>
              <c:f>'FT42'!$Y$6:$Y$100</c:f>
              <c:numCache>
                <c:formatCode>0.0000</c:formatCode>
                <c:ptCount val="95"/>
                <c:pt idx="0">
                  <c:v>-0.35528599999999999</c:v>
                </c:pt>
                <c:pt idx="1">
                  <c:v>-0.35528599999999999</c:v>
                </c:pt>
                <c:pt idx="2">
                  <c:v>-0.35528599999999999</c:v>
                </c:pt>
                <c:pt idx="3">
                  <c:v>-0.35528599999999999</c:v>
                </c:pt>
                <c:pt idx="4">
                  <c:v>-0.35528599999999999</c:v>
                </c:pt>
                <c:pt idx="5">
                  <c:v>-0.35528599999999999</c:v>
                </c:pt>
                <c:pt idx="6">
                  <c:v>-0.35528599999999999</c:v>
                </c:pt>
                <c:pt idx="7">
                  <c:v>-0.35528599999999999</c:v>
                </c:pt>
                <c:pt idx="8">
                  <c:v>-0.35528599999999999</c:v>
                </c:pt>
                <c:pt idx="9">
                  <c:v>-0.35528599999999999</c:v>
                </c:pt>
                <c:pt idx="10">
                  <c:v>-0.35528599999999999</c:v>
                </c:pt>
                <c:pt idx="11">
                  <c:v>-0.35528599999999999</c:v>
                </c:pt>
                <c:pt idx="12">
                  <c:v>-0.35528599999999999</c:v>
                </c:pt>
                <c:pt idx="13">
                  <c:v>-0.35528599999999999</c:v>
                </c:pt>
                <c:pt idx="14">
                  <c:v>-0.35528599999999999</c:v>
                </c:pt>
                <c:pt idx="15">
                  <c:v>-0.35528599999999999</c:v>
                </c:pt>
                <c:pt idx="16">
                  <c:v>-0.35528599999999999</c:v>
                </c:pt>
                <c:pt idx="17">
                  <c:v>-0.35528599999999999</c:v>
                </c:pt>
                <c:pt idx="18">
                  <c:v>-0.35528599999999999</c:v>
                </c:pt>
                <c:pt idx="19">
                  <c:v>-0.35528599999999999</c:v>
                </c:pt>
                <c:pt idx="20">
                  <c:v>-0.35528599999999999</c:v>
                </c:pt>
                <c:pt idx="21">
                  <c:v>-0.35528599999999999</c:v>
                </c:pt>
                <c:pt idx="22">
                  <c:v>-0.35528599999999999</c:v>
                </c:pt>
                <c:pt idx="23">
                  <c:v>-0.35528599999999999</c:v>
                </c:pt>
                <c:pt idx="24">
                  <c:v>-0.35528599999999999</c:v>
                </c:pt>
                <c:pt idx="25">
                  <c:v>-0.35528599999999999</c:v>
                </c:pt>
                <c:pt idx="26">
                  <c:v>-0.35528599999999999</c:v>
                </c:pt>
                <c:pt idx="27">
                  <c:v>-0.35528599999999999</c:v>
                </c:pt>
                <c:pt idx="28">
                  <c:v>-0.35528599999999999</c:v>
                </c:pt>
                <c:pt idx="29">
                  <c:v>-0.35528599999999999</c:v>
                </c:pt>
                <c:pt idx="30">
                  <c:v>-0.35528599999999999</c:v>
                </c:pt>
                <c:pt idx="31">
                  <c:v>-0.35528599999999999</c:v>
                </c:pt>
                <c:pt idx="32">
                  <c:v>-0.35528599999999999</c:v>
                </c:pt>
                <c:pt idx="33">
                  <c:v>-0.35528599999999999</c:v>
                </c:pt>
                <c:pt idx="34">
                  <c:v>-0.35528599999999999</c:v>
                </c:pt>
                <c:pt idx="35">
                  <c:v>-0.35528599999999999</c:v>
                </c:pt>
                <c:pt idx="36">
                  <c:v>-0.35528599999999999</c:v>
                </c:pt>
                <c:pt idx="37">
                  <c:v>-0.35528599999999999</c:v>
                </c:pt>
                <c:pt idx="38">
                  <c:v>-0.35528599999999999</c:v>
                </c:pt>
                <c:pt idx="39">
                  <c:v>-0.35528599999999999</c:v>
                </c:pt>
                <c:pt idx="40">
                  <c:v>-0.35528599999999999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'FT42'!$AA$4:$AD$4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val>
            <c:numRef>
              <c:f>'FT42'!$AC$6:$AC$100</c:f>
              <c:numCache>
                <c:formatCode>0.0000</c:formatCode>
                <c:ptCount val="95"/>
                <c:pt idx="0">
                  <c:v>-0.35403600000000002</c:v>
                </c:pt>
                <c:pt idx="1">
                  <c:v>-0.35403600000000002</c:v>
                </c:pt>
                <c:pt idx="2">
                  <c:v>-0.35403600000000002</c:v>
                </c:pt>
                <c:pt idx="3">
                  <c:v>-0.35403600000000002</c:v>
                </c:pt>
                <c:pt idx="4">
                  <c:v>-0.35403600000000002</c:v>
                </c:pt>
                <c:pt idx="5">
                  <c:v>-0.35403600000000002</c:v>
                </c:pt>
                <c:pt idx="6">
                  <c:v>-0.35403600000000002</c:v>
                </c:pt>
                <c:pt idx="7">
                  <c:v>-0.35403600000000002</c:v>
                </c:pt>
                <c:pt idx="8">
                  <c:v>-0.35403600000000002</c:v>
                </c:pt>
                <c:pt idx="9">
                  <c:v>-0.35403600000000002</c:v>
                </c:pt>
                <c:pt idx="10">
                  <c:v>-0.35403600000000002</c:v>
                </c:pt>
                <c:pt idx="11">
                  <c:v>-0.35403600000000002</c:v>
                </c:pt>
                <c:pt idx="12">
                  <c:v>-0.35403600000000002</c:v>
                </c:pt>
                <c:pt idx="13">
                  <c:v>-0.35403600000000002</c:v>
                </c:pt>
                <c:pt idx="14">
                  <c:v>-0.35403600000000002</c:v>
                </c:pt>
                <c:pt idx="15">
                  <c:v>-0.35403600000000002</c:v>
                </c:pt>
                <c:pt idx="16">
                  <c:v>-0.35403600000000002</c:v>
                </c:pt>
                <c:pt idx="17">
                  <c:v>-0.35403600000000002</c:v>
                </c:pt>
                <c:pt idx="18">
                  <c:v>-0.35403600000000002</c:v>
                </c:pt>
                <c:pt idx="19">
                  <c:v>-0.35403600000000002</c:v>
                </c:pt>
                <c:pt idx="20">
                  <c:v>-0.35403600000000002</c:v>
                </c:pt>
                <c:pt idx="21">
                  <c:v>-0.35403600000000002</c:v>
                </c:pt>
                <c:pt idx="22">
                  <c:v>-0.35403600000000002</c:v>
                </c:pt>
                <c:pt idx="23">
                  <c:v>-0.35403600000000002</c:v>
                </c:pt>
                <c:pt idx="24">
                  <c:v>-0.35403600000000002</c:v>
                </c:pt>
                <c:pt idx="25">
                  <c:v>-0.35403600000000002</c:v>
                </c:pt>
                <c:pt idx="26">
                  <c:v>-0.35403600000000002</c:v>
                </c:pt>
                <c:pt idx="27">
                  <c:v>-0.35403600000000002</c:v>
                </c:pt>
                <c:pt idx="28">
                  <c:v>-0.35403600000000002</c:v>
                </c:pt>
                <c:pt idx="29">
                  <c:v>-0.35403600000000002</c:v>
                </c:pt>
                <c:pt idx="30">
                  <c:v>-0.35403600000000002</c:v>
                </c:pt>
                <c:pt idx="31">
                  <c:v>-0.35403600000000002</c:v>
                </c:pt>
                <c:pt idx="32">
                  <c:v>-0.35403600000000002</c:v>
                </c:pt>
                <c:pt idx="33">
                  <c:v>-0.35403600000000002</c:v>
                </c:pt>
                <c:pt idx="34">
                  <c:v>-0.35403600000000002</c:v>
                </c:pt>
                <c:pt idx="35">
                  <c:v>-0.35403600000000002</c:v>
                </c:pt>
                <c:pt idx="36">
                  <c:v>-0.35403600000000002</c:v>
                </c:pt>
                <c:pt idx="37">
                  <c:v>-0.35403600000000002</c:v>
                </c:pt>
                <c:pt idx="38">
                  <c:v>-0.35403600000000002</c:v>
                </c:pt>
                <c:pt idx="39">
                  <c:v>-0.35403600000000002</c:v>
                </c:pt>
                <c:pt idx="40">
                  <c:v>-0.35403600000000002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strRef>
              <c:f>'FT42'!$AE$4:$AH$4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val>
            <c:numRef>
              <c:f>'FT42'!$AG$6:$AG$100</c:f>
              <c:numCache>
                <c:formatCode>0.0000</c:formatCode>
                <c:ptCount val="95"/>
                <c:pt idx="0">
                  <c:v>-0.35493599999999997</c:v>
                </c:pt>
                <c:pt idx="1">
                  <c:v>-0.35493599999999997</c:v>
                </c:pt>
                <c:pt idx="2">
                  <c:v>-0.35493599999999997</c:v>
                </c:pt>
                <c:pt idx="3">
                  <c:v>-0.35493599999999997</c:v>
                </c:pt>
                <c:pt idx="4">
                  <c:v>-0.35493599999999997</c:v>
                </c:pt>
                <c:pt idx="5">
                  <c:v>-0.35493599999999997</c:v>
                </c:pt>
                <c:pt idx="6">
                  <c:v>-0.35493599999999997</c:v>
                </c:pt>
                <c:pt idx="7">
                  <c:v>-0.35493599999999997</c:v>
                </c:pt>
                <c:pt idx="8">
                  <c:v>-0.35493599999999997</c:v>
                </c:pt>
                <c:pt idx="9">
                  <c:v>-0.35493599999999997</c:v>
                </c:pt>
                <c:pt idx="10">
                  <c:v>-0.35493599999999997</c:v>
                </c:pt>
                <c:pt idx="11">
                  <c:v>-0.35493599999999997</c:v>
                </c:pt>
                <c:pt idx="12">
                  <c:v>-0.35493599999999997</c:v>
                </c:pt>
                <c:pt idx="13">
                  <c:v>-0.35493599999999997</c:v>
                </c:pt>
                <c:pt idx="14">
                  <c:v>-0.35493599999999997</c:v>
                </c:pt>
                <c:pt idx="15">
                  <c:v>-0.35493599999999997</c:v>
                </c:pt>
                <c:pt idx="16">
                  <c:v>-0.35493599999999997</c:v>
                </c:pt>
                <c:pt idx="17">
                  <c:v>-0.35493599999999997</c:v>
                </c:pt>
                <c:pt idx="18">
                  <c:v>-0.35493599999999997</c:v>
                </c:pt>
                <c:pt idx="19">
                  <c:v>-0.35493599999999997</c:v>
                </c:pt>
                <c:pt idx="20">
                  <c:v>-0.35493599999999997</c:v>
                </c:pt>
                <c:pt idx="21">
                  <c:v>-0.35493599999999997</c:v>
                </c:pt>
                <c:pt idx="22">
                  <c:v>-0.35493599999999997</c:v>
                </c:pt>
                <c:pt idx="23">
                  <c:v>-0.35493599999999997</c:v>
                </c:pt>
                <c:pt idx="24">
                  <c:v>-0.35493599999999997</c:v>
                </c:pt>
                <c:pt idx="25">
                  <c:v>-0.35493599999999997</c:v>
                </c:pt>
                <c:pt idx="26">
                  <c:v>-0.35493599999999997</c:v>
                </c:pt>
                <c:pt idx="27">
                  <c:v>-0.35493599999999997</c:v>
                </c:pt>
                <c:pt idx="28">
                  <c:v>-0.35493599999999997</c:v>
                </c:pt>
                <c:pt idx="29">
                  <c:v>-0.35493599999999997</c:v>
                </c:pt>
                <c:pt idx="30">
                  <c:v>-0.35493599999999997</c:v>
                </c:pt>
                <c:pt idx="31">
                  <c:v>-0.35493599999999997</c:v>
                </c:pt>
                <c:pt idx="32">
                  <c:v>-0.35493599999999997</c:v>
                </c:pt>
                <c:pt idx="33">
                  <c:v>-0.35493599999999997</c:v>
                </c:pt>
                <c:pt idx="34">
                  <c:v>-0.35493599999999997</c:v>
                </c:pt>
                <c:pt idx="35">
                  <c:v>-0.35493599999999997</c:v>
                </c:pt>
                <c:pt idx="36">
                  <c:v>-0.35493599999999997</c:v>
                </c:pt>
                <c:pt idx="37">
                  <c:v>-0.35493599999999997</c:v>
                </c:pt>
                <c:pt idx="38">
                  <c:v>-0.35493599999999997</c:v>
                </c:pt>
                <c:pt idx="39">
                  <c:v>-0.35493599999999997</c:v>
                </c:pt>
                <c:pt idx="40">
                  <c:v>-0.35493599999999997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strRef>
              <c:f>'FT42'!$AO$4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strRef>
              <c:f>'FT42'!$AW$4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val>
            <c:numRef>
              <c:f>'FT42'!$AT$6:$AT$100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'FT42'!$F$6:$F$100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555864"/>
        <c:axId val="315555080"/>
      </c:lineChart>
      <c:catAx>
        <c:axId val="315555864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5555080"/>
        <c:crosses val="autoZero"/>
        <c:auto val="0"/>
        <c:lblAlgn val="ctr"/>
        <c:lblOffset val="100"/>
        <c:noMultiLvlLbl val="0"/>
      </c:catAx>
      <c:valAx>
        <c:axId val="315555080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5555864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光束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'FT43'!$W$4:$Z$4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'FT43'!$Z$6:$Z$100</c:f>
              <c:numCache>
                <c:formatCode>0.00%</c:formatCode>
                <c:ptCount val="95"/>
                <c:pt idx="0">
                  <c:v>-2.6776784138377363E-2</c:v>
                </c:pt>
                <c:pt idx="1">
                  <c:v>-1.3244984409013338E-2</c:v>
                </c:pt>
                <c:pt idx="2">
                  <c:v>-1.559834088368528E-2</c:v>
                </c:pt>
                <c:pt idx="3">
                  <c:v>-2.0268282638112645E-2</c:v>
                </c:pt>
                <c:pt idx="4">
                  <c:v>-1.6922103900688379E-2</c:v>
                </c:pt>
                <c:pt idx="5">
                  <c:v>-1.8319409307524848E-2</c:v>
                </c:pt>
                <c:pt idx="6">
                  <c:v>-1.8981290816026397E-2</c:v>
                </c:pt>
                <c:pt idx="7">
                  <c:v>-1.7878154968523852E-2</c:v>
                </c:pt>
                <c:pt idx="8">
                  <c:v>-2.0231511443195904E-2</c:v>
                </c:pt>
                <c:pt idx="9">
                  <c:v>-1.923868918044358E-2</c:v>
                </c:pt>
                <c:pt idx="10">
                  <c:v>-1.8650350061775622E-2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'FT43'!$AA$4:$AD$4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'FT43'!$AD$6:$AD$100</c:f>
              <c:numCache>
                <c:formatCode>0.00%</c:formatCode>
                <c:ptCount val="95"/>
                <c:pt idx="0">
                  <c:v>3.1618772101338344E-4</c:v>
                </c:pt>
                <c:pt idx="1">
                  <c:v>1.6961472344477313E-2</c:v>
                </c:pt>
                <c:pt idx="2">
                  <c:v>1.5289675198889352E-2</c:v>
                </c:pt>
                <c:pt idx="3">
                  <c:v>1.2091454572546789E-2</c:v>
                </c:pt>
                <c:pt idx="4">
                  <c:v>1.5071614701638758E-2</c:v>
                </c:pt>
                <c:pt idx="5">
                  <c:v>8.9295773624129549E-3</c:v>
                </c:pt>
                <c:pt idx="6">
                  <c:v>1.4780867371971151E-2</c:v>
                </c:pt>
                <c:pt idx="7">
                  <c:v>1.2636605815673496E-2</c:v>
                </c:pt>
                <c:pt idx="8">
                  <c:v>1.1037495502502326E-2</c:v>
                </c:pt>
                <c:pt idx="9">
                  <c:v>1.0419657426958828E-2</c:v>
                </c:pt>
                <c:pt idx="10">
                  <c:v>1.1655333578045601E-2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'FT43'!$AE$4:$AH$4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'FT43'!$AH$6:$AH$100</c:f>
              <c:numCache>
                <c:formatCode>0.00%</c:formatCode>
                <c:ptCount val="95"/>
                <c:pt idx="0">
                  <c:v>-3.248424731533639E-3</c:v>
                </c:pt>
                <c:pt idx="1">
                  <c:v>1.0673395546467734E-2</c:v>
                </c:pt>
                <c:pt idx="2">
                  <c:v>8.9694227520247249E-3</c:v>
                </c:pt>
                <c:pt idx="3">
                  <c:v>5.8152603452901186E-3</c:v>
                </c:pt>
                <c:pt idx="4">
                  <c:v>8.4981111280300059E-3</c:v>
                </c:pt>
                <c:pt idx="5">
                  <c:v>4.7276181360713654E-3</c:v>
                </c:pt>
                <c:pt idx="6">
                  <c:v>7.9542900234206293E-3</c:v>
                </c:pt>
                <c:pt idx="7">
                  <c:v>3.0599000819357958E-3</c:v>
                </c:pt>
                <c:pt idx="8">
                  <c:v>3.8937591090035806E-3</c:v>
                </c:pt>
                <c:pt idx="9">
                  <c:v>4.945146577915116E-3</c:v>
                </c:pt>
                <c:pt idx="10">
                  <c:v>6.2865719692850597E-3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'FT43'!$AO$4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'FT43'!$AO$6:$AO$100</c:f>
              <c:numCache>
                <c:formatCode>0.00%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'FT43'!$AP$6:$AP$100</c:f>
              <c:numCache>
                <c:formatCode>0.00%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'FT43'!$AW$4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'FT43'!$AW$6:$AW$100</c:f>
              <c:numCache>
                <c:formatCode>0.00%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'FT43'!$AX$6:$AX$100</c:f>
              <c:numCache>
                <c:formatCode>0.00%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554688"/>
        <c:axId val="315550376"/>
      </c:lineChart>
      <c:catAx>
        <c:axId val="315554688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5550376"/>
        <c:crosses val="autoZero"/>
        <c:auto val="0"/>
        <c:lblAlgn val="ctr"/>
        <c:lblOffset val="100"/>
        <c:noMultiLvlLbl val="0"/>
      </c:catAx>
      <c:valAx>
        <c:axId val="315550376"/>
        <c:scaling>
          <c:orientation val="minMax"/>
          <c:max val="3.0000000000000006E-2"/>
          <c:min val="-3.0000000000000006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5554688"/>
        <c:crosses val="autoZero"/>
        <c:crossBetween val="between"/>
        <c:majorUnit val="1.0000000000000002E-2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VF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'FT43'!$W$4:$Z$4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'FT43'!$F$6:$F$96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'FT43'!$W$6:$W$100</c:f>
              <c:numCache>
                <c:formatCode>0.000</c:formatCode>
                <c:ptCount val="95"/>
                <c:pt idx="0">
                  <c:v>-1.5359999999999818E-2</c:v>
                </c:pt>
                <c:pt idx="1">
                  <c:v>-1.3360000000000039E-2</c:v>
                </c:pt>
                <c:pt idx="2">
                  <c:v>-1.0359999999999925E-2</c:v>
                </c:pt>
                <c:pt idx="3">
                  <c:v>-1.5359999999999818E-2</c:v>
                </c:pt>
                <c:pt idx="4">
                  <c:v>-9.360000000000035E-3</c:v>
                </c:pt>
                <c:pt idx="5">
                  <c:v>-1.3360000000000039E-2</c:v>
                </c:pt>
                <c:pt idx="6">
                  <c:v>-1.4359999999999928E-2</c:v>
                </c:pt>
                <c:pt idx="7">
                  <c:v>-1.5359999999999818E-2</c:v>
                </c:pt>
                <c:pt idx="8">
                  <c:v>-1.9359999999999822E-2</c:v>
                </c:pt>
                <c:pt idx="9">
                  <c:v>-1.8359999999999932E-2</c:v>
                </c:pt>
                <c:pt idx="10">
                  <c:v>-1.5359999999999818E-2</c:v>
                </c:pt>
                <c:pt idx="11">
                  <c:v>-3.1193599999999999</c:v>
                </c:pt>
                <c:pt idx="12">
                  <c:v>-3.1193599999999999</c:v>
                </c:pt>
                <c:pt idx="13">
                  <c:v>-3.1193599999999999</c:v>
                </c:pt>
                <c:pt idx="14">
                  <c:v>-3.1193599999999999</c:v>
                </c:pt>
                <c:pt idx="15">
                  <c:v>-3.1193599999999999</c:v>
                </c:pt>
                <c:pt idx="16">
                  <c:v>-3.1193599999999999</c:v>
                </c:pt>
                <c:pt idx="17">
                  <c:v>-3.1193599999999999</c:v>
                </c:pt>
                <c:pt idx="18">
                  <c:v>-3.1193599999999999</c:v>
                </c:pt>
                <c:pt idx="19">
                  <c:v>-3.1193599999999999</c:v>
                </c:pt>
                <c:pt idx="20">
                  <c:v>-3.1193599999999999</c:v>
                </c:pt>
                <c:pt idx="21">
                  <c:v>-3.1193599999999999</c:v>
                </c:pt>
                <c:pt idx="22">
                  <c:v>-3.1193599999999999</c:v>
                </c:pt>
                <c:pt idx="23">
                  <c:v>-3.1193599999999999</c:v>
                </c:pt>
                <c:pt idx="24">
                  <c:v>-3.1193599999999999</c:v>
                </c:pt>
                <c:pt idx="25">
                  <c:v>-3.1193599999999999</c:v>
                </c:pt>
                <c:pt idx="26">
                  <c:v>-3.1193599999999999</c:v>
                </c:pt>
                <c:pt idx="27">
                  <c:v>-3.1193599999999999</c:v>
                </c:pt>
                <c:pt idx="28">
                  <c:v>-3.1193599999999999</c:v>
                </c:pt>
                <c:pt idx="29">
                  <c:v>-3.1193599999999999</c:v>
                </c:pt>
                <c:pt idx="30">
                  <c:v>-3.1193599999999999</c:v>
                </c:pt>
                <c:pt idx="31">
                  <c:v>-3.1193599999999999</c:v>
                </c:pt>
                <c:pt idx="32">
                  <c:v>-3.1193599999999999</c:v>
                </c:pt>
                <c:pt idx="33">
                  <c:v>-3.1193599999999999</c:v>
                </c:pt>
                <c:pt idx="34">
                  <c:v>-3.1193599999999999</c:v>
                </c:pt>
                <c:pt idx="35">
                  <c:v>-3.1193599999999999</c:v>
                </c:pt>
                <c:pt idx="36">
                  <c:v>-3.1193599999999999</c:v>
                </c:pt>
                <c:pt idx="37">
                  <c:v>-3.1193599999999999</c:v>
                </c:pt>
                <c:pt idx="38">
                  <c:v>-3.1193599999999999</c:v>
                </c:pt>
                <c:pt idx="39">
                  <c:v>-3.1193599999999999</c:v>
                </c:pt>
                <c:pt idx="40">
                  <c:v>-3.1193599999999999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'FT43'!$AA$4:$AD$4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'FT43'!$F$6:$F$96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'FT43'!$AA$6:$AA$100</c:f>
              <c:numCache>
                <c:formatCode>0.000</c:formatCode>
                <c:ptCount val="95"/>
                <c:pt idx="0">
                  <c:v>-7.3400000000001242E-3</c:v>
                </c:pt>
                <c:pt idx="1">
                  <c:v>-5.3400000000003445E-3</c:v>
                </c:pt>
                <c:pt idx="2">
                  <c:v>-1.3400000000003409E-3</c:v>
                </c:pt>
                <c:pt idx="3">
                  <c:v>-7.3400000000001242E-3</c:v>
                </c:pt>
                <c:pt idx="4">
                  <c:v>-3.4000000000000696E-4</c:v>
                </c:pt>
                <c:pt idx="5">
                  <c:v>-3.3400000000001207E-3</c:v>
                </c:pt>
                <c:pt idx="6">
                  <c:v>-5.3400000000003445E-3</c:v>
                </c:pt>
                <c:pt idx="7">
                  <c:v>-7.3400000000001242E-3</c:v>
                </c:pt>
                <c:pt idx="8">
                  <c:v>-1.2340000000000018E-2</c:v>
                </c:pt>
                <c:pt idx="9">
                  <c:v>-1.0340000000000238E-2</c:v>
                </c:pt>
                <c:pt idx="10">
                  <c:v>-6.3400000000002343E-3</c:v>
                </c:pt>
                <c:pt idx="11">
                  <c:v>-3.1073400000000002</c:v>
                </c:pt>
                <c:pt idx="12">
                  <c:v>-3.1073400000000002</c:v>
                </c:pt>
                <c:pt idx="13">
                  <c:v>-3.1073400000000002</c:v>
                </c:pt>
                <c:pt idx="14">
                  <c:v>-3.1073400000000002</c:v>
                </c:pt>
                <c:pt idx="15">
                  <c:v>-3.1073400000000002</c:v>
                </c:pt>
                <c:pt idx="16">
                  <c:v>-3.1073400000000002</c:v>
                </c:pt>
                <c:pt idx="17">
                  <c:v>-3.1073400000000002</c:v>
                </c:pt>
                <c:pt idx="18">
                  <c:v>-3.1073400000000002</c:v>
                </c:pt>
                <c:pt idx="19">
                  <c:v>-3.1073400000000002</c:v>
                </c:pt>
                <c:pt idx="20">
                  <c:v>-3.1073400000000002</c:v>
                </c:pt>
                <c:pt idx="21">
                  <c:v>-3.1073400000000002</c:v>
                </c:pt>
                <c:pt idx="22">
                  <c:v>-3.1073400000000002</c:v>
                </c:pt>
                <c:pt idx="23">
                  <c:v>-3.1073400000000002</c:v>
                </c:pt>
                <c:pt idx="24">
                  <c:v>-3.1073400000000002</c:v>
                </c:pt>
                <c:pt idx="25">
                  <c:v>-3.1073400000000002</c:v>
                </c:pt>
                <c:pt idx="26">
                  <c:v>-3.1073400000000002</c:v>
                </c:pt>
                <c:pt idx="27">
                  <c:v>-3.1073400000000002</c:v>
                </c:pt>
                <c:pt idx="28">
                  <c:v>-3.1073400000000002</c:v>
                </c:pt>
                <c:pt idx="29">
                  <c:v>-3.1073400000000002</c:v>
                </c:pt>
                <c:pt idx="30">
                  <c:v>-3.1073400000000002</c:v>
                </c:pt>
                <c:pt idx="31">
                  <c:v>-3.1073400000000002</c:v>
                </c:pt>
                <c:pt idx="32">
                  <c:v>-3.1073400000000002</c:v>
                </c:pt>
                <c:pt idx="33">
                  <c:v>-3.1073400000000002</c:v>
                </c:pt>
                <c:pt idx="34">
                  <c:v>-3.1073400000000002</c:v>
                </c:pt>
                <c:pt idx="35">
                  <c:v>-3.1073400000000002</c:v>
                </c:pt>
                <c:pt idx="36">
                  <c:v>-3.1073400000000002</c:v>
                </c:pt>
                <c:pt idx="37">
                  <c:v>-3.1073400000000002</c:v>
                </c:pt>
                <c:pt idx="38">
                  <c:v>-3.1073400000000002</c:v>
                </c:pt>
                <c:pt idx="39">
                  <c:v>-3.1073400000000002</c:v>
                </c:pt>
                <c:pt idx="40">
                  <c:v>-3.1073400000000002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'FT43'!$AE$4:$AH$4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'FT43'!$F$6:$F$96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'FT43'!$AE$6:$AE$100</c:f>
              <c:numCache>
                <c:formatCode>0.000</c:formatCode>
                <c:ptCount val="95"/>
                <c:pt idx="0">
                  <c:v>-1.3860000000000205E-2</c:v>
                </c:pt>
                <c:pt idx="1">
                  <c:v>-1.2859999999999872E-2</c:v>
                </c:pt>
                <c:pt idx="2">
                  <c:v>-9.8600000000002019E-3</c:v>
                </c:pt>
                <c:pt idx="3">
                  <c:v>-1.4860000000000095E-2</c:v>
                </c:pt>
                <c:pt idx="4">
                  <c:v>-2.8600000000000847E-3</c:v>
                </c:pt>
                <c:pt idx="5">
                  <c:v>-5.8600000000001984E-3</c:v>
                </c:pt>
                <c:pt idx="6">
                  <c:v>-8.859999999999868E-3</c:v>
                </c:pt>
                <c:pt idx="7">
                  <c:v>-1.0860000000000092E-2</c:v>
                </c:pt>
                <c:pt idx="8">
                  <c:v>-1.6859999999999875E-2</c:v>
                </c:pt>
                <c:pt idx="9">
                  <c:v>-1.4860000000000095E-2</c:v>
                </c:pt>
                <c:pt idx="10">
                  <c:v>-1.1859999999999982E-2</c:v>
                </c:pt>
                <c:pt idx="11">
                  <c:v>-3.1158600000000001</c:v>
                </c:pt>
                <c:pt idx="12">
                  <c:v>-3.1158600000000001</c:v>
                </c:pt>
                <c:pt idx="13">
                  <c:v>-3.1158600000000001</c:v>
                </c:pt>
                <c:pt idx="14">
                  <c:v>-3.1158600000000001</c:v>
                </c:pt>
                <c:pt idx="15">
                  <c:v>-3.1158600000000001</c:v>
                </c:pt>
                <c:pt idx="16">
                  <c:v>-3.1158600000000001</c:v>
                </c:pt>
                <c:pt idx="17">
                  <c:v>-3.1158600000000001</c:v>
                </c:pt>
                <c:pt idx="18">
                  <c:v>-3.1158600000000001</c:v>
                </c:pt>
                <c:pt idx="19">
                  <c:v>-3.1158600000000001</c:v>
                </c:pt>
                <c:pt idx="20">
                  <c:v>-3.1158600000000001</c:v>
                </c:pt>
                <c:pt idx="21">
                  <c:v>-3.1158600000000001</c:v>
                </c:pt>
                <c:pt idx="22">
                  <c:v>-3.1158600000000001</c:v>
                </c:pt>
                <c:pt idx="23">
                  <c:v>-3.1158600000000001</c:v>
                </c:pt>
                <c:pt idx="24">
                  <c:v>-3.1158600000000001</c:v>
                </c:pt>
                <c:pt idx="25">
                  <c:v>-3.1158600000000001</c:v>
                </c:pt>
                <c:pt idx="26">
                  <c:v>-3.1158600000000001</c:v>
                </c:pt>
                <c:pt idx="27">
                  <c:v>-3.1158600000000001</c:v>
                </c:pt>
                <c:pt idx="28">
                  <c:v>-3.1158600000000001</c:v>
                </c:pt>
                <c:pt idx="29">
                  <c:v>-3.1158600000000001</c:v>
                </c:pt>
                <c:pt idx="30">
                  <c:v>-3.1158600000000001</c:v>
                </c:pt>
                <c:pt idx="31">
                  <c:v>-3.1158600000000001</c:v>
                </c:pt>
                <c:pt idx="32">
                  <c:v>-3.1158600000000001</c:v>
                </c:pt>
                <c:pt idx="33">
                  <c:v>-3.1158600000000001</c:v>
                </c:pt>
                <c:pt idx="34">
                  <c:v>-3.1158600000000001</c:v>
                </c:pt>
                <c:pt idx="35">
                  <c:v>-3.1158600000000001</c:v>
                </c:pt>
                <c:pt idx="36">
                  <c:v>-3.1158600000000001</c:v>
                </c:pt>
                <c:pt idx="37">
                  <c:v>-3.1158600000000001</c:v>
                </c:pt>
                <c:pt idx="38">
                  <c:v>-3.1158600000000001</c:v>
                </c:pt>
                <c:pt idx="39">
                  <c:v>-3.1158600000000001</c:v>
                </c:pt>
                <c:pt idx="40">
                  <c:v>-3.1158600000000001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'FT43'!$AO$4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'FT43'!$F$6:$F$96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'FT43'!$AI$6:$AI$100</c:f>
              <c:numCache>
                <c:formatCode>General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'FT43'!$F$6:$F$96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'FT43'!$AJ$6:$AJ$100</c:f>
              <c:numCache>
                <c:formatCode>General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'FT43'!$AW$4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'FT43'!$F$6:$F$96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'FT43'!$AQ$6:$AQ$100</c:f>
              <c:numCache>
                <c:formatCode>General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'FT43'!$F$6:$F$96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'FT43'!$AR$6:$AR$100</c:f>
              <c:numCache>
                <c:formatCode>General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17104"/>
        <c:axId val="316324160"/>
      </c:lineChart>
      <c:catAx>
        <c:axId val="316317104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6324160"/>
        <c:crosses val="autoZero"/>
        <c:auto val="0"/>
        <c:lblAlgn val="ctr"/>
        <c:lblOffset val="100"/>
        <c:noMultiLvlLbl val="0"/>
      </c:catAx>
      <c:valAx>
        <c:axId val="316324160"/>
        <c:scaling>
          <c:orientation val="minMax"/>
        </c:scaling>
        <c:delete val="0"/>
        <c:axPos val="l"/>
        <c:numFmt formatCode="#,##0.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631710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X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'FT43'!$W$4:$Z$4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'FT43'!$X$6:$X$100</c:f>
              <c:numCache>
                <c:formatCode>0.0000</c:formatCode>
                <c:ptCount val="95"/>
                <c:pt idx="0">
                  <c:v>-1.4270000000000116E-3</c:v>
                </c:pt>
                <c:pt idx="1">
                  <c:v>-1.5270000000000006E-3</c:v>
                </c:pt>
                <c:pt idx="2">
                  <c:v>-1.4270000000000116E-3</c:v>
                </c:pt>
                <c:pt idx="3">
                  <c:v>-1.6570000000000196E-3</c:v>
                </c:pt>
                <c:pt idx="4">
                  <c:v>-1.6070000000000251E-3</c:v>
                </c:pt>
                <c:pt idx="5">
                  <c:v>-1.5270000000000006E-3</c:v>
                </c:pt>
                <c:pt idx="6">
                  <c:v>-1.6170000000000351E-3</c:v>
                </c:pt>
                <c:pt idx="7">
                  <c:v>-1.5670000000000406E-3</c:v>
                </c:pt>
                <c:pt idx="8">
                  <c:v>-1.6770000000000396E-3</c:v>
                </c:pt>
                <c:pt idx="9">
                  <c:v>-1.6670000000000296E-3</c:v>
                </c:pt>
                <c:pt idx="10">
                  <c:v>-1.6869999999999941E-3</c:v>
                </c:pt>
                <c:pt idx="11">
                  <c:v>-0.28995700000000002</c:v>
                </c:pt>
                <c:pt idx="12">
                  <c:v>-0.28995700000000002</c:v>
                </c:pt>
                <c:pt idx="13">
                  <c:v>-0.28995700000000002</c:v>
                </c:pt>
                <c:pt idx="14">
                  <c:v>-0.28995700000000002</c:v>
                </c:pt>
                <c:pt idx="15">
                  <c:v>-0.28995700000000002</c:v>
                </c:pt>
                <c:pt idx="16">
                  <c:v>-0.28995700000000002</c:v>
                </c:pt>
                <c:pt idx="17">
                  <c:v>-0.28995700000000002</c:v>
                </c:pt>
                <c:pt idx="18">
                  <c:v>-0.28995700000000002</c:v>
                </c:pt>
                <c:pt idx="19">
                  <c:v>-0.28995700000000002</c:v>
                </c:pt>
                <c:pt idx="20">
                  <c:v>-0.28995700000000002</c:v>
                </c:pt>
                <c:pt idx="21">
                  <c:v>-0.28995700000000002</c:v>
                </c:pt>
                <c:pt idx="22">
                  <c:v>-0.28995700000000002</c:v>
                </c:pt>
                <c:pt idx="23">
                  <c:v>-0.28995700000000002</c:v>
                </c:pt>
                <c:pt idx="24">
                  <c:v>-0.28995700000000002</c:v>
                </c:pt>
                <c:pt idx="25">
                  <c:v>-0.28995700000000002</c:v>
                </c:pt>
                <c:pt idx="26">
                  <c:v>-0.28995700000000002</c:v>
                </c:pt>
                <c:pt idx="27">
                  <c:v>-0.28995700000000002</c:v>
                </c:pt>
                <c:pt idx="28">
                  <c:v>-0.28995700000000002</c:v>
                </c:pt>
                <c:pt idx="29">
                  <c:v>-0.28995700000000002</c:v>
                </c:pt>
                <c:pt idx="30">
                  <c:v>-0.28995700000000002</c:v>
                </c:pt>
                <c:pt idx="31">
                  <c:v>-0.28995700000000002</c:v>
                </c:pt>
                <c:pt idx="32">
                  <c:v>-0.28995700000000002</c:v>
                </c:pt>
                <c:pt idx="33">
                  <c:v>-0.28995700000000002</c:v>
                </c:pt>
                <c:pt idx="34">
                  <c:v>-0.28995700000000002</c:v>
                </c:pt>
                <c:pt idx="35">
                  <c:v>-0.28995700000000002</c:v>
                </c:pt>
                <c:pt idx="36">
                  <c:v>-0.28995700000000002</c:v>
                </c:pt>
                <c:pt idx="37">
                  <c:v>-0.28995700000000002</c:v>
                </c:pt>
                <c:pt idx="38">
                  <c:v>-0.28995700000000002</c:v>
                </c:pt>
                <c:pt idx="39">
                  <c:v>-0.28995700000000002</c:v>
                </c:pt>
                <c:pt idx="40">
                  <c:v>-0.28995700000000002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'FT43'!$AA$4:$AD$4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'FT43'!$AB$6:$AB$100</c:f>
              <c:numCache>
                <c:formatCode>0.0000</c:formatCode>
                <c:ptCount val="95"/>
                <c:pt idx="0">
                  <c:v>-2.8160000000000407E-3</c:v>
                </c:pt>
                <c:pt idx="1">
                  <c:v>-3.0060000000000087E-3</c:v>
                </c:pt>
                <c:pt idx="2">
                  <c:v>-2.9060000000000197E-3</c:v>
                </c:pt>
                <c:pt idx="3">
                  <c:v>-2.9260000000000397E-3</c:v>
                </c:pt>
                <c:pt idx="4">
                  <c:v>-2.9060000000000197E-3</c:v>
                </c:pt>
                <c:pt idx="5">
                  <c:v>-2.8960000000000097E-3</c:v>
                </c:pt>
                <c:pt idx="6">
                  <c:v>-2.8859999999999997E-3</c:v>
                </c:pt>
                <c:pt idx="7">
                  <c:v>-2.8760000000000452E-3</c:v>
                </c:pt>
                <c:pt idx="8">
                  <c:v>-2.9959999999999987E-3</c:v>
                </c:pt>
                <c:pt idx="9">
                  <c:v>-2.9860000000000442E-3</c:v>
                </c:pt>
                <c:pt idx="10">
                  <c:v>-3.0060000000000087E-3</c:v>
                </c:pt>
                <c:pt idx="11">
                  <c:v>-0.29020600000000002</c:v>
                </c:pt>
                <c:pt idx="12">
                  <c:v>-0.29020600000000002</c:v>
                </c:pt>
                <c:pt idx="13">
                  <c:v>-0.29020600000000002</c:v>
                </c:pt>
                <c:pt idx="14">
                  <c:v>-0.29020600000000002</c:v>
                </c:pt>
                <c:pt idx="15">
                  <c:v>-0.29020600000000002</c:v>
                </c:pt>
                <c:pt idx="16">
                  <c:v>-0.29020600000000002</c:v>
                </c:pt>
                <c:pt idx="17">
                  <c:v>-0.29020600000000002</c:v>
                </c:pt>
                <c:pt idx="18">
                  <c:v>-0.29020600000000002</c:v>
                </c:pt>
                <c:pt idx="19">
                  <c:v>-0.29020600000000002</c:v>
                </c:pt>
                <c:pt idx="20">
                  <c:v>-0.29020600000000002</c:v>
                </c:pt>
                <c:pt idx="21">
                  <c:v>-0.29020600000000002</c:v>
                </c:pt>
                <c:pt idx="22">
                  <c:v>-0.29020600000000002</c:v>
                </c:pt>
                <c:pt idx="23">
                  <c:v>-0.29020600000000002</c:v>
                </c:pt>
                <c:pt idx="24">
                  <c:v>-0.29020600000000002</c:v>
                </c:pt>
                <c:pt idx="25">
                  <c:v>-0.29020600000000002</c:v>
                </c:pt>
                <c:pt idx="26">
                  <c:v>-0.29020600000000002</c:v>
                </c:pt>
                <c:pt idx="27">
                  <c:v>-0.29020600000000002</c:v>
                </c:pt>
                <c:pt idx="28">
                  <c:v>-0.29020600000000002</c:v>
                </c:pt>
                <c:pt idx="29">
                  <c:v>-0.29020600000000002</c:v>
                </c:pt>
                <c:pt idx="30">
                  <c:v>-0.29020600000000002</c:v>
                </c:pt>
                <c:pt idx="31">
                  <c:v>-0.29020600000000002</c:v>
                </c:pt>
                <c:pt idx="32">
                  <c:v>-0.29020600000000002</c:v>
                </c:pt>
                <c:pt idx="33">
                  <c:v>-0.29020600000000002</c:v>
                </c:pt>
                <c:pt idx="34">
                  <c:v>-0.29020600000000002</c:v>
                </c:pt>
                <c:pt idx="35">
                  <c:v>-0.29020600000000002</c:v>
                </c:pt>
                <c:pt idx="36">
                  <c:v>-0.29020600000000002</c:v>
                </c:pt>
                <c:pt idx="37">
                  <c:v>-0.29020600000000002</c:v>
                </c:pt>
                <c:pt idx="38">
                  <c:v>-0.29020600000000002</c:v>
                </c:pt>
                <c:pt idx="39">
                  <c:v>-0.29020600000000002</c:v>
                </c:pt>
                <c:pt idx="40">
                  <c:v>-0.29020600000000002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'FT43'!$AE$4:$AH$4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'FT43'!$AF$6:$AF$100</c:f>
              <c:numCache>
                <c:formatCode>0.0000</c:formatCode>
                <c:ptCount val="95"/>
                <c:pt idx="0">
                  <c:v>-7.6670000000000349E-3</c:v>
                </c:pt>
                <c:pt idx="1">
                  <c:v>-7.8070000000000084E-3</c:v>
                </c:pt>
                <c:pt idx="2">
                  <c:v>-7.7170000000000294E-3</c:v>
                </c:pt>
                <c:pt idx="3">
                  <c:v>-7.8770000000000229E-3</c:v>
                </c:pt>
                <c:pt idx="4">
                  <c:v>-6.1770000000000436E-3</c:v>
                </c:pt>
                <c:pt idx="5">
                  <c:v>-6.1869999999999981E-3</c:v>
                </c:pt>
                <c:pt idx="6">
                  <c:v>-6.1670000000000336E-3</c:v>
                </c:pt>
                <c:pt idx="7">
                  <c:v>-6.3570000000000015E-3</c:v>
                </c:pt>
                <c:pt idx="8">
                  <c:v>-6.406999999999996E-3</c:v>
                </c:pt>
                <c:pt idx="9">
                  <c:v>-6.417000000000006E-3</c:v>
                </c:pt>
                <c:pt idx="10">
                  <c:v>-6.2870000000000426E-3</c:v>
                </c:pt>
                <c:pt idx="11">
                  <c:v>-0.28945700000000002</c:v>
                </c:pt>
                <c:pt idx="12">
                  <c:v>-0.28945700000000002</c:v>
                </c:pt>
                <c:pt idx="13">
                  <c:v>-0.28945700000000002</c:v>
                </c:pt>
                <c:pt idx="14">
                  <c:v>-0.28945700000000002</c:v>
                </c:pt>
                <c:pt idx="15">
                  <c:v>-0.28945700000000002</c:v>
                </c:pt>
                <c:pt idx="16">
                  <c:v>-0.28945700000000002</c:v>
                </c:pt>
                <c:pt idx="17">
                  <c:v>-0.28945700000000002</c:v>
                </c:pt>
                <c:pt idx="18">
                  <c:v>-0.28945700000000002</c:v>
                </c:pt>
                <c:pt idx="19">
                  <c:v>-0.28945700000000002</c:v>
                </c:pt>
                <c:pt idx="20">
                  <c:v>-0.28945700000000002</c:v>
                </c:pt>
                <c:pt idx="21">
                  <c:v>-0.28945700000000002</c:v>
                </c:pt>
                <c:pt idx="22">
                  <c:v>-0.28945700000000002</c:v>
                </c:pt>
                <c:pt idx="23">
                  <c:v>-0.28945700000000002</c:v>
                </c:pt>
                <c:pt idx="24">
                  <c:v>-0.28945700000000002</c:v>
                </c:pt>
                <c:pt idx="25">
                  <c:v>-0.28945700000000002</c:v>
                </c:pt>
                <c:pt idx="26">
                  <c:v>-0.28945700000000002</c:v>
                </c:pt>
                <c:pt idx="27">
                  <c:v>-0.28945700000000002</c:v>
                </c:pt>
                <c:pt idx="28">
                  <c:v>-0.28945700000000002</c:v>
                </c:pt>
                <c:pt idx="29">
                  <c:v>-0.28945700000000002</c:v>
                </c:pt>
                <c:pt idx="30">
                  <c:v>-0.28945700000000002</c:v>
                </c:pt>
                <c:pt idx="31">
                  <c:v>-0.28945700000000002</c:v>
                </c:pt>
                <c:pt idx="32">
                  <c:v>-0.28945700000000002</c:v>
                </c:pt>
                <c:pt idx="33">
                  <c:v>-0.28945700000000002</c:v>
                </c:pt>
                <c:pt idx="34">
                  <c:v>-0.28945700000000002</c:v>
                </c:pt>
                <c:pt idx="35">
                  <c:v>-0.28945700000000002</c:v>
                </c:pt>
                <c:pt idx="36">
                  <c:v>-0.28945700000000002</c:v>
                </c:pt>
                <c:pt idx="37">
                  <c:v>-0.28945700000000002</c:v>
                </c:pt>
                <c:pt idx="38">
                  <c:v>-0.28945700000000002</c:v>
                </c:pt>
                <c:pt idx="39">
                  <c:v>-0.28945700000000002</c:v>
                </c:pt>
                <c:pt idx="40">
                  <c:v>-0.28945700000000002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'FT43'!$AO$4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'FT43'!$AW$4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319456"/>
        <c:axId val="316321808"/>
      </c:lineChart>
      <c:catAx>
        <c:axId val="316319456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6321808"/>
        <c:crosses val="autoZero"/>
        <c:auto val="0"/>
        <c:lblAlgn val="ctr"/>
        <c:lblOffset val="100"/>
        <c:noMultiLvlLbl val="0"/>
      </c:catAx>
      <c:valAx>
        <c:axId val="316321808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6319456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y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'FT43'!$W$4:$Z$4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'FT43'!$Y$6:$Y$100</c:f>
              <c:numCache>
                <c:formatCode>0.0000</c:formatCode>
                <c:ptCount val="95"/>
                <c:pt idx="0">
                  <c:v>-8.3800000000000541E-4</c:v>
                </c:pt>
                <c:pt idx="1">
                  <c:v>-1.0879999999999779E-3</c:v>
                </c:pt>
                <c:pt idx="2">
                  <c:v>-9.0799999999996439E-4</c:v>
                </c:pt>
                <c:pt idx="3">
                  <c:v>-1.1979999999999769E-3</c:v>
                </c:pt>
                <c:pt idx="4">
                  <c:v>-1.1479999999999824E-3</c:v>
                </c:pt>
                <c:pt idx="5">
                  <c:v>-1.0179999999999634E-3</c:v>
                </c:pt>
                <c:pt idx="6">
                  <c:v>-1.1680000000000024E-3</c:v>
                </c:pt>
                <c:pt idx="7">
                  <c:v>-9.4800000000000439E-4</c:v>
                </c:pt>
                <c:pt idx="8">
                  <c:v>-1.2280000000000069E-3</c:v>
                </c:pt>
                <c:pt idx="9">
                  <c:v>-1.2379999999999614E-3</c:v>
                </c:pt>
                <c:pt idx="10">
                  <c:v>-1.2280000000000069E-3</c:v>
                </c:pt>
                <c:pt idx="11">
                  <c:v>-0.28256799999999999</c:v>
                </c:pt>
                <c:pt idx="12">
                  <c:v>-0.28256799999999999</c:v>
                </c:pt>
                <c:pt idx="13">
                  <c:v>-0.28256799999999999</c:v>
                </c:pt>
                <c:pt idx="14">
                  <c:v>-0.28256799999999999</c:v>
                </c:pt>
                <c:pt idx="15">
                  <c:v>-0.28256799999999999</c:v>
                </c:pt>
                <c:pt idx="16">
                  <c:v>-0.28256799999999999</c:v>
                </c:pt>
                <c:pt idx="17">
                  <c:v>-0.28256799999999999</c:v>
                </c:pt>
                <c:pt idx="18">
                  <c:v>-0.28256799999999999</c:v>
                </c:pt>
                <c:pt idx="19">
                  <c:v>-0.28256799999999999</c:v>
                </c:pt>
                <c:pt idx="20">
                  <c:v>-0.28256799999999999</c:v>
                </c:pt>
                <c:pt idx="21">
                  <c:v>-0.28256799999999999</c:v>
                </c:pt>
                <c:pt idx="22">
                  <c:v>-0.28256799999999999</c:v>
                </c:pt>
                <c:pt idx="23">
                  <c:v>-0.28256799999999999</c:v>
                </c:pt>
                <c:pt idx="24">
                  <c:v>-0.28256799999999999</c:v>
                </c:pt>
                <c:pt idx="25">
                  <c:v>-0.28256799999999999</c:v>
                </c:pt>
                <c:pt idx="26">
                  <c:v>-0.28256799999999999</c:v>
                </c:pt>
                <c:pt idx="27">
                  <c:v>-0.28256799999999999</c:v>
                </c:pt>
                <c:pt idx="28">
                  <c:v>-0.28256799999999999</c:v>
                </c:pt>
                <c:pt idx="29">
                  <c:v>-0.28256799999999999</c:v>
                </c:pt>
                <c:pt idx="30">
                  <c:v>-0.28256799999999999</c:v>
                </c:pt>
                <c:pt idx="31">
                  <c:v>-0.28256799999999999</c:v>
                </c:pt>
                <c:pt idx="32">
                  <c:v>-0.28256799999999999</c:v>
                </c:pt>
                <c:pt idx="33">
                  <c:v>-0.28256799999999999</c:v>
                </c:pt>
                <c:pt idx="34">
                  <c:v>-0.28256799999999999</c:v>
                </c:pt>
                <c:pt idx="35">
                  <c:v>-0.28256799999999999</c:v>
                </c:pt>
                <c:pt idx="36">
                  <c:v>-0.28256799999999999</c:v>
                </c:pt>
                <c:pt idx="37">
                  <c:v>-0.28256799999999999</c:v>
                </c:pt>
                <c:pt idx="38">
                  <c:v>-0.28256799999999999</c:v>
                </c:pt>
                <c:pt idx="39">
                  <c:v>-0.28256799999999999</c:v>
                </c:pt>
                <c:pt idx="40">
                  <c:v>-0.28256799999999999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'FT43'!$AA$4:$AD$4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'FT43'!$AC$6:$AC$100</c:f>
              <c:numCache>
                <c:formatCode>0.0000</c:formatCode>
                <c:ptCount val="95"/>
                <c:pt idx="0">
                  <c:v>-7.3330000000000339E-3</c:v>
                </c:pt>
                <c:pt idx="1">
                  <c:v>-7.5530000000000319E-3</c:v>
                </c:pt>
                <c:pt idx="2">
                  <c:v>-7.3630000000000084E-3</c:v>
                </c:pt>
                <c:pt idx="3">
                  <c:v>-7.4530000000000429E-3</c:v>
                </c:pt>
                <c:pt idx="4">
                  <c:v>-7.4629999999999974E-3</c:v>
                </c:pt>
                <c:pt idx="5">
                  <c:v>-7.4230000000000129E-3</c:v>
                </c:pt>
                <c:pt idx="6">
                  <c:v>-7.3230000000000239E-3</c:v>
                </c:pt>
                <c:pt idx="7">
                  <c:v>-7.3130000000000139E-3</c:v>
                </c:pt>
                <c:pt idx="8">
                  <c:v>-7.5230000000000019E-3</c:v>
                </c:pt>
                <c:pt idx="9">
                  <c:v>-7.4530000000000429E-3</c:v>
                </c:pt>
                <c:pt idx="10">
                  <c:v>-7.4029999999999929E-3</c:v>
                </c:pt>
                <c:pt idx="11">
                  <c:v>-0.27907300000000002</c:v>
                </c:pt>
                <c:pt idx="12">
                  <c:v>-0.27907300000000002</c:v>
                </c:pt>
                <c:pt idx="13">
                  <c:v>-0.27907300000000002</c:v>
                </c:pt>
                <c:pt idx="14">
                  <c:v>-0.27907300000000002</c:v>
                </c:pt>
                <c:pt idx="15">
                  <c:v>-0.27907300000000002</c:v>
                </c:pt>
                <c:pt idx="16">
                  <c:v>-0.27907300000000002</c:v>
                </c:pt>
                <c:pt idx="17">
                  <c:v>-0.27907300000000002</c:v>
                </c:pt>
                <c:pt idx="18">
                  <c:v>-0.27907300000000002</c:v>
                </c:pt>
                <c:pt idx="19">
                  <c:v>-0.27907300000000002</c:v>
                </c:pt>
                <c:pt idx="20">
                  <c:v>-0.27907300000000002</c:v>
                </c:pt>
                <c:pt idx="21">
                  <c:v>-0.27907300000000002</c:v>
                </c:pt>
                <c:pt idx="22">
                  <c:v>-0.27907300000000002</c:v>
                </c:pt>
                <c:pt idx="23">
                  <c:v>-0.27907300000000002</c:v>
                </c:pt>
                <c:pt idx="24">
                  <c:v>-0.27907300000000002</c:v>
                </c:pt>
                <c:pt idx="25">
                  <c:v>-0.27907300000000002</c:v>
                </c:pt>
                <c:pt idx="26">
                  <c:v>-0.27907300000000002</c:v>
                </c:pt>
                <c:pt idx="27">
                  <c:v>-0.27907300000000002</c:v>
                </c:pt>
                <c:pt idx="28">
                  <c:v>-0.27907300000000002</c:v>
                </c:pt>
                <c:pt idx="29">
                  <c:v>-0.27907300000000002</c:v>
                </c:pt>
                <c:pt idx="30">
                  <c:v>-0.27907300000000002</c:v>
                </c:pt>
                <c:pt idx="31">
                  <c:v>-0.27907300000000002</c:v>
                </c:pt>
                <c:pt idx="32">
                  <c:v>-0.27907300000000002</c:v>
                </c:pt>
                <c:pt idx="33">
                  <c:v>-0.27907300000000002</c:v>
                </c:pt>
                <c:pt idx="34">
                  <c:v>-0.27907300000000002</c:v>
                </c:pt>
                <c:pt idx="35">
                  <c:v>-0.27907300000000002</c:v>
                </c:pt>
                <c:pt idx="36">
                  <c:v>-0.27907300000000002</c:v>
                </c:pt>
                <c:pt idx="37">
                  <c:v>-0.27907300000000002</c:v>
                </c:pt>
                <c:pt idx="38">
                  <c:v>-0.27907300000000002</c:v>
                </c:pt>
                <c:pt idx="39">
                  <c:v>-0.27907300000000002</c:v>
                </c:pt>
                <c:pt idx="40">
                  <c:v>-0.27907300000000002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'FT43'!$AE$4:$AH$4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'FT43'!$AG$6:$AG$100</c:f>
              <c:numCache>
                <c:formatCode>0.0000</c:formatCode>
                <c:ptCount val="95"/>
                <c:pt idx="0">
                  <c:v>-1.255400000000001E-2</c:v>
                </c:pt>
                <c:pt idx="1">
                  <c:v>-1.2804000000000038E-2</c:v>
                </c:pt>
                <c:pt idx="2">
                  <c:v>-1.2624000000000024E-2</c:v>
                </c:pt>
                <c:pt idx="3">
                  <c:v>-1.2774000000000008E-2</c:v>
                </c:pt>
                <c:pt idx="4">
                  <c:v>-9.8840000000000039E-3</c:v>
                </c:pt>
                <c:pt idx="5">
                  <c:v>-1.0014000000000023E-2</c:v>
                </c:pt>
                <c:pt idx="6">
                  <c:v>-9.9940000000000029E-3</c:v>
                </c:pt>
                <c:pt idx="7">
                  <c:v>-1.0114000000000012E-2</c:v>
                </c:pt>
                <c:pt idx="8">
                  <c:v>-1.0194000000000036E-2</c:v>
                </c:pt>
                <c:pt idx="9">
                  <c:v>-1.0224000000000011E-2</c:v>
                </c:pt>
                <c:pt idx="10">
                  <c:v>-1.0024000000000033E-2</c:v>
                </c:pt>
                <c:pt idx="11">
                  <c:v>-0.27837400000000001</c:v>
                </c:pt>
                <c:pt idx="12">
                  <c:v>-0.27837400000000001</c:v>
                </c:pt>
                <c:pt idx="13">
                  <c:v>-0.27837400000000001</c:v>
                </c:pt>
                <c:pt idx="14">
                  <c:v>-0.27837400000000001</c:v>
                </c:pt>
                <c:pt idx="15">
                  <c:v>-0.27837400000000001</c:v>
                </c:pt>
                <c:pt idx="16">
                  <c:v>-0.27837400000000001</c:v>
                </c:pt>
                <c:pt idx="17">
                  <c:v>-0.27837400000000001</c:v>
                </c:pt>
                <c:pt idx="18">
                  <c:v>-0.27837400000000001</c:v>
                </c:pt>
                <c:pt idx="19">
                  <c:v>-0.27837400000000001</c:v>
                </c:pt>
                <c:pt idx="20">
                  <c:v>-0.27837400000000001</c:v>
                </c:pt>
                <c:pt idx="21">
                  <c:v>-0.27837400000000001</c:v>
                </c:pt>
                <c:pt idx="22">
                  <c:v>-0.27837400000000001</c:v>
                </c:pt>
                <c:pt idx="23">
                  <c:v>-0.27837400000000001</c:v>
                </c:pt>
                <c:pt idx="24">
                  <c:v>-0.27837400000000001</c:v>
                </c:pt>
                <c:pt idx="25">
                  <c:v>-0.27837400000000001</c:v>
                </c:pt>
                <c:pt idx="26">
                  <c:v>-0.27837400000000001</c:v>
                </c:pt>
                <c:pt idx="27">
                  <c:v>-0.27837400000000001</c:v>
                </c:pt>
                <c:pt idx="28">
                  <c:v>-0.27837400000000001</c:v>
                </c:pt>
                <c:pt idx="29">
                  <c:v>-0.27837400000000001</c:v>
                </c:pt>
                <c:pt idx="30">
                  <c:v>-0.27837400000000001</c:v>
                </c:pt>
                <c:pt idx="31">
                  <c:v>-0.27837400000000001</c:v>
                </c:pt>
                <c:pt idx="32">
                  <c:v>-0.27837400000000001</c:v>
                </c:pt>
                <c:pt idx="33">
                  <c:v>-0.27837400000000001</c:v>
                </c:pt>
                <c:pt idx="34">
                  <c:v>-0.27837400000000001</c:v>
                </c:pt>
                <c:pt idx="35">
                  <c:v>-0.27837400000000001</c:v>
                </c:pt>
                <c:pt idx="36">
                  <c:v>-0.27837400000000001</c:v>
                </c:pt>
                <c:pt idx="37">
                  <c:v>-0.27837400000000001</c:v>
                </c:pt>
                <c:pt idx="38">
                  <c:v>-0.27837400000000001</c:v>
                </c:pt>
                <c:pt idx="39">
                  <c:v>-0.27837400000000001</c:v>
                </c:pt>
                <c:pt idx="40">
                  <c:v>-0.27837400000000001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'FT43'!$AO$4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'FT43'!$AW$4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'FT43'!$F$6:$F$100</c:f>
              <c:strCache>
                <c:ptCount val="11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</c:strCache>
            </c:strRef>
          </c:cat>
          <c:val>
            <c:numRef>
              <c:f>'FT43'!$AT$6:$AT$100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169664"/>
        <c:axId val="316173976"/>
      </c:lineChart>
      <c:catAx>
        <c:axId val="316169664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6173976"/>
        <c:crosses val="autoZero"/>
        <c:auto val="0"/>
        <c:lblAlgn val="ctr"/>
        <c:lblOffset val="100"/>
        <c:noMultiLvlLbl val="0"/>
      </c:catAx>
      <c:valAx>
        <c:axId val="316173976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6169664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光束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'FT59'!$W$4:$Z$4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'FT59'!$Z$6:$Z$100</c:f>
              <c:numCache>
                <c:formatCode>0.00%</c:formatCode>
                <c:ptCount val="95"/>
                <c:pt idx="0">
                  <c:v>2.0444269497585932E-3</c:v>
                </c:pt>
                <c:pt idx="1">
                  <c:v>-1.9768270660631693E-3</c:v>
                </c:pt>
                <c:pt idx="2">
                  <c:v>-1.8317419569657822E-4</c:v>
                </c:pt>
                <c:pt idx="3">
                  <c:v>6.2686258446897902E-4</c:v>
                </c:pt>
                <c:pt idx="4">
                  <c:v>7.4258212449240801E-4</c:v>
                </c:pt>
                <c:pt idx="5">
                  <c:v>1.0029510895457339E-3</c:v>
                </c:pt>
                <c:pt idx="6">
                  <c:v>-2.699638507143165E-4</c:v>
                </c:pt>
                <c:pt idx="7">
                  <c:v>-7.617718958148334E-4</c:v>
                </c:pt>
                <c:pt idx="8">
                  <c:v>3.3756373440985143E-4</c:v>
                </c:pt>
                <c:pt idx="9">
                  <c:v>2.4783752248471735E-3</c:v>
                </c:pt>
                <c:pt idx="10">
                  <c:v>1.5526189046579653E-3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'FT59'!$AA$4:$AD$4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'FT59'!$AD$6:$AD$100</c:f>
              <c:numCache>
                <c:formatCode>0.00%</c:formatCode>
                <c:ptCount val="95"/>
                <c:pt idx="0">
                  <c:v>-2.50388453653827E-3</c:v>
                </c:pt>
                <c:pt idx="1">
                  <c:v>-7.369438365537162E-3</c:v>
                </c:pt>
                <c:pt idx="2">
                  <c:v>-5.0374273587389107E-3</c:v>
                </c:pt>
                <c:pt idx="3">
                  <c:v>-3.6554949102658441E-3</c:v>
                </c:pt>
                <c:pt idx="4">
                  <c:v>-3.8570267256681223E-3</c:v>
                </c:pt>
                <c:pt idx="5">
                  <c:v>-3.4251728355202404E-3</c:v>
                </c:pt>
                <c:pt idx="6">
                  <c:v>-4.3464611345024329E-3</c:v>
                </c:pt>
                <c:pt idx="7">
                  <c:v>-5.4404909895434672E-3</c:v>
                </c:pt>
                <c:pt idx="8">
                  <c:v>-3.2524312794610655E-3</c:v>
                </c:pt>
                <c:pt idx="9">
                  <c:v>-2.1008209057336025E-3</c:v>
                </c:pt>
                <c:pt idx="10">
                  <c:v>-3.7994462069818047E-3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'FT59'!$AE$4:$AH$4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'FT59'!$AH$6:$AH$100</c:f>
              <c:numCache>
                <c:formatCode>0.00%</c:formatCode>
                <c:ptCount val="95"/>
                <c:pt idx="0">
                  <c:v>-3.2552402370563671E-2</c:v>
                </c:pt>
                <c:pt idx="1">
                  <c:v>-3.6143801409753151E-2</c:v>
                </c:pt>
                <c:pt idx="2">
                  <c:v>-3.4550842158499684E-2</c:v>
                </c:pt>
                <c:pt idx="3">
                  <c:v>-3.402951003990784E-2</c:v>
                </c:pt>
                <c:pt idx="4">
                  <c:v>-3.402951003990784E-2</c:v>
                </c:pt>
                <c:pt idx="5">
                  <c:v>-3.4695656635886363E-2</c:v>
                </c:pt>
                <c:pt idx="6">
                  <c:v>-3.4724619531363632E-2</c:v>
                </c:pt>
                <c:pt idx="7">
                  <c:v>-3.5680395082115735E-2</c:v>
                </c:pt>
                <c:pt idx="8">
                  <c:v>-3.388469556252105E-2</c:v>
                </c:pt>
                <c:pt idx="9">
                  <c:v>-3.1944181565539576E-2</c:v>
                </c:pt>
                <c:pt idx="10">
                  <c:v>-3.2870994220814187E-2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'FT59'!$AO$4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'FT59'!$AO$6:$AO$100</c:f>
              <c:numCache>
                <c:formatCode>0.00%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'FT59'!$AP$6:$AP$100</c:f>
              <c:numCache>
                <c:formatCode>0.00%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'FT59'!$AW$4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'FT59'!$AW$6:$AW$100</c:f>
              <c:numCache>
                <c:formatCode>0.00%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'FT59'!$AX$6:$AX$100</c:f>
              <c:numCache>
                <c:formatCode>0.00%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173584"/>
        <c:axId val="316175152"/>
      </c:lineChart>
      <c:catAx>
        <c:axId val="316173584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6175152"/>
        <c:crosses val="autoZero"/>
        <c:auto val="0"/>
        <c:lblAlgn val="ctr"/>
        <c:lblOffset val="100"/>
        <c:noMultiLvlLbl val="0"/>
      </c:catAx>
      <c:valAx>
        <c:axId val="316175152"/>
        <c:scaling>
          <c:orientation val="minMax"/>
          <c:max val="3.0000000000000006E-2"/>
          <c:min val="-3.0000000000000006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6173584"/>
        <c:crosses val="autoZero"/>
        <c:crossBetween val="between"/>
        <c:majorUnit val="1.0000000000000002E-2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VF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'FT59'!$W$4:$Z$4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'FT59'!$F$6:$F$96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'FT59'!$W$6:$W$100</c:f>
              <c:numCache>
                <c:formatCode>0.000</c:formatCode>
                <c:ptCount val="95"/>
                <c:pt idx="0">
                  <c:v>-3.3000000000003027E-3</c:v>
                </c:pt>
                <c:pt idx="1">
                  <c:v>-6.2999999999999723E-3</c:v>
                </c:pt>
                <c:pt idx="2">
                  <c:v>-6.2999999999999723E-3</c:v>
                </c:pt>
                <c:pt idx="3">
                  <c:v>-5.3000000000000824E-3</c:v>
                </c:pt>
                <c:pt idx="4">
                  <c:v>-5.3000000000000824E-3</c:v>
                </c:pt>
                <c:pt idx="5">
                  <c:v>-4.3000000000001926E-3</c:v>
                </c:pt>
                <c:pt idx="6">
                  <c:v>-6.2999999999999723E-3</c:v>
                </c:pt>
                <c:pt idx="7">
                  <c:v>-6.2999999999999723E-3</c:v>
                </c:pt>
                <c:pt idx="8">
                  <c:v>-5.3000000000000824E-3</c:v>
                </c:pt>
                <c:pt idx="9">
                  <c:v>-4.3000000000001926E-3</c:v>
                </c:pt>
                <c:pt idx="10">
                  <c:v>-6.2999999999999723E-3</c:v>
                </c:pt>
                <c:pt idx="11">
                  <c:v>-2.8843000000000001</c:v>
                </c:pt>
                <c:pt idx="12">
                  <c:v>-2.8843000000000001</c:v>
                </c:pt>
                <c:pt idx="13">
                  <c:v>-2.8843000000000001</c:v>
                </c:pt>
                <c:pt idx="14">
                  <c:v>-2.8843000000000001</c:v>
                </c:pt>
                <c:pt idx="15">
                  <c:v>-2.8843000000000001</c:v>
                </c:pt>
                <c:pt idx="16">
                  <c:v>-2.8843000000000001</c:v>
                </c:pt>
                <c:pt idx="17">
                  <c:v>-2.8843000000000001</c:v>
                </c:pt>
                <c:pt idx="18">
                  <c:v>-2.8843000000000001</c:v>
                </c:pt>
                <c:pt idx="19">
                  <c:v>-2.8843000000000001</c:v>
                </c:pt>
                <c:pt idx="20">
                  <c:v>-2.8843000000000001</c:v>
                </c:pt>
                <c:pt idx="21">
                  <c:v>-2.8843000000000001</c:v>
                </c:pt>
                <c:pt idx="22">
                  <c:v>-2.8843000000000001</c:v>
                </c:pt>
                <c:pt idx="23">
                  <c:v>-2.8843000000000001</c:v>
                </c:pt>
                <c:pt idx="24">
                  <c:v>-2.8843000000000001</c:v>
                </c:pt>
                <c:pt idx="25">
                  <c:v>-2.8843000000000001</c:v>
                </c:pt>
                <c:pt idx="26">
                  <c:v>-2.8843000000000001</c:v>
                </c:pt>
                <c:pt idx="27">
                  <c:v>-2.8843000000000001</c:v>
                </c:pt>
                <c:pt idx="28">
                  <c:v>-2.8843000000000001</c:v>
                </c:pt>
                <c:pt idx="29">
                  <c:v>-2.8843000000000001</c:v>
                </c:pt>
                <c:pt idx="30">
                  <c:v>-2.8843000000000001</c:v>
                </c:pt>
                <c:pt idx="31">
                  <c:v>-2.8843000000000001</c:v>
                </c:pt>
                <c:pt idx="32">
                  <c:v>-2.8843000000000001</c:v>
                </c:pt>
                <c:pt idx="33">
                  <c:v>-2.8843000000000001</c:v>
                </c:pt>
                <c:pt idx="34">
                  <c:v>-2.8843000000000001</c:v>
                </c:pt>
                <c:pt idx="35">
                  <c:v>-2.8843000000000001</c:v>
                </c:pt>
                <c:pt idx="36">
                  <c:v>-2.8843000000000001</c:v>
                </c:pt>
                <c:pt idx="37">
                  <c:v>-2.8843000000000001</c:v>
                </c:pt>
                <c:pt idx="38">
                  <c:v>-2.8843000000000001</c:v>
                </c:pt>
                <c:pt idx="39">
                  <c:v>-2.8843000000000001</c:v>
                </c:pt>
                <c:pt idx="40">
                  <c:v>-2.8843000000000001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'FT59'!$AA$4:$AD$4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'FT59'!$F$6:$F$96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'FT59'!$AA$6:$AA$100</c:f>
              <c:numCache>
                <c:formatCode>0.000</c:formatCode>
                <c:ptCount val="95"/>
                <c:pt idx="0">
                  <c:v>-1.8280000000000296E-2</c:v>
                </c:pt>
                <c:pt idx="1">
                  <c:v>-2.1279999999999966E-2</c:v>
                </c:pt>
                <c:pt idx="2">
                  <c:v>-2.1279999999999966E-2</c:v>
                </c:pt>
                <c:pt idx="3">
                  <c:v>-1.9280000000000186E-2</c:v>
                </c:pt>
                <c:pt idx="4">
                  <c:v>-1.9280000000000186E-2</c:v>
                </c:pt>
                <c:pt idx="5">
                  <c:v>-1.9280000000000186E-2</c:v>
                </c:pt>
                <c:pt idx="6">
                  <c:v>-1.9280000000000186E-2</c:v>
                </c:pt>
                <c:pt idx="7">
                  <c:v>-2.0280000000000076E-2</c:v>
                </c:pt>
                <c:pt idx="8">
                  <c:v>-2.0280000000000076E-2</c:v>
                </c:pt>
                <c:pt idx="9">
                  <c:v>-1.9280000000000186E-2</c:v>
                </c:pt>
                <c:pt idx="10">
                  <c:v>-2.1279999999999966E-2</c:v>
                </c:pt>
                <c:pt idx="11">
                  <c:v>-2.8952800000000001</c:v>
                </c:pt>
                <c:pt idx="12">
                  <c:v>-2.8952800000000001</c:v>
                </c:pt>
                <c:pt idx="13">
                  <c:v>-2.8952800000000001</c:v>
                </c:pt>
                <c:pt idx="14">
                  <c:v>-2.8952800000000001</c:v>
                </c:pt>
                <c:pt idx="15">
                  <c:v>-2.8952800000000001</c:v>
                </c:pt>
                <c:pt idx="16">
                  <c:v>-2.8952800000000001</c:v>
                </c:pt>
                <c:pt idx="17">
                  <c:v>-2.8952800000000001</c:v>
                </c:pt>
                <c:pt idx="18">
                  <c:v>-2.8952800000000001</c:v>
                </c:pt>
                <c:pt idx="19">
                  <c:v>-2.8952800000000001</c:v>
                </c:pt>
                <c:pt idx="20">
                  <c:v>-2.8952800000000001</c:v>
                </c:pt>
                <c:pt idx="21">
                  <c:v>-2.8952800000000001</c:v>
                </c:pt>
                <c:pt idx="22">
                  <c:v>-2.8952800000000001</c:v>
                </c:pt>
                <c:pt idx="23">
                  <c:v>-2.8952800000000001</c:v>
                </c:pt>
                <c:pt idx="24">
                  <c:v>-2.8952800000000001</c:v>
                </c:pt>
                <c:pt idx="25">
                  <c:v>-2.8952800000000001</c:v>
                </c:pt>
                <c:pt idx="26">
                  <c:v>-2.8952800000000001</c:v>
                </c:pt>
                <c:pt idx="27">
                  <c:v>-2.8952800000000001</c:v>
                </c:pt>
                <c:pt idx="28">
                  <c:v>-2.8952800000000001</c:v>
                </c:pt>
                <c:pt idx="29">
                  <c:v>-2.8952800000000001</c:v>
                </c:pt>
                <c:pt idx="30">
                  <c:v>-2.8952800000000001</c:v>
                </c:pt>
                <c:pt idx="31">
                  <c:v>-2.8952800000000001</c:v>
                </c:pt>
                <c:pt idx="32">
                  <c:v>-2.8952800000000001</c:v>
                </c:pt>
                <c:pt idx="33">
                  <c:v>-2.8952800000000001</c:v>
                </c:pt>
                <c:pt idx="34">
                  <c:v>-2.8952800000000001</c:v>
                </c:pt>
                <c:pt idx="35">
                  <c:v>-2.8952800000000001</c:v>
                </c:pt>
                <c:pt idx="36">
                  <c:v>-2.8952800000000001</c:v>
                </c:pt>
                <c:pt idx="37">
                  <c:v>-2.8952800000000001</c:v>
                </c:pt>
                <c:pt idx="38">
                  <c:v>-2.8952800000000001</c:v>
                </c:pt>
                <c:pt idx="39">
                  <c:v>-2.8952800000000001</c:v>
                </c:pt>
                <c:pt idx="40">
                  <c:v>-2.8952800000000001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'FT59'!$AE$4:$AH$4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'FT59'!$F$6:$F$96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'FT59'!$AE$6:$AE$100</c:f>
              <c:numCache>
                <c:formatCode>0.000</c:formatCode>
                <c:ptCount val="95"/>
                <c:pt idx="0">
                  <c:v>6.9300000000001027E-3</c:v>
                </c:pt>
                <c:pt idx="1">
                  <c:v>2.9300000000000992E-3</c:v>
                </c:pt>
                <c:pt idx="2">
                  <c:v>3.9300000000004331E-3</c:v>
                </c:pt>
                <c:pt idx="3">
                  <c:v>4.930000000000323E-3</c:v>
                </c:pt>
                <c:pt idx="4">
                  <c:v>3.9300000000004331E-3</c:v>
                </c:pt>
                <c:pt idx="5">
                  <c:v>4.930000000000323E-3</c:v>
                </c:pt>
                <c:pt idx="6">
                  <c:v>3.9300000000004331E-3</c:v>
                </c:pt>
                <c:pt idx="7">
                  <c:v>3.9300000000004331E-3</c:v>
                </c:pt>
                <c:pt idx="8">
                  <c:v>2.9300000000000992E-3</c:v>
                </c:pt>
                <c:pt idx="9">
                  <c:v>4.930000000000323E-3</c:v>
                </c:pt>
                <c:pt idx="10">
                  <c:v>2.9300000000000992E-3</c:v>
                </c:pt>
                <c:pt idx="11">
                  <c:v>-2.8690699999999998</c:v>
                </c:pt>
                <c:pt idx="12">
                  <c:v>-2.8690699999999998</c:v>
                </c:pt>
                <c:pt idx="13">
                  <c:v>-2.8690699999999998</c:v>
                </c:pt>
                <c:pt idx="14">
                  <c:v>-2.8690699999999998</c:v>
                </c:pt>
                <c:pt idx="15">
                  <c:v>-2.8690699999999998</c:v>
                </c:pt>
                <c:pt idx="16">
                  <c:v>-2.8690699999999998</c:v>
                </c:pt>
                <c:pt idx="17">
                  <c:v>-2.8690699999999998</c:v>
                </c:pt>
                <c:pt idx="18">
                  <c:v>-2.8690699999999998</c:v>
                </c:pt>
                <c:pt idx="19">
                  <c:v>-2.8690699999999998</c:v>
                </c:pt>
                <c:pt idx="20">
                  <c:v>-2.8690699999999998</c:v>
                </c:pt>
                <c:pt idx="21">
                  <c:v>-2.8690699999999998</c:v>
                </c:pt>
                <c:pt idx="22">
                  <c:v>-2.8690699999999998</c:v>
                </c:pt>
                <c:pt idx="23">
                  <c:v>-2.8690699999999998</c:v>
                </c:pt>
                <c:pt idx="24">
                  <c:v>-2.8690699999999998</c:v>
                </c:pt>
                <c:pt idx="25">
                  <c:v>-2.8690699999999998</c:v>
                </c:pt>
                <c:pt idx="26">
                  <c:v>-2.8690699999999998</c:v>
                </c:pt>
                <c:pt idx="27">
                  <c:v>-2.8690699999999998</c:v>
                </c:pt>
                <c:pt idx="28">
                  <c:v>-2.8690699999999998</c:v>
                </c:pt>
                <c:pt idx="29">
                  <c:v>-2.8690699999999998</c:v>
                </c:pt>
                <c:pt idx="30">
                  <c:v>-2.8690699999999998</c:v>
                </c:pt>
                <c:pt idx="31">
                  <c:v>-2.8690699999999998</c:v>
                </c:pt>
                <c:pt idx="32">
                  <c:v>-2.8690699999999998</c:v>
                </c:pt>
                <c:pt idx="33">
                  <c:v>-2.8690699999999998</c:v>
                </c:pt>
                <c:pt idx="34">
                  <c:v>-2.8690699999999998</c:v>
                </c:pt>
                <c:pt idx="35">
                  <c:v>-2.8690699999999998</c:v>
                </c:pt>
                <c:pt idx="36">
                  <c:v>-2.8690699999999998</c:v>
                </c:pt>
                <c:pt idx="37">
                  <c:v>-2.8690699999999998</c:v>
                </c:pt>
                <c:pt idx="38">
                  <c:v>-2.8690699999999998</c:v>
                </c:pt>
                <c:pt idx="39">
                  <c:v>-2.8690699999999998</c:v>
                </c:pt>
                <c:pt idx="40">
                  <c:v>-2.8690699999999998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'FT59'!$AO$4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'FT59'!$F$6:$F$96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'FT59'!$AI$6:$AI$100</c:f>
              <c:numCache>
                <c:formatCode>General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'FT59'!$F$6:$F$96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'FT59'!$AJ$6:$AJ$100</c:f>
              <c:numCache>
                <c:formatCode>General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'FT59'!$AW$4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'FT59'!$F$6:$F$96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'FT59'!$AQ$6:$AQ$100</c:f>
              <c:numCache>
                <c:formatCode>General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'FT59'!$F$6:$F$96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'FT59'!$AR$6:$AR$100</c:f>
              <c:numCache>
                <c:formatCode>General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059952"/>
        <c:axId val="317065832"/>
      </c:lineChart>
      <c:catAx>
        <c:axId val="317059952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065832"/>
        <c:crosses val="autoZero"/>
        <c:auto val="0"/>
        <c:lblAlgn val="ctr"/>
        <c:lblOffset val="100"/>
        <c:noMultiLvlLbl val="0"/>
      </c:catAx>
      <c:valAx>
        <c:axId val="317065832"/>
        <c:scaling>
          <c:orientation val="minMax"/>
        </c:scaling>
        <c:delete val="0"/>
        <c:axPos val="l"/>
        <c:numFmt formatCode="#,##0.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05995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X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'FT59'!$W$4:$Z$4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'FT59'!$X$6:$X$100</c:f>
              <c:numCache>
                <c:formatCode>0.0000</c:formatCode>
                <c:ptCount val="95"/>
                <c:pt idx="0">
                  <c:v>2.7999999999972491E-5</c:v>
                </c:pt>
                <c:pt idx="1">
                  <c:v>-9.1999999999980986E-5</c:v>
                </c:pt>
                <c:pt idx="2">
                  <c:v>1.1800000000000699E-4</c:v>
                </c:pt>
                <c:pt idx="3">
                  <c:v>-4.1999999999986493E-5</c:v>
                </c:pt>
                <c:pt idx="4">
                  <c:v>-1.2000000000012001E-5</c:v>
                </c:pt>
                <c:pt idx="5">
                  <c:v>-6.2000000000006494E-5</c:v>
                </c:pt>
                <c:pt idx="6">
                  <c:v>-2.0000000000020002E-6</c:v>
                </c:pt>
                <c:pt idx="7">
                  <c:v>8.7999999999976986E-5</c:v>
                </c:pt>
                <c:pt idx="8">
                  <c:v>-1.2200000000001099E-4</c:v>
                </c:pt>
                <c:pt idx="9">
                  <c:v>-2.2000000000022002E-5</c:v>
                </c:pt>
                <c:pt idx="10">
                  <c:v>-2.0000000000020002E-6</c:v>
                </c:pt>
                <c:pt idx="11">
                  <c:v>-0.34159200000000001</c:v>
                </c:pt>
                <c:pt idx="12">
                  <c:v>-0.34159200000000001</c:v>
                </c:pt>
                <c:pt idx="13">
                  <c:v>-0.34159200000000001</c:v>
                </c:pt>
                <c:pt idx="14">
                  <c:v>-0.34159200000000001</c:v>
                </c:pt>
                <c:pt idx="15">
                  <c:v>-0.34159200000000001</c:v>
                </c:pt>
                <c:pt idx="16">
                  <c:v>-0.34159200000000001</c:v>
                </c:pt>
                <c:pt idx="17">
                  <c:v>-0.34159200000000001</c:v>
                </c:pt>
                <c:pt idx="18">
                  <c:v>-0.34159200000000001</c:v>
                </c:pt>
                <c:pt idx="19">
                  <c:v>-0.34159200000000001</c:v>
                </c:pt>
                <c:pt idx="20">
                  <c:v>-0.34159200000000001</c:v>
                </c:pt>
                <c:pt idx="21">
                  <c:v>-0.34159200000000001</c:v>
                </c:pt>
                <c:pt idx="22">
                  <c:v>-0.34159200000000001</c:v>
                </c:pt>
                <c:pt idx="23">
                  <c:v>-0.34159200000000001</c:v>
                </c:pt>
                <c:pt idx="24">
                  <c:v>-0.34159200000000001</c:v>
                </c:pt>
                <c:pt idx="25">
                  <c:v>-0.34159200000000001</c:v>
                </c:pt>
                <c:pt idx="26">
                  <c:v>-0.34159200000000001</c:v>
                </c:pt>
                <c:pt idx="27">
                  <c:v>-0.34159200000000001</c:v>
                </c:pt>
                <c:pt idx="28">
                  <c:v>-0.34159200000000001</c:v>
                </c:pt>
                <c:pt idx="29">
                  <c:v>-0.34159200000000001</c:v>
                </c:pt>
                <c:pt idx="30">
                  <c:v>-0.34159200000000001</c:v>
                </c:pt>
                <c:pt idx="31">
                  <c:v>-0.34159200000000001</c:v>
                </c:pt>
                <c:pt idx="32">
                  <c:v>-0.34159200000000001</c:v>
                </c:pt>
                <c:pt idx="33">
                  <c:v>-0.34159200000000001</c:v>
                </c:pt>
                <c:pt idx="34">
                  <c:v>-0.34159200000000001</c:v>
                </c:pt>
                <c:pt idx="35">
                  <c:v>-0.34159200000000001</c:v>
                </c:pt>
                <c:pt idx="36">
                  <c:v>-0.34159200000000001</c:v>
                </c:pt>
                <c:pt idx="37">
                  <c:v>-0.34159200000000001</c:v>
                </c:pt>
                <c:pt idx="38">
                  <c:v>-0.34159200000000001</c:v>
                </c:pt>
                <c:pt idx="39">
                  <c:v>-0.34159200000000001</c:v>
                </c:pt>
                <c:pt idx="40">
                  <c:v>-0.34159200000000001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'FT59'!$AA$4:$AD$4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'FT59'!$AB$6:$AB$100</c:f>
              <c:numCache>
                <c:formatCode>0.0000</c:formatCode>
                <c:ptCount val="95"/>
                <c:pt idx="0">
                  <c:v>-1.2965000000000004E-2</c:v>
                </c:pt>
                <c:pt idx="1">
                  <c:v>-1.3055000000000039E-2</c:v>
                </c:pt>
                <c:pt idx="2">
                  <c:v>-1.292500000000002E-2</c:v>
                </c:pt>
                <c:pt idx="3">
                  <c:v>-1.2885000000000035E-2</c:v>
                </c:pt>
                <c:pt idx="4">
                  <c:v>-1.2855000000000005E-2</c:v>
                </c:pt>
                <c:pt idx="5">
                  <c:v>-1.291500000000001E-2</c:v>
                </c:pt>
                <c:pt idx="6">
                  <c:v>-1.2885000000000035E-2</c:v>
                </c:pt>
                <c:pt idx="7">
                  <c:v>-1.2835000000000041E-2</c:v>
                </c:pt>
                <c:pt idx="8">
                  <c:v>-1.292500000000002E-2</c:v>
                </c:pt>
                <c:pt idx="9">
                  <c:v>-1.3085000000000013E-2</c:v>
                </c:pt>
                <c:pt idx="10">
                  <c:v>-1.3055000000000039E-2</c:v>
                </c:pt>
                <c:pt idx="11">
                  <c:v>-0.34190500000000001</c:v>
                </c:pt>
                <c:pt idx="12">
                  <c:v>-0.34190500000000001</c:v>
                </c:pt>
                <c:pt idx="13">
                  <c:v>-0.34190500000000001</c:v>
                </c:pt>
                <c:pt idx="14">
                  <c:v>-0.34190500000000001</c:v>
                </c:pt>
                <c:pt idx="15">
                  <c:v>-0.34190500000000001</c:v>
                </c:pt>
                <c:pt idx="16">
                  <c:v>-0.34190500000000001</c:v>
                </c:pt>
                <c:pt idx="17">
                  <c:v>-0.34190500000000001</c:v>
                </c:pt>
                <c:pt idx="18">
                  <c:v>-0.34190500000000001</c:v>
                </c:pt>
                <c:pt idx="19">
                  <c:v>-0.34190500000000001</c:v>
                </c:pt>
                <c:pt idx="20">
                  <c:v>-0.34190500000000001</c:v>
                </c:pt>
                <c:pt idx="21">
                  <c:v>-0.34190500000000001</c:v>
                </c:pt>
                <c:pt idx="22">
                  <c:v>-0.34190500000000001</c:v>
                </c:pt>
                <c:pt idx="23">
                  <c:v>-0.34190500000000001</c:v>
                </c:pt>
                <c:pt idx="24">
                  <c:v>-0.34190500000000001</c:v>
                </c:pt>
                <c:pt idx="25">
                  <c:v>-0.34190500000000001</c:v>
                </c:pt>
                <c:pt idx="26">
                  <c:v>-0.34190500000000001</c:v>
                </c:pt>
                <c:pt idx="27">
                  <c:v>-0.34190500000000001</c:v>
                </c:pt>
                <c:pt idx="28">
                  <c:v>-0.34190500000000001</c:v>
                </c:pt>
                <c:pt idx="29">
                  <c:v>-0.34190500000000001</c:v>
                </c:pt>
                <c:pt idx="30">
                  <c:v>-0.34190500000000001</c:v>
                </c:pt>
                <c:pt idx="31">
                  <c:v>-0.34190500000000001</c:v>
                </c:pt>
                <c:pt idx="32">
                  <c:v>-0.34190500000000001</c:v>
                </c:pt>
                <c:pt idx="33">
                  <c:v>-0.34190500000000001</c:v>
                </c:pt>
                <c:pt idx="34">
                  <c:v>-0.34190500000000001</c:v>
                </c:pt>
                <c:pt idx="35">
                  <c:v>-0.34190500000000001</c:v>
                </c:pt>
                <c:pt idx="36">
                  <c:v>-0.34190500000000001</c:v>
                </c:pt>
                <c:pt idx="37">
                  <c:v>-0.34190500000000001</c:v>
                </c:pt>
                <c:pt idx="38">
                  <c:v>-0.34190500000000001</c:v>
                </c:pt>
                <c:pt idx="39">
                  <c:v>-0.34190500000000001</c:v>
                </c:pt>
                <c:pt idx="40">
                  <c:v>-0.34190500000000001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'FT59'!$AE$4:$AH$4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'FT59'!$AF$6:$AF$100</c:f>
              <c:numCache>
                <c:formatCode>0.0000</c:formatCode>
                <c:ptCount val="95"/>
                <c:pt idx="0">
                  <c:v>-3.4264000000000017E-2</c:v>
                </c:pt>
                <c:pt idx="1">
                  <c:v>-3.4353999999999996E-2</c:v>
                </c:pt>
                <c:pt idx="2">
                  <c:v>-3.4204000000000012E-2</c:v>
                </c:pt>
                <c:pt idx="3">
                  <c:v>-3.4243999999999997E-2</c:v>
                </c:pt>
                <c:pt idx="4">
                  <c:v>-3.4324000000000021E-2</c:v>
                </c:pt>
                <c:pt idx="5">
                  <c:v>-3.442400000000001E-2</c:v>
                </c:pt>
                <c:pt idx="6">
                  <c:v>-3.4243999999999997E-2</c:v>
                </c:pt>
                <c:pt idx="7">
                  <c:v>-3.4144000000000008E-2</c:v>
                </c:pt>
                <c:pt idx="8">
                  <c:v>-3.4194000000000002E-2</c:v>
                </c:pt>
                <c:pt idx="9">
                  <c:v>-3.4293999999999991E-2</c:v>
                </c:pt>
                <c:pt idx="10">
                  <c:v>-3.4243999999999997E-2</c:v>
                </c:pt>
                <c:pt idx="11">
                  <c:v>-0.341694</c:v>
                </c:pt>
                <c:pt idx="12">
                  <c:v>-0.341694</c:v>
                </c:pt>
                <c:pt idx="13">
                  <c:v>-0.341694</c:v>
                </c:pt>
                <c:pt idx="14">
                  <c:v>-0.341694</c:v>
                </c:pt>
                <c:pt idx="15">
                  <c:v>-0.341694</c:v>
                </c:pt>
                <c:pt idx="16">
                  <c:v>-0.341694</c:v>
                </c:pt>
                <c:pt idx="17">
                  <c:v>-0.341694</c:v>
                </c:pt>
                <c:pt idx="18">
                  <c:v>-0.341694</c:v>
                </c:pt>
                <c:pt idx="19">
                  <c:v>-0.341694</c:v>
                </c:pt>
                <c:pt idx="20">
                  <c:v>-0.341694</c:v>
                </c:pt>
                <c:pt idx="21">
                  <c:v>-0.341694</c:v>
                </c:pt>
                <c:pt idx="22">
                  <c:v>-0.341694</c:v>
                </c:pt>
                <c:pt idx="23">
                  <c:v>-0.341694</c:v>
                </c:pt>
                <c:pt idx="24">
                  <c:v>-0.341694</c:v>
                </c:pt>
                <c:pt idx="25">
                  <c:v>-0.341694</c:v>
                </c:pt>
                <c:pt idx="26">
                  <c:v>-0.341694</c:v>
                </c:pt>
                <c:pt idx="27">
                  <c:v>-0.341694</c:v>
                </c:pt>
                <c:pt idx="28">
                  <c:v>-0.341694</c:v>
                </c:pt>
                <c:pt idx="29">
                  <c:v>-0.341694</c:v>
                </c:pt>
                <c:pt idx="30">
                  <c:v>-0.341694</c:v>
                </c:pt>
                <c:pt idx="31">
                  <c:v>-0.341694</c:v>
                </c:pt>
                <c:pt idx="32">
                  <c:v>-0.341694</c:v>
                </c:pt>
                <c:pt idx="33">
                  <c:v>-0.341694</c:v>
                </c:pt>
                <c:pt idx="34">
                  <c:v>-0.341694</c:v>
                </c:pt>
                <c:pt idx="35">
                  <c:v>-0.341694</c:v>
                </c:pt>
                <c:pt idx="36">
                  <c:v>-0.341694</c:v>
                </c:pt>
                <c:pt idx="37">
                  <c:v>-0.341694</c:v>
                </c:pt>
                <c:pt idx="38">
                  <c:v>-0.341694</c:v>
                </c:pt>
                <c:pt idx="39">
                  <c:v>-0.341694</c:v>
                </c:pt>
                <c:pt idx="40">
                  <c:v>-0.341694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'FT59'!$AO$4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'FT59'!$AW$4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061128"/>
        <c:axId val="317063872"/>
      </c:lineChart>
      <c:catAx>
        <c:axId val="317061128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063872"/>
        <c:crosses val="autoZero"/>
        <c:auto val="0"/>
        <c:lblAlgn val="ctr"/>
        <c:lblOffset val="100"/>
        <c:noMultiLvlLbl val="0"/>
      </c:catAx>
      <c:valAx>
        <c:axId val="317063872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061128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y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'FT59'!$W$4:$Z$4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'FT59'!$Y$6:$Y$100</c:f>
              <c:numCache>
                <c:formatCode>0.0000</c:formatCode>
                <c:ptCount val="95"/>
                <c:pt idx="0">
                  <c:v>2.8459999999999597E-3</c:v>
                </c:pt>
                <c:pt idx="1">
                  <c:v>2.7959999999999652E-3</c:v>
                </c:pt>
                <c:pt idx="2">
                  <c:v>2.9959999999999987E-3</c:v>
                </c:pt>
                <c:pt idx="3">
                  <c:v>2.8159999999999852E-3</c:v>
                </c:pt>
                <c:pt idx="4">
                  <c:v>3.0060000000000087E-3</c:v>
                </c:pt>
                <c:pt idx="5">
                  <c:v>2.9759999999999787E-3</c:v>
                </c:pt>
                <c:pt idx="6">
                  <c:v>2.9159999999999742E-3</c:v>
                </c:pt>
                <c:pt idx="7">
                  <c:v>2.9959999999999987E-3</c:v>
                </c:pt>
                <c:pt idx="8">
                  <c:v>2.8859999999999997E-3</c:v>
                </c:pt>
                <c:pt idx="9">
                  <c:v>2.7760000000000007E-3</c:v>
                </c:pt>
                <c:pt idx="10">
                  <c:v>2.8559999999999697E-3</c:v>
                </c:pt>
                <c:pt idx="11">
                  <c:v>-0.35375400000000001</c:v>
                </c:pt>
                <c:pt idx="12">
                  <c:v>-0.35375400000000001</c:v>
                </c:pt>
                <c:pt idx="13">
                  <c:v>-0.35375400000000001</c:v>
                </c:pt>
                <c:pt idx="14">
                  <c:v>-0.35375400000000001</c:v>
                </c:pt>
                <c:pt idx="15">
                  <c:v>-0.35375400000000001</c:v>
                </c:pt>
                <c:pt idx="16">
                  <c:v>-0.35375400000000001</c:v>
                </c:pt>
                <c:pt idx="17">
                  <c:v>-0.35375400000000001</c:v>
                </c:pt>
                <c:pt idx="18">
                  <c:v>-0.35375400000000001</c:v>
                </c:pt>
                <c:pt idx="19">
                  <c:v>-0.35375400000000001</c:v>
                </c:pt>
                <c:pt idx="20">
                  <c:v>-0.35375400000000001</c:v>
                </c:pt>
                <c:pt idx="21">
                  <c:v>-0.35375400000000001</c:v>
                </c:pt>
                <c:pt idx="22">
                  <c:v>-0.35375400000000001</c:v>
                </c:pt>
                <c:pt idx="23">
                  <c:v>-0.35375400000000001</c:v>
                </c:pt>
                <c:pt idx="24">
                  <c:v>-0.35375400000000001</c:v>
                </c:pt>
                <c:pt idx="25">
                  <c:v>-0.35375400000000001</c:v>
                </c:pt>
                <c:pt idx="26">
                  <c:v>-0.35375400000000001</c:v>
                </c:pt>
                <c:pt idx="27">
                  <c:v>-0.35375400000000001</c:v>
                </c:pt>
                <c:pt idx="28">
                  <c:v>-0.35375400000000001</c:v>
                </c:pt>
                <c:pt idx="29">
                  <c:v>-0.35375400000000001</c:v>
                </c:pt>
                <c:pt idx="30">
                  <c:v>-0.35375400000000001</c:v>
                </c:pt>
                <c:pt idx="31">
                  <c:v>-0.35375400000000001</c:v>
                </c:pt>
                <c:pt idx="32">
                  <c:v>-0.35375400000000001</c:v>
                </c:pt>
                <c:pt idx="33">
                  <c:v>-0.35375400000000001</c:v>
                </c:pt>
                <c:pt idx="34">
                  <c:v>-0.35375400000000001</c:v>
                </c:pt>
                <c:pt idx="35">
                  <c:v>-0.35375400000000001</c:v>
                </c:pt>
                <c:pt idx="36">
                  <c:v>-0.35375400000000001</c:v>
                </c:pt>
                <c:pt idx="37">
                  <c:v>-0.35375400000000001</c:v>
                </c:pt>
                <c:pt idx="38">
                  <c:v>-0.35375400000000001</c:v>
                </c:pt>
                <c:pt idx="39">
                  <c:v>-0.35375400000000001</c:v>
                </c:pt>
                <c:pt idx="40">
                  <c:v>-0.35375400000000001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'FT59'!$AA$4:$AD$4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'FT59'!$AC$6:$AC$100</c:f>
              <c:numCache>
                <c:formatCode>0.0000</c:formatCode>
                <c:ptCount val="95"/>
                <c:pt idx="0">
                  <c:v>-6.1930000000000041E-3</c:v>
                </c:pt>
                <c:pt idx="1">
                  <c:v>-6.292999999999993E-3</c:v>
                </c:pt>
                <c:pt idx="2">
                  <c:v>-6.2030000000000141E-3</c:v>
                </c:pt>
                <c:pt idx="3">
                  <c:v>-6.1329999999999996E-3</c:v>
                </c:pt>
                <c:pt idx="4">
                  <c:v>-6.1930000000000041E-3</c:v>
                </c:pt>
                <c:pt idx="5">
                  <c:v>-6.2330000000000441E-3</c:v>
                </c:pt>
                <c:pt idx="6">
                  <c:v>-6.1630000000000296E-3</c:v>
                </c:pt>
                <c:pt idx="7">
                  <c:v>-6.2429999999999986E-3</c:v>
                </c:pt>
                <c:pt idx="8">
                  <c:v>-6.1430000000000096E-3</c:v>
                </c:pt>
                <c:pt idx="9">
                  <c:v>-6.292999999999993E-3</c:v>
                </c:pt>
                <c:pt idx="10">
                  <c:v>-6.1829999999999941E-3</c:v>
                </c:pt>
                <c:pt idx="11">
                  <c:v>-0.35456300000000002</c:v>
                </c:pt>
                <c:pt idx="12">
                  <c:v>-0.35456300000000002</c:v>
                </c:pt>
                <c:pt idx="13">
                  <c:v>-0.35456300000000002</c:v>
                </c:pt>
                <c:pt idx="14">
                  <c:v>-0.35456300000000002</c:v>
                </c:pt>
                <c:pt idx="15">
                  <c:v>-0.35456300000000002</c:v>
                </c:pt>
                <c:pt idx="16">
                  <c:v>-0.35456300000000002</c:v>
                </c:pt>
                <c:pt idx="17">
                  <c:v>-0.35456300000000002</c:v>
                </c:pt>
                <c:pt idx="18">
                  <c:v>-0.35456300000000002</c:v>
                </c:pt>
                <c:pt idx="19">
                  <c:v>-0.35456300000000002</c:v>
                </c:pt>
                <c:pt idx="20">
                  <c:v>-0.35456300000000002</c:v>
                </c:pt>
                <c:pt idx="21">
                  <c:v>-0.35456300000000002</c:v>
                </c:pt>
                <c:pt idx="22">
                  <c:v>-0.35456300000000002</c:v>
                </c:pt>
                <c:pt idx="23">
                  <c:v>-0.35456300000000002</c:v>
                </c:pt>
                <c:pt idx="24">
                  <c:v>-0.35456300000000002</c:v>
                </c:pt>
                <c:pt idx="25">
                  <c:v>-0.35456300000000002</c:v>
                </c:pt>
                <c:pt idx="26">
                  <c:v>-0.35456300000000002</c:v>
                </c:pt>
                <c:pt idx="27">
                  <c:v>-0.35456300000000002</c:v>
                </c:pt>
                <c:pt idx="28">
                  <c:v>-0.35456300000000002</c:v>
                </c:pt>
                <c:pt idx="29">
                  <c:v>-0.35456300000000002</c:v>
                </c:pt>
                <c:pt idx="30">
                  <c:v>-0.35456300000000002</c:v>
                </c:pt>
                <c:pt idx="31">
                  <c:v>-0.35456300000000002</c:v>
                </c:pt>
                <c:pt idx="32">
                  <c:v>-0.35456300000000002</c:v>
                </c:pt>
                <c:pt idx="33">
                  <c:v>-0.35456300000000002</c:v>
                </c:pt>
                <c:pt idx="34">
                  <c:v>-0.35456300000000002</c:v>
                </c:pt>
                <c:pt idx="35">
                  <c:v>-0.35456300000000002</c:v>
                </c:pt>
                <c:pt idx="36">
                  <c:v>-0.35456300000000002</c:v>
                </c:pt>
                <c:pt idx="37">
                  <c:v>-0.35456300000000002</c:v>
                </c:pt>
                <c:pt idx="38">
                  <c:v>-0.35456300000000002</c:v>
                </c:pt>
                <c:pt idx="39">
                  <c:v>-0.35456300000000002</c:v>
                </c:pt>
                <c:pt idx="40">
                  <c:v>-0.35456300000000002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'FT59'!$AE$4:$AH$4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'FT59'!$AG$6:$AG$100</c:f>
              <c:numCache>
                <c:formatCode>0.0000</c:formatCode>
                <c:ptCount val="95"/>
                <c:pt idx="0">
                  <c:v>-3.5233000000000014E-2</c:v>
                </c:pt>
                <c:pt idx="1">
                  <c:v>-3.5233000000000014E-2</c:v>
                </c:pt>
                <c:pt idx="2">
                  <c:v>-3.5283000000000009E-2</c:v>
                </c:pt>
                <c:pt idx="3">
                  <c:v>-3.5123000000000015E-2</c:v>
                </c:pt>
                <c:pt idx="4">
                  <c:v>-3.5272999999999999E-2</c:v>
                </c:pt>
                <c:pt idx="5">
                  <c:v>-3.5362999999999978E-2</c:v>
                </c:pt>
                <c:pt idx="6">
                  <c:v>-3.5233000000000014E-2</c:v>
                </c:pt>
                <c:pt idx="7">
                  <c:v>-3.5192999999999974E-2</c:v>
                </c:pt>
                <c:pt idx="8">
                  <c:v>-3.5233000000000014E-2</c:v>
                </c:pt>
                <c:pt idx="9">
                  <c:v>-3.518300000000002E-2</c:v>
                </c:pt>
                <c:pt idx="10">
                  <c:v>-3.5223000000000004E-2</c:v>
                </c:pt>
                <c:pt idx="11">
                  <c:v>-0.355713</c:v>
                </c:pt>
                <c:pt idx="12">
                  <c:v>-0.355713</c:v>
                </c:pt>
                <c:pt idx="13">
                  <c:v>-0.355713</c:v>
                </c:pt>
                <c:pt idx="14">
                  <c:v>-0.355713</c:v>
                </c:pt>
                <c:pt idx="15">
                  <c:v>-0.355713</c:v>
                </c:pt>
                <c:pt idx="16">
                  <c:v>-0.355713</c:v>
                </c:pt>
                <c:pt idx="17">
                  <c:v>-0.355713</c:v>
                </c:pt>
                <c:pt idx="18">
                  <c:v>-0.355713</c:v>
                </c:pt>
                <c:pt idx="19">
                  <c:v>-0.355713</c:v>
                </c:pt>
                <c:pt idx="20">
                  <c:v>-0.355713</c:v>
                </c:pt>
                <c:pt idx="21">
                  <c:v>-0.355713</c:v>
                </c:pt>
                <c:pt idx="22">
                  <c:v>-0.355713</c:v>
                </c:pt>
                <c:pt idx="23">
                  <c:v>-0.355713</c:v>
                </c:pt>
                <c:pt idx="24">
                  <c:v>-0.355713</c:v>
                </c:pt>
                <c:pt idx="25">
                  <c:v>-0.355713</c:v>
                </c:pt>
                <c:pt idx="26">
                  <c:v>-0.355713</c:v>
                </c:pt>
                <c:pt idx="27">
                  <c:v>-0.355713</c:v>
                </c:pt>
                <c:pt idx="28">
                  <c:v>-0.355713</c:v>
                </c:pt>
                <c:pt idx="29">
                  <c:v>-0.355713</c:v>
                </c:pt>
                <c:pt idx="30">
                  <c:v>-0.355713</c:v>
                </c:pt>
                <c:pt idx="31">
                  <c:v>-0.355713</c:v>
                </c:pt>
                <c:pt idx="32">
                  <c:v>-0.355713</c:v>
                </c:pt>
                <c:pt idx="33">
                  <c:v>-0.355713</c:v>
                </c:pt>
                <c:pt idx="34">
                  <c:v>-0.355713</c:v>
                </c:pt>
                <c:pt idx="35">
                  <c:v>-0.355713</c:v>
                </c:pt>
                <c:pt idx="36">
                  <c:v>-0.355713</c:v>
                </c:pt>
                <c:pt idx="37">
                  <c:v>-0.355713</c:v>
                </c:pt>
                <c:pt idx="38">
                  <c:v>-0.355713</c:v>
                </c:pt>
                <c:pt idx="39">
                  <c:v>-0.355713</c:v>
                </c:pt>
                <c:pt idx="40">
                  <c:v>-0.355713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'FT59'!$AO$4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'FT59'!$AW$4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'FT59'!$F$6:$F$100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'FT59'!$AT$6:$AT$100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191912"/>
        <c:axId val="317189560"/>
      </c:lineChart>
      <c:catAx>
        <c:axId val="317191912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189560"/>
        <c:crosses val="autoZero"/>
        <c:auto val="0"/>
        <c:lblAlgn val="ctr"/>
        <c:lblOffset val="100"/>
        <c:noMultiLvlLbl val="0"/>
      </c:catAx>
      <c:valAx>
        <c:axId val="317189560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191912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光束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'FT60'!$W$4:$Z$4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'FT60'!$Z$6:$Z$100</c:f>
              <c:numCache>
                <c:formatCode>0.00%</c:formatCode>
                <c:ptCount val="95"/>
                <c:pt idx="0">
                  <c:v>5.6631967234921365E-3</c:v>
                </c:pt>
                <c:pt idx="1">
                  <c:v>3.7884123202733822E-3</c:v>
                </c:pt>
                <c:pt idx="2">
                  <c:v>4.336426222752765E-3</c:v>
                </c:pt>
                <c:pt idx="3">
                  <c:v>4.9421257991772993E-3</c:v>
                </c:pt>
                <c:pt idx="4">
                  <c:v>6.1246821150537922E-3</c:v>
                </c:pt>
                <c:pt idx="5">
                  <c:v>6.5573246696426502E-3</c:v>
                </c:pt>
                <c:pt idx="6">
                  <c:v>6.3842676478071958E-3</c:v>
                </c:pt>
                <c:pt idx="7">
                  <c:v>2.4327989825614349E-3</c:v>
                </c:pt>
                <c:pt idx="8">
                  <c:v>2.3462704716437077E-3</c:v>
                </c:pt>
                <c:pt idx="9">
                  <c:v>3.4134554396296757E-3</c:v>
                </c:pt>
                <c:pt idx="10">
                  <c:v>3.3269269287119485E-3</c:v>
                </c:pt>
                <c:pt idx="11">
                  <c:v>3.6441981354105035E-3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'FT60'!$AA$4:$AD$4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'FT60'!$AD$6:$AD$100</c:f>
              <c:numCache>
                <c:formatCode>0.00%</c:formatCode>
                <c:ptCount val="95"/>
                <c:pt idx="0">
                  <c:v>9.5001029533254844E-3</c:v>
                </c:pt>
                <c:pt idx="1">
                  <c:v>7.0204671469165092E-3</c:v>
                </c:pt>
                <c:pt idx="2">
                  <c:v>8.7792785909972526E-3</c:v>
                </c:pt>
                <c:pt idx="3">
                  <c:v>9.7595997237636123E-3</c:v>
                </c:pt>
                <c:pt idx="4">
                  <c:v>9.4136040298460344E-3</c:v>
                </c:pt>
                <c:pt idx="5">
                  <c:v>1.091291870348865E-2</c:v>
                </c:pt>
                <c:pt idx="6">
                  <c:v>9.2694391573802104E-3</c:v>
                </c:pt>
                <c:pt idx="7">
                  <c:v>5.8094822182053196E-3</c:v>
                </c:pt>
                <c:pt idx="8">
                  <c:v>5.4923194987808177E-3</c:v>
                </c:pt>
                <c:pt idx="9">
                  <c:v>8.3467839736004468E-3</c:v>
                </c:pt>
                <c:pt idx="10">
                  <c:v>6.6168055040127793E-3</c:v>
                </c:pt>
                <c:pt idx="11">
                  <c:v>6.9916341724234332E-3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'FT60'!$AE$4:$AH$4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'FT60'!$AH$6:$AH$100</c:f>
              <c:numCache>
                <c:formatCode>0.00%</c:formatCode>
                <c:ptCount val="95"/>
                <c:pt idx="0">
                  <c:v>-2.0429994827217302E-2</c:v>
                </c:pt>
                <c:pt idx="1">
                  <c:v>-2.1878548602759618E-2</c:v>
                </c:pt>
                <c:pt idx="2">
                  <c:v>-2.1704722149694544E-2</c:v>
                </c:pt>
                <c:pt idx="3">
                  <c:v>-2.01982262231305E-2</c:v>
                </c:pt>
                <c:pt idx="4">
                  <c:v>-1.8778643523098992E-2</c:v>
                </c:pt>
                <c:pt idx="5">
                  <c:v>-1.9126296429229139E-2</c:v>
                </c:pt>
                <c:pt idx="6">
                  <c:v>-1.9531891486380903E-2</c:v>
                </c:pt>
                <c:pt idx="7">
                  <c:v>-2.2805623019106824E-2</c:v>
                </c:pt>
                <c:pt idx="8">
                  <c:v>-2.3587842057899544E-2</c:v>
                </c:pt>
                <c:pt idx="9">
                  <c:v>-2.1183242790499324E-2</c:v>
                </c:pt>
                <c:pt idx="10">
                  <c:v>-2.2486941188487486E-2</c:v>
                </c:pt>
                <c:pt idx="11">
                  <c:v>-2.1878548602759618E-2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'FT60'!$AO$4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'FT60'!$AO$6:$AO$100</c:f>
              <c:numCache>
                <c:formatCode>0.00%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'FT60'!$AP$6:$AP$100</c:f>
              <c:numCache>
                <c:formatCode>0.00%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'FT60'!$AW$4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'FT60'!$AW$6:$AW$100</c:f>
              <c:numCache>
                <c:formatCode>0.00%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'FT60'!$AX$6:$AX$100</c:f>
              <c:numCache>
                <c:formatCode>0.00%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192696"/>
        <c:axId val="317185248"/>
      </c:lineChart>
      <c:catAx>
        <c:axId val="317192696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185248"/>
        <c:crosses val="autoZero"/>
        <c:auto val="0"/>
        <c:lblAlgn val="ctr"/>
        <c:lblOffset val="100"/>
        <c:noMultiLvlLbl val="0"/>
      </c:catAx>
      <c:valAx>
        <c:axId val="317185248"/>
        <c:scaling>
          <c:orientation val="minMax"/>
          <c:max val="3.0000000000000006E-2"/>
          <c:min val="-3.0000000000000006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192696"/>
        <c:crosses val="autoZero"/>
        <c:crossBetween val="between"/>
        <c:majorUnit val="1.0000000000000002E-2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VF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'FT60'!$W$4:$Z$4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'FT60'!$F$6:$F$96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'FT60'!$W$6:$W$100</c:f>
              <c:numCache>
                <c:formatCode>0.000</c:formatCode>
                <c:ptCount val="95"/>
                <c:pt idx="0">
                  <c:v>-2.5799999999999823E-2</c:v>
                </c:pt>
                <c:pt idx="1">
                  <c:v>-2.6799999999999713E-2</c:v>
                </c:pt>
                <c:pt idx="2">
                  <c:v>-2.4799999999999933E-2</c:v>
                </c:pt>
                <c:pt idx="3">
                  <c:v>-2.3799999999999599E-2</c:v>
                </c:pt>
                <c:pt idx="4">
                  <c:v>-2.6799999999999713E-2</c:v>
                </c:pt>
                <c:pt idx="5">
                  <c:v>-2.6799999999999713E-2</c:v>
                </c:pt>
                <c:pt idx="6">
                  <c:v>-2.4799999999999933E-2</c:v>
                </c:pt>
                <c:pt idx="7">
                  <c:v>-2.7799999999999603E-2</c:v>
                </c:pt>
                <c:pt idx="8">
                  <c:v>-2.6799999999999713E-2</c:v>
                </c:pt>
                <c:pt idx="9">
                  <c:v>-2.3799999999999599E-2</c:v>
                </c:pt>
                <c:pt idx="10">
                  <c:v>-2.6799999999999713E-2</c:v>
                </c:pt>
                <c:pt idx="11">
                  <c:v>-2.5799999999999823E-2</c:v>
                </c:pt>
                <c:pt idx="12">
                  <c:v>-2.8967999999999998</c:v>
                </c:pt>
                <c:pt idx="13">
                  <c:v>-2.8967999999999998</c:v>
                </c:pt>
                <c:pt idx="14">
                  <c:v>-2.8967999999999998</c:v>
                </c:pt>
                <c:pt idx="15">
                  <c:v>-2.8967999999999998</c:v>
                </c:pt>
                <c:pt idx="16">
                  <c:v>-2.8967999999999998</c:v>
                </c:pt>
                <c:pt idx="17">
                  <c:v>-2.8967999999999998</c:v>
                </c:pt>
                <c:pt idx="18">
                  <c:v>-2.8967999999999998</c:v>
                </c:pt>
                <c:pt idx="19">
                  <c:v>-2.8967999999999998</c:v>
                </c:pt>
                <c:pt idx="20">
                  <c:v>-2.8967999999999998</c:v>
                </c:pt>
                <c:pt idx="21">
                  <c:v>-2.8967999999999998</c:v>
                </c:pt>
                <c:pt idx="22">
                  <c:v>-2.8967999999999998</c:v>
                </c:pt>
                <c:pt idx="23">
                  <c:v>-2.8967999999999998</c:v>
                </c:pt>
                <c:pt idx="24">
                  <c:v>-2.8967999999999998</c:v>
                </c:pt>
                <c:pt idx="25">
                  <c:v>-2.8967999999999998</c:v>
                </c:pt>
                <c:pt idx="26">
                  <c:v>-2.8967999999999998</c:v>
                </c:pt>
                <c:pt idx="27">
                  <c:v>-2.8967999999999998</c:v>
                </c:pt>
                <c:pt idx="28">
                  <c:v>-2.8967999999999998</c:v>
                </c:pt>
                <c:pt idx="29">
                  <c:v>-2.8967999999999998</c:v>
                </c:pt>
                <c:pt idx="30">
                  <c:v>-2.8967999999999998</c:v>
                </c:pt>
                <c:pt idx="31">
                  <c:v>-2.8967999999999998</c:v>
                </c:pt>
                <c:pt idx="32">
                  <c:v>-2.8967999999999998</c:v>
                </c:pt>
                <c:pt idx="33">
                  <c:v>-2.8967999999999998</c:v>
                </c:pt>
                <c:pt idx="34">
                  <c:v>-2.8967999999999998</c:v>
                </c:pt>
                <c:pt idx="35">
                  <c:v>-2.8967999999999998</c:v>
                </c:pt>
                <c:pt idx="36">
                  <c:v>-2.8967999999999998</c:v>
                </c:pt>
                <c:pt idx="37">
                  <c:v>-2.8967999999999998</c:v>
                </c:pt>
                <c:pt idx="38">
                  <c:v>-2.8967999999999998</c:v>
                </c:pt>
                <c:pt idx="39">
                  <c:v>-2.8967999999999998</c:v>
                </c:pt>
                <c:pt idx="40">
                  <c:v>-2.8967999999999998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'FT60'!$AA$4:$AD$4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'FT60'!$F$6:$F$96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'FT60'!$AA$6:$AA$100</c:f>
              <c:numCache>
                <c:formatCode>0.000</c:formatCode>
                <c:ptCount val="95"/>
                <c:pt idx="0">
                  <c:v>-5.4399999999996673E-3</c:v>
                </c:pt>
                <c:pt idx="1">
                  <c:v>-5.4399999999996673E-3</c:v>
                </c:pt>
                <c:pt idx="2">
                  <c:v>-5.4399999999996673E-3</c:v>
                </c:pt>
                <c:pt idx="3">
                  <c:v>-3.4399999999998876E-3</c:v>
                </c:pt>
                <c:pt idx="4">
                  <c:v>-5.4399999999996673E-3</c:v>
                </c:pt>
                <c:pt idx="5">
                  <c:v>-6.4400000000000013E-3</c:v>
                </c:pt>
                <c:pt idx="6">
                  <c:v>-5.4399999999996673E-3</c:v>
                </c:pt>
                <c:pt idx="7">
                  <c:v>-7.4399999999998911E-3</c:v>
                </c:pt>
                <c:pt idx="8">
                  <c:v>-7.4399999999998911E-3</c:v>
                </c:pt>
                <c:pt idx="9">
                  <c:v>-4.4399999999997775E-3</c:v>
                </c:pt>
                <c:pt idx="10">
                  <c:v>-6.4400000000000013E-3</c:v>
                </c:pt>
                <c:pt idx="11">
                  <c:v>-6.4400000000000013E-3</c:v>
                </c:pt>
                <c:pt idx="12">
                  <c:v>-2.8784399999999999</c:v>
                </c:pt>
                <c:pt idx="13">
                  <c:v>-2.8784399999999999</c:v>
                </c:pt>
                <c:pt idx="14">
                  <c:v>-2.8784399999999999</c:v>
                </c:pt>
                <c:pt idx="15">
                  <c:v>-2.8784399999999999</c:v>
                </c:pt>
                <c:pt idx="16">
                  <c:v>-2.8784399999999999</c:v>
                </c:pt>
                <c:pt idx="17">
                  <c:v>-2.8784399999999999</c:v>
                </c:pt>
                <c:pt idx="18">
                  <c:v>-2.8784399999999999</c:v>
                </c:pt>
                <c:pt idx="19">
                  <c:v>-2.8784399999999999</c:v>
                </c:pt>
                <c:pt idx="20">
                  <c:v>-2.8784399999999999</c:v>
                </c:pt>
                <c:pt idx="21">
                  <c:v>-2.8784399999999999</c:v>
                </c:pt>
                <c:pt idx="22">
                  <c:v>-2.8784399999999999</c:v>
                </c:pt>
                <c:pt idx="23">
                  <c:v>-2.8784399999999999</c:v>
                </c:pt>
                <c:pt idx="24">
                  <c:v>-2.8784399999999999</c:v>
                </c:pt>
                <c:pt idx="25">
                  <c:v>-2.8784399999999999</c:v>
                </c:pt>
                <c:pt idx="26">
                  <c:v>-2.8784399999999999</c:v>
                </c:pt>
                <c:pt idx="27">
                  <c:v>-2.8784399999999999</c:v>
                </c:pt>
                <c:pt idx="28">
                  <c:v>-2.8784399999999999</c:v>
                </c:pt>
                <c:pt idx="29">
                  <c:v>-2.8784399999999999</c:v>
                </c:pt>
                <c:pt idx="30">
                  <c:v>-2.8784399999999999</c:v>
                </c:pt>
                <c:pt idx="31">
                  <c:v>-2.8784399999999999</c:v>
                </c:pt>
                <c:pt idx="32">
                  <c:v>-2.8784399999999999</c:v>
                </c:pt>
                <c:pt idx="33">
                  <c:v>-2.8784399999999999</c:v>
                </c:pt>
                <c:pt idx="34">
                  <c:v>-2.8784399999999999</c:v>
                </c:pt>
                <c:pt idx="35">
                  <c:v>-2.8784399999999999</c:v>
                </c:pt>
                <c:pt idx="36">
                  <c:v>-2.8784399999999999</c:v>
                </c:pt>
                <c:pt idx="37">
                  <c:v>-2.8784399999999999</c:v>
                </c:pt>
                <c:pt idx="38">
                  <c:v>-2.8784399999999999</c:v>
                </c:pt>
                <c:pt idx="39">
                  <c:v>-2.8784399999999999</c:v>
                </c:pt>
                <c:pt idx="40">
                  <c:v>-2.8784399999999999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'FT60'!$AE$4:$AH$4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'FT60'!$F$6:$F$96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'FT60'!$AE$6:$AE$100</c:f>
              <c:numCache>
                <c:formatCode>0.000</c:formatCode>
                <c:ptCount val="95"/>
                <c:pt idx="0">
                  <c:v>1.1999999999989797E-4</c:v>
                </c:pt>
                <c:pt idx="1">
                  <c:v>-1.8799999999998818E-3</c:v>
                </c:pt>
                <c:pt idx="2">
                  <c:v>1.1999999999989797E-4</c:v>
                </c:pt>
                <c:pt idx="3">
                  <c:v>1.1199999999997878E-3</c:v>
                </c:pt>
                <c:pt idx="4">
                  <c:v>-8.799999999999919E-4</c:v>
                </c:pt>
                <c:pt idx="5">
                  <c:v>-8.799999999999919E-4</c:v>
                </c:pt>
                <c:pt idx="6">
                  <c:v>1.1199999999997878E-3</c:v>
                </c:pt>
                <c:pt idx="7">
                  <c:v>-1.8799999999998818E-3</c:v>
                </c:pt>
                <c:pt idx="8">
                  <c:v>-1.8799999999998818E-3</c:v>
                </c:pt>
                <c:pt idx="9">
                  <c:v>1.1199999999997878E-3</c:v>
                </c:pt>
                <c:pt idx="10">
                  <c:v>-2.8799999999997716E-3</c:v>
                </c:pt>
                <c:pt idx="11">
                  <c:v>1.1999999999989797E-4</c:v>
                </c:pt>
                <c:pt idx="12">
                  <c:v>-2.87588</c:v>
                </c:pt>
                <c:pt idx="13">
                  <c:v>-2.87588</c:v>
                </c:pt>
                <c:pt idx="14">
                  <c:v>-2.87588</c:v>
                </c:pt>
                <c:pt idx="15">
                  <c:v>-2.87588</c:v>
                </c:pt>
                <c:pt idx="16">
                  <c:v>-2.87588</c:v>
                </c:pt>
                <c:pt idx="17">
                  <c:v>-2.87588</c:v>
                </c:pt>
                <c:pt idx="18">
                  <c:v>-2.87588</c:v>
                </c:pt>
                <c:pt idx="19">
                  <c:v>-2.87588</c:v>
                </c:pt>
                <c:pt idx="20">
                  <c:v>-2.87588</c:v>
                </c:pt>
                <c:pt idx="21">
                  <c:v>-2.87588</c:v>
                </c:pt>
                <c:pt idx="22">
                  <c:v>-2.87588</c:v>
                </c:pt>
                <c:pt idx="23">
                  <c:v>-2.87588</c:v>
                </c:pt>
                <c:pt idx="24">
                  <c:v>-2.87588</c:v>
                </c:pt>
                <c:pt idx="25">
                  <c:v>-2.87588</c:v>
                </c:pt>
                <c:pt idx="26">
                  <c:v>-2.87588</c:v>
                </c:pt>
                <c:pt idx="27">
                  <c:v>-2.87588</c:v>
                </c:pt>
                <c:pt idx="28">
                  <c:v>-2.87588</c:v>
                </c:pt>
                <c:pt idx="29">
                  <c:v>-2.87588</c:v>
                </c:pt>
                <c:pt idx="30">
                  <c:v>-2.87588</c:v>
                </c:pt>
                <c:pt idx="31">
                  <c:v>-2.87588</c:v>
                </c:pt>
                <c:pt idx="32">
                  <c:v>-2.87588</c:v>
                </c:pt>
                <c:pt idx="33">
                  <c:v>-2.87588</c:v>
                </c:pt>
                <c:pt idx="34">
                  <c:v>-2.87588</c:v>
                </c:pt>
                <c:pt idx="35">
                  <c:v>-2.87588</c:v>
                </c:pt>
                <c:pt idx="36">
                  <c:v>-2.87588</c:v>
                </c:pt>
                <c:pt idx="37">
                  <c:v>-2.87588</c:v>
                </c:pt>
                <c:pt idx="38">
                  <c:v>-2.87588</c:v>
                </c:pt>
                <c:pt idx="39">
                  <c:v>-2.87588</c:v>
                </c:pt>
                <c:pt idx="40">
                  <c:v>-2.87588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'FT60'!$AO$4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'FT60'!$AI$6:$AI$100</c:f>
              <c:numCache>
                <c:formatCode>General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'FT60'!$AJ$6:$AJ$100</c:f>
              <c:numCache>
                <c:formatCode>General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'FT60'!$AW$4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'FT60'!$AQ$6:$AQ$100</c:f>
              <c:numCache>
                <c:formatCode>General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'FT60'!$AR$6:$AR$100</c:f>
              <c:numCache>
                <c:formatCode>General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189168"/>
        <c:axId val="317189952"/>
      </c:lineChart>
      <c:catAx>
        <c:axId val="317189168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189952"/>
        <c:crosses val="autoZero"/>
        <c:auto val="0"/>
        <c:lblAlgn val="ctr"/>
        <c:lblOffset val="100"/>
        <c:noMultiLvlLbl val="0"/>
      </c:catAx>
      <c:valAx>
        <c:axId val="317189952"/>
        <c:scaling>
          <c:orientation val="minMax"/>
        </c:scaling>
        <c:delete val="0"/>
        <c:axPos val="l"/>
        <c:numFmt formatCode="#,##0.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18916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X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'FT60'!$W$4:$Z$4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'FT60'!$X$6:$X$100</c:f>
              <c:numCache>
                <c:formatCode>0.0000</c:formatCode>
                <c:ptCount val="95"/>
                <c:pt idx="0">
                  <c:v>-1.4899999999999913E-3</c:v>
                </c:pt>
                <c:pt idx="1">
                  <c:v>-1.5600000000000058E-3</c:v>
                </c:pt>
                <c:pt idx="2">
                  <c:v>-1.5600000000000058E-3</c:v>
                </c:pt>
                <c:pt idx="3">
                  <c:v>-1.4500000000000068E-3</c:v>
                </c:pt>
                <c:pt idx="4">
                  <c:v>-1.5899999999999803E-3</c:v>
                </c:pt>
                <c:pt idx="5">
                  <c:v>-1.6499999999999848E-3</c:v>
                </c:pt>
                <c:pt idx="6">
                  <c:v>-1.5399999999999858E-3</c:v>
                </c:pt>
                <c:pt idx="7">
                  <c:v>-1.5899999999999803E-3</c:v>
                </c:pt>
                <c:pt idx="8">
                  <c:v>-1.5600000000000058E-3</c:v>
                </c:pt>
                <c:pt idx="9">
                  <c:v>-1.5099999999999558E-3</c:v>
                </c:pt>
                <c:pt idx="10">
                  <c:v>-1.5999999999999903E-3</c:v>
                </c:pt>
                <c:pt idx="11">
                  <c:v>-1.4899999999999913E-3</c:v>
                </c:pt>
                <c:pt idx="12">
                  <c:v>-0.34178999999999998</c:v>
                </c:pt>
                <c:pt idx="13">
                  <c:v>-0.34178999999999998</c:v>
                </c:pt>
                <c:pt idx="14">
                  <c:v>-0.34178999999999998</c:v>
                </c:pt>
                <c:pt idx="15">
                  <c:v>-0.34178999999999998</c:v>
                </c:pt>
                <c:pt idx="16">
                  <c:v>-0.34178999999999998</c:v>
                </c:pt>
                <c:pt idx="17">
                  <c:v>-0.34178999999999998</c:v>
                </c:pt>
                <c:pt idx="18">
                  <c:v>-0.34178999999999998</c:v>
                </c:pt>
                <c:pt idx="19">
                  <c:v>-0.34178999999999998</c:v>
                </c:pt>
                <c:pt idx="20">
                  <c:v>-0.34178999999999998</c:v>
                </c:pt>
                <c:pt idx="21">
                  <c:v>-0.34178999999999998</c:v>
                </c:pt>
                <c:pt idx="22">
                  <c:v>-0.34178999999999998</c:v>
                </c:pt>
                <c:pt idx="23">
                  <c:v>-0.34178999999999998</c:v>
                </c:pt>
                <c:pt idx="24">
                  <c:v>-0.34178999999999998</c:v>
                </c:pt>
                <c:pt idx="25">
                  <c:v>-0.34178999999999998</c:v>
                </c:pt>
                <c:pt idx="26">
                  <c:v>-0.34178999999999998</c:v>
                </c:pt>
                <c:pt idx="27">
                  <c:v>-0.34178999999999998</c:v>
                </c:pt>
                <c:pt idx="28">
                  <c:v>-0.34178999999999998</c:v>
                </c:pt>
                <c:pt idx="29">
                  <c:v>-0.34178999999999998</c:v>
                </c:pt>
                <c:pt idx="30">
                  <c:v>-0.34178999999999998</c:v>
                </c:pt>
                <c:pt idx="31">
                  <c:v>-0.34178999999999998</c:v>
                </c:pt>
                <c:pt idx="32">
                  <c:v>-0.34178999999999998</c:v>
                </c:pt>
                <c:pt idx="33">
                  <c:v>-0.34178999999999998</c:v>
                </c:pt>
                <c:pt idx="34">
                  <c:v>-0.34178999999999998</c:v>
                </c:pt>
                <c:pt idx="35">
                  <c:v>-0.34178999999999998</c:v>
                </c:pt>
                <c:pt idx="36">
                  <c:v>-0.34178999999999998</c:v>
                </c:pt>
                <c:pt idx="37">
                  <c:v>-0.34178999999999998</c:v>
                </c:pt>
                <c:pt idx="38">
                  <c:v>-0.34178999999999998</c:v>
                </c:pt>
                <c:pt idx="39">
                  <c:v>-0.34178999999999998</c:v>
                </c:pt>
                <c:pt idx="40">
                  <c:v>-0.34178999999999998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'FT60'!$AA$4:$AD$4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'FT60'!$AB$6:$AB$100</c:f>
              <c:numCache>
                <c:formatCode>0.0000</c:formatCode>
                <c:ptCount val="95"/>
                <c:pt idx="0">
                  <c:v>-1.0531999999999986E-2</c:v>
                </c:pt>
                <c:pt idx="1">
                  <c:v>-1.0521999999999976E-2</c:v>
                </c:pt>
                <c:pt idx="2">
                  <c:v>-1.0442000000000007E-2</c:v>
                </c:pt>
                <c:pt idx="3">
                  <c:v>-1.0471999999999981E-2</c:v>
                </c:pt>
                <c:pt idx="4">
                  <c:v>-1.0631999999999975E-2</c:v>
                </c:pt>
                <c:pt idx="5">
                  <c:v>-1.0651999999999995E-2</c:v>
                </c:pt>
                <c:pt idx="6">
                  <c:v>-1.0602E-2</c:v>
                </c:pt>
                <c:pt idx="7">
                  <c:v>-1.0672000000000015E-2</c:v>
                </c:pt>
                <c:pt idx="8">
                  <c:v>-1.0541999999999996E-2</c:v>
                </c:pt>
                <c:pt idx="9">
                  <c:v>-1.0602E-2</c:v>
                </c:pt>
                <c:pt idx="10">
                  <c:v>-1.0531999999999986E-2</c:v>
                </c:pt>
                <c:pt idx="11">
                  <c:v>-1.0512000000000021E-2</c:v>
                </c:pt>
                <c:pt idx="12">
                  <c:v>-0.340362</c:v>
                </c:pt>
                <c:pt idx="13">
                  <c:v>-0.340362</c:v>
                </c:pt>
                <c:pt idx="14">
                  <c:v>-0.340362</c:v>
                </c:pt>
                <c:pt idx="15">
                  <c:v>-0.340362</c:v>
                </c:pt>
                <c:pt idx="16">
                  <c:v>-0.340362</c:v>
                </c:pt>
                <c:pt idx="17">
                  <c:v>-0.340362</c:v>
                </c:pt>
                <c:pt idx="18">
                  <c:v>-0.340362</c:v>
                </c:pt>
                <c:pt idx="19">
                  <c:v>-0.340362</c:v>
                </c:pt>
                <c:pt idx="20">
                  <c:v>-0.340362</c:v>
                </c:pt>
                <c:pt idx="21">
                  <c:v>-0.340362</c:v>
                </c:pt>
                <c:pt idx="22">
                  <c:v>-0.340362</c:v>
                </c:pt>
                <c:pt idx="23">
                  <c:v>-0.340362</c:v>
                </c:pt>
                <c:pt idx="24">
                  <c:v>-0.340362</c:v>
                </c:pt>
                <c:pt idx="25">
                  <c:v>-0.340362</c:v>
                </c:pt>
                <c:pt idx="26">
                  <c:v>-0.340362</c:v>
                </c:pt>
                <c:pt idx="27">
                  <c:v>-0.340362</c:v>
                </c:pt>
                <c:pt idx="28">
                  <c:v>-0.340362</c:v>
                </c:pt>
                <c:pt idx="29">
                  <c:v>-0.340362</c:v>
                </c:pt>
                <c:pt idx="30">
                  <c:v>-0.340362</c:v>
                </c:pt>
                <c:pt idx="31">
                  <c:v>-0.340362</c:v>
                </c:pt>
                <c:pt idx="32">
                  <c:v>-0.340362</c:v>
                </c:pt>
                <c:pt idx="33">
                  <c:v>-0.340362</c:v>
                </c:pt>
                <c:pt idx="34">
                  <c:v>-0.340362</c:v>
                </c:pt>
                <c:pt idx="35">
                  <c:v>-0.340362</c:v>
                </c:pt>
                <c:pt idx="36">
                  <c:v>-0.340362</c:v>
                </c:pt>
                <c:pt idx="37">
                  <c:v>-0.340362</c:v>
                </c:pt>
                <c:pt idx="38">
                  <c:v>-0.340362</c:v>
                </c:pt>
                <c:pt idx="39">
                  <c:v>-0.340362</c:v>
                </c:pt>
                <c:pt idx="40">
                  <c:v>-0.340362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'FT60'!$AE$4:$AH$4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'FT60'!$AF$6:$AF$100</c:f>
              <c:numCache>
                <c:formatCode>0.0000</c:formatCode>
                <c:ptCount val="95"/>
                <c:pt idx="0">
                  <c:v>-3.461000000000003E-2</c:v>
                </c:pt>
                <c:pt idx="1">
                  <c:v>-3.4509999999999985E-2</c:v>
                </c:pt>
                <c:pt idx="2">
                  <c:v>-3.461000000000003E-2</c:v>
                </c:pt>
                <c:pt idx="3">
                  <c:v>-3.458E-2</c:v>
                </c:pt>
                <c:pt idx="4">
                  <c:v>-3.456999999999999E-2</c:v>
                </c:pt>
                <c:pt idx="5">
                  <c:v>-3.4540000000000015E-2</c:v>
                </c:pt>
                <c:pt idx="6">
                  <c:v>-3.4480000000000011E-2</c:v>
                </c:pt>
                <c:pt idx="7">
                  <c:v>-3.4519999999999995E-2</c:v>
                </c:pt>
                <c:pt idx="8">
                  <c:v>-3.4509999999999985E-2</c:v>
                </c:pt>
                <c:pt idx="9">
                  <c:v>-3.4689999999999999E-2</c:v>
                </c:pt>
                <c:pt idx="10">
                  <c:v>-3.4669999999999979E-2</c:v>
                </c:pt>
                <c:pt idx="11">
                  <c:v>-3.4519999999999995E-2</c:v>
                </c:pt>
                <c:pt idx="12">
                  <c:v>-0.34109</c:v>
                </c:pt>
                <c:pt idx="13">
                  <c:v>-0.34109</c:v>
                </c:pt>
                <c:pt idx="14">
                  <c:v>-0.34109</c:v>
                </c:pt>
                <c:pt idx="15">
                  <c:v>-0.34109</c:v>
                </c:pt>
                <c:pt idx="16">
                  <c:v>-0.34109</c:v>
                </c:pt>
                <c:pt idx="17">
                  <c:v>-0.34109</c:v>
                </c:pt>
                <c:pt idx="18">
                  <c:v>-0.34109</c:v>
                </c:pt>
                <c:pt idx="19">
                  <c:v>-0.34109</c:v>
                </c:pt>
                <c:pt idx="20">
                  <c:v>-0.34109</c:v>
                </c:pt>
                <c:pt idx="21">
                  <c:v>-0.34109</c:v>
                </c:pt>
                <c:pt idx="22">
                  <c:v>-0.34109</c:v>
                </c:pt>
                <c:pt idx="23">
                  <c:v>-0.34109</c:v>
                </c:pt>
                <c:pt idx="24">
                  <c:v>-0.34109</c:v>
                </c:pt>
                <c:pt idx="25">
                  <c:v>-0.34109</c:v>
                </c:pt>
                <c:pt idx="26">
                  <c:v>-0.34109</c:v>
                </c:pt>
                <c:pt idx="27">
                  <c:v>-0.34109</c:v>
                </c:pt>
                <c:pt idx="28">
                  <c:v>-0.34109</c:v>
                </c:pt>
                <c:pt idx="29">
                  <c:v>-0.34109</c:v>
                </c:pt>
                <c:pt idx="30">
                  <c:v>-0.34109</c:v>
                </c:pt>
                <c:pt idx="31">
                  <c:v>-0.34109</c:v>
                </c:pt>
                <c:pt idx="32">
                  <c:v>-0.34109</c:v>
                </c:pt>
                <c:pt idx="33">
                  <c:v>-0.34109</c:v>
                </c:pt>
                <c:pt idx="34">
                  <c:v>-0.34109</c:v>
                </c:pt>
                <c:pt idx="35">
                  <c:v>-0.34109</c:v>
                </c:pt>
                <c:pt idx="36">
                  <c:v>-0.34109</c:v>
                </c:pt>
                <c:pt idx="37">
                  <c:v>-0.34109</c:v>
                </c:pt>
                <c:pt idx="38">
                  <c:v>-0.34109</c:v>
                </c:pt>
                <c:pt idx="39">
                  <c:v>-0.34109</c:v>
                </c:pt>
                <c:pt idx="40">
                  <c:v>-0.34109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'FT60'!$AO$4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'FT60'!$AW$4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197400"/>
        <c:axId val="317198184"/>
      </c:lineChart>
      <c:catAx>
        <c:axId val="317197400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198184"/>
        <c:crosses val="autoZero"/>
        <c:auto val="0"/>
        <c:lblAlgn val="ctr"/>
        <c:lblOffset val="100"/>
        <c:noMultiLvlLbl val="0"/>
      </c:catAx>
      <c:valAx>
        <c:axId val="317198184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197400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y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'FT60'!$W$4:$Z$4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'FT60'!$Y$6:$Y$100</c:f>
              <c:numCache>
                <c:formatCode>0.0000</c:formatCode>
                <c:ptCount val="95"/>
                <c:pt idx="0">
                  <c:v>-3.2000000000032003E-5</c:v>
                </c:pt>
                <c:pt idx="1">
                  <c:v>4.7999999999992493E-5</c:v>
                </c:pt>
                <c:pt idx="2">
                  <c:v>9.7999999999986986E-5</c:v>
                </c:pt>
                <c:pt idx="3">
                  <c:v>2.2800000000000598E-4</c:v>
                </c:pt>
                <c:pt idx="4">
                  <c:v>2.7999999999972491E-5</c:v>
                </c:pt>
                <c:pt idx="5">
                  <c:v>9.7999999999986986E-5</c:v>
                </c:pt>
                <c:pt idx="6">
                  <c:v>1.7799999999995597E-4</c:v>
                </c:pt>
                <c:pt idx="7">
                  <c:v>2.7999999999972491E-5</c:v>
                </c:pt>
                <c:pt idx="8">
                  <c:v>3.7999999999982492E-5</c:v>
                </c:pt>
                <c:pt idx="9">
                  <c:v>8.7999999999976986E-5</c:v>
                </c:pt>
                <c:pt idx="10">
                  <c:v>-1.2200000000001099E-4</c:v>
                </c:pt>
                <c:pt idx="11">
                  <c:v>1.2799999999996148E-4</c:v>
                </c:pt>
                <c:pt idx="12">
                  <c:v>-0.35648200000000002</c:v>
                </c:pt>
                <c:pt idx="13">
                  <c:v>-0.35648200000000002</c:v>
                </c:pt>
                <c:pt idx="14">
                  <c:v>-0.35648200000000002</c:v>
                </c:pt>
                <c:pt idx="15">
                  <c:v>-0.35648200000000002</c:v>
                </c:pt>
                <c:pt idx="16">
                  <c:v>-0.35648200000000002</c:v>
                </c:pt>
                <c:pt idx="17">
                  <c:v>-0.35648200000000002</c:v>
                </c:pt>
                <c:pt idx="18">
                  <c:v>-0.35648200000000002</c:v>
                </c:pt>
                <c:pt idx="19">
                  <c:v>-0.35648200000000002</c:v>
                </c:pt>
                <c:pt idx="20">
                  <c:v>-0.35648200000000002</c:v>
                </c:pt>
                <c:pt idx="21">
                  <c:v>-0.35648200000000002</c:v>
                </c:pt>
                <c:pt idx="22">
                  <c:v>-0.35648200000000002</c:v>
                </c:pt>
                <c:pt idx="23">
                  <c:v>-0.35648200000000002</c:v>
                </c:pt>
                <c:pt idx="24">
                  <c:v>-0.35648200000000002</c:v>
                </c:pt>
                <c:pt idx="25">
                  <c:v>-0.35648200000000002</c:v>
                </c:pt>
                <c:pt idx="26">
                  <c:v>-0.35648200000000002</c:v>
                </c:pt>
                <c:pt idx="27">
                  <c:v>-0.35648200000000002</c:v>
                </c:pt>
                <c:pt idx="28">
                  <c:v>-0.35648200000000002</c:v>
                </c:pt>
                <c:pt idx="29">
                  <c:v>-0.35648200000000002</c:v>
                </c:pt>
                <c:pt idx="30">
                  <c:v>-0.35648200000000002</c:v>
                </c:pt>
                <c:pt idx="31">
                  <c:v>-0.35648200000000002</c:v>
                </c:pt>
                <c:pt idx="32">
                  <c:v>-0.35648200000000002</c:v>
                </c:pt>
                <c:pt idx="33">
                  <c:v>-0.35648200000000002</c:v>
                </c:pt>
                <c:pt idx="34">
                  <c:v>-0.35648200000000002</c:v>
                </c:pt>
                <c:pt idx="35">
                  <c:v>-0.35648200000000002</c:v>
                </c:pt>
                <c:pt idx="36">
                  <c:v>-0.35648200000000002</c:v>
                </c:pt>
                <c:pt idx="37">
                  <c:v>-0.35648200000000002</c:v>
                </c:pt>
                <c:pt idx="38">
                  <c:v>-0.35648200000000002</c:v>
                </c:pt>
                <c:pt idx="39">
                  <c:v>-0.35648200000000002</c:v>
                </c:pt>
                <c:pt idx="40">
                  <c:v>-0.35648200000000002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'FT60'!$AA$4:$AD$4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'FT60'!$AC$6:$AC$100</c:f>
              <c:numCache>
                <c:formatCode>0.0000</c:formatCode>
                <c:ptCount val="95"/>
                <c:pt idx="0">
                  <c:v>-8.4759999999999835E-3</c:v>
                </c:pt>
                <c:pt idx="1">
                  <c:v>-8.3360000000000101E-3</c:v>
                </c:pt>
                <c:pt idx="2">
                  <c:v>-8.2260000000000111E-3</c:v>
                </c:pt>
                <c:pt idx="3">
                  <c:v>-8.0760000000000276E-3</c:v>
                </c:pt>
                <c:pt idx="4">
                  <c:v>-8.3960000000000146E-3</c:v>
                </c:pt>
                <c:pt idx="5">
                  <c:v>-8.4560000000000191E-3</c:v>
                </c:pt>
                <c:pt idx="6">
                  <c:v>-8.4060000000000246E-3</c:v>
                </c:pt>
                <c:pt idx="7">
                  <c:v>-8.566000000000018E-3</c:v>
                </c:pt>
                <c:pt idx="8">
                  <c:v>-8.2960000000000256E-3</c:v>
                </c:pt>
                <c:pt idx="9">
                  <c:v>-8.1860000000000266E-3</c:v>
                </c:pt>
                <c:pt idx="10">
                  <c:v>-8.3560000000000301E-3</c:v>
                </c:pt>
                <c:pt idx="11">
                  <c:v>-8.2960000000000256E-3</c:v>
                </c:pt>
                <c:pt idx="12">
                  <c:v>-0.35580600000000001</c:v>
                </c:pt>
                <c:pt idx="13">
                  <c:v>-0.35580600000000001</c:v>
                </c:pt>
                <c:pt idx="14">
                  <c:v>-0.35580600000000001</c:v>
                </c:pt>
                <c:pt idx="15">
                  <c:v>-0.35580600000000001</c:v>
                </c:pt>
                <c:pt idx="16">
                  <c:v>-0.35580600000000001</c:v>
                </c:pt>
                <c:pt idx="17">
                  <c:v>-0.35580600000000001</c:v>
                </c:pt>
                <c:pt idx="18">
                  <c:v>-0.35580600000000001</c:v>
                </c:pt>
                <c:pt idx="19">
                  <c:v>-0.35580600000000001</c:v>
                </c:pt>
                <c:pt idx="20">
                  <c:v>-0.35580600000000001</c:v>
                </c:pt>
                <c:pt idx="21">
                  <c:v>-0.35580600000000001</c:v>
                </c:pt>
                <c:pt idx="22">
                  <c:v>-0.35580600000000001</c:v>
                </c:pt>
                <c:pt idx="23">
                  <c:v>-0.35580600000000001</c:v>
                </c:pt>
                <c:pt idx="24">
                  <c:v>-0.35580600000000001</c:v>
                </c:pt>
                <c:pt idx="25">
                  <c:v>-0.35580600000000001</c:v>
                </c:pt>
                <c:pt idx="26">
                  <c:v>-0.35580600000000001</c:v>
                </c:pt>
                <c:pt idx="27">
                  <c:v>-0.35580600000000001</c:v>
                </c:pt>
                <c:pt idx="28">
                  <c:v>-0.35580600000000001</c:v>
                </c:pt>
                <c:pt idx="29">
                  <c:v>-0.35580600000000001</c:v>
                </c:pt>
                <c:pt idx="30">
                  <c:v>-0.35580600000000001</c:v>
                </c:pt>
                <c:pt idx="31">
                  <c:v>-0.35580600000000001</c:v>
                </c:pt>
                <c:pt idx="32">
                  <c:v>-0.35580600000000001</c:v>
                </c:pt>
                <c:pt idx="33">
                  <c:v>-0.35580600000000001</c:v>
                </c:pt>
                <c:pt idx="34">
                  <c:v>-0.35580600000000001</c:v>
                </c:pt>
                <c:pt idx="35">
                  <c:v>-0.35580600000000001</c:v>
                </c:pt>
                <c:pt idx="36">
                  <c:v>-0.35580600000000001</c:v>
                </c:pt>
                <c:pt idx="37">
                  <c:v>-0.35580600000000001</c:v>
                </c:pt>
                <c:pt idx="38">
                  <c:v>-0.35580600000000001</c:v>
                </c:pt>
                <c:pt idx="39">
                  <c:v>-0.35580600000000001</c:v>
                </c:pt>
                <c:pt idx="40">
                  <c:v>-0.35580600000000001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'FT60'!$AE$4:$AH$4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'FT60'!$AG$6:$AG$100</c:f>
              <c:numCache>
                <c:formatCode>0.0000</c:formatCode>
                <c:ptCount val="95"/>
                <c:pt idx="0">
                  <c:v>-3.2181000000000015E-2</c:v>
                </c:pt>
                <c:pt idx="1">
                  <c:v>-3.2091000000000036E-2</c:v>
                </c:pt>
                <c:pt idx="2">
                  <c:v>-3.2131000000000021E-2</c:v>
                </c:pt>
                <c:pt idx="3">
                  <c:v>-3.2131000000000021E-2</c:v>
                </c:pt>
                <c:pt idx="4">
                  <c:v>-3.1940999999999997E-2</c:v>
                </c:pt>
                <c:pt idx="5">
                  <c:v>-3.221099999999999E-2</c:v>
                </c:pt>
                <c:pt idx="6">
                  <c:v>-3.2091000000000036E-2</c:v>
                </c:pt>
                <c:pt idx="7">
                  <c:v>-3.2081000000000026E-2</c:v>
                </c:pt>
                <c:pt idx="8">
                  <c:v>-3.1990999999999992E-2</c:v>
                </c:pt>
                <c:pt idx="9">
                  <c:v>-3.225100000000003E-2</c:v>
                </c:pt>
                <c:pt idx="10">
                  <c:v>-3.2191000000000025E-2</c:v>
                </c:pt>
                <c:pt idx="11">
                  <c:v>-3.2031000000000032E-2</c:v>
                </c:pt>
                <c:pt idx="12">
                  <c:v>-0.35306100000000001</c:v>
                </c:pt>
                <c:pt idx="13">
                  <c:v>-0.35306100000000001</c:v>
                </c:pt>
                <c:pt idx="14">
                  <c:v>-0.35306100000000001</c:v>
                </c:pt>
                <c:pt idx="15">
                  <c:v>-0.35306100000000001</c:v>
                </c:pt>
                <c:pt idx="16">
                  <c:v>-0.35306100000000001</c:v>
                </c:pt>
                <c:pt idx="17">
                  <c:v>-0.35306100000000001</c:v>
                </c:pt>
                <c:pt idx="18">
                  <c:v>-0.35306100000000001</c:v>
                </c:pt>
                <c:pt idx="19">
                  <c:v>-0.35306100000000001</c:v>
                </c:pt>
                <c:pt idx="20">
                  <c:v>-0.35306100000000001</c:v>
                </c:pt>
                <c:pt idx="21">
                  <c:v>-0.35306100000000001</c:v>
                </c:pt>
                <c:pt idx="22">
                  <c:v>-0.35306100000000001</c:v>
                </c:pt>
                <c:pt idx="23">
                  <c:v>-0.35306100000000001</c:v>
                </c:pt>
                <c:pt idx="24">
                  <c:v>-0.35306100000000001</c:v>
                </c:pt>
                <c:pt idx="25">
                  <c:v>-0.35306100000000001</c:v>
                </c:pt>
                <c:pt idx="26">
                  <c:v>-0.35306100000000001</c:v>
                </c:pt>
                <c:pt idx="27">
                  <c:v>-0.35306100000000001</c:v>
                </c:pt>
                <c:pt idx="28">
                  <c:v>-0.35306100000000001</c:v>
                </c:pt>
                <c:pt idx="29">
                  <c:v>-0.35306100000000001</c:v>
                </c:pt>
                <c:pt idx="30">
                  <c:v>-0.35306100000000001</c:v>
                </c:pt>
                <c:pt idx="31">
                  <c:v>-0.35306100000000001</c:v>
                </c:pt>
                <c:pt idx="32">
                  <c:v>-0.35306100000000001</c:v>
                </c:pt>
                <c:pt idx="33">
                  <c:v>-0.35306100000000001</c:v>
                </c:pt>
                <c:pt idx="34">
                  <c:v>-0.35306100000000001</c:v>
                </c:pt>
                <c:pt idx="35">
                  <c:v>-0.35306100000000001</c:v>
                </c:pt>
                <c:pt idx="36">
                  <c:v>-0.35306100000000001</c:v>
                </c:pt>
                <c:pt idx="37">
                  <c:v>-0.35306100000000001</c:v>
                </c:pt>
                <c:pt idx="38">
                  <c:v>-0.35306100000000001</c:v>
                </c:pt>
                <c:pt idx="39">
                  <c:v>-0.35306100000000001</c:v>
                </c:pt>
                <c:pt idx="40">
                  <c:v>-0.35306100000000001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'FT60'!$AO$4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'FT60'!$AW$4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'FT60'!$AT$6:$AT$100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74536"/>
        <c:axId val="317978456"/>
      </c:lineChart>
      <c:catAx>
        <c:axId val="317974536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978456"/>
        <c:crosses val="autoZero"/>
        <c:auto val="0"/>
        <c:lblAlgn val="ctr"/>
        <c:lblOffset val="100"/>
        <c:noMultiLvlLbl val="0"/>
      </c:catAx>
      <c:valAx>
        <c:axId val="317978456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974536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光束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'FT65'!$W$4:$Z$4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'FT65'!$Z$6:$Z$100</c:f>
              <c:numCache>
                <c:formatCode>0.00%</c:formatCode>
                <c:ptCount val="95"/>
                <c:pt idx="0">
                  <c:v>-5.1490334465232879E-3</c:v>
                </c:pt>
                <c:pt idx="1">
                  <c:v>-4.4462199732190344E-3</c:v>
                </c:pt>
                <c:pt idx="2">
                  <c:v>-6.258738930687846E-3</c:v>
                </c:pt>
                <c:pt idx="3">
                  <c:v>-7.4054345976577451E-3</c:v>
                </c:pt>
                <c:pt idx="4">
                  <c:v>-4.7051512528574202E-3</c:v>
                </c:pt>
                <c:pt idx="5">
                  <c:v>-8.922032092682608E-3</c:v>
                </c:pt>
                <c:pt idx="6">
                  <c:v>-5.9628174682437862E-3</c:v>
                </c:pt>
                <c:pt idx="7">
                  <c:v>-4.3722396076080194E-3</c:v>
                </c:pt>
                <c:pt idx="8">
                  <c:v>-7.590385511685116E-3</c:v>
                </c:pt>
                <c:pt idx="9">
                  <c:v>-1.1955227082732223E-2</c:v>
                </c:pt>
                <c:pt idx="10">
                  <c:v>-4.7421414356629832E-3</c:v>
                </c:pt>
                <c:pt idx="11">
                  <c:v>-8.7000909958496742E-3</c:v>
                </c:pt>
                <c:pt idx="12">
                  <c:v>-5.4819450917725776E-3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'FT65'!$AA$4:$AD$4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'FT65'!$AD$6:$AD$100</c:f>
              <c:numCache>
                <c:formatCode>0.00%</c:formatCode>
                <c:ptCount val="95"/>
                <c:pt idx="0">
                  <c:v>2.7707514353813689E-2</c:v>
                </c:pt>
                <c:pt idx="1">
                  <c:v>2.8109019633608234E-2</c:v>
                </c:pt>
                <c:pt idx="2">
                  <c:v>2.7050505714150352E-2</c:v>
                </c:pt>
                <c:pt idx="3">
                  <c:v>2.6722001394318351E-2</c:v>
                </c:pt>
                <c:pt idx="4">
                  <c:v>2.7744014833795072E-2</c:v>
                </c:pt>
                <c:pt idx="5">
                  <c:v>2.3619460595906805E-2</c:v>
                </c:pt>
                <c:pt idx="6">
                  <c:v>2.518898123510338E-2</c:v>
                </c:pt>
                <c:pt idx="7">
                  <c:v>2.7744014833795072E-2</c:v>
                </c:pt>
                <c:pt idx="8">
                  <c:v>2.5845989874766939E-2</c:v>
                </c:pt>
                <c:pt idx="9">
                  <c:v>2.1903938036785142E-2</c:v>
                </c:pt>
                <c:pt idx="10">
                  <c:v>2.8766028273271793E-2</c:v>
                </c:pt>
                <c:pt idx="11">
                  <c:v>2.6941004274206204E-2</c:v>
                </c:pt>
                <c:pt idx="12">
                  <c:v>2.7160007154094057E-2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'FT65'!$AE$4:$AH$4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'FT65'!$AH$6:$AH$100</c:f>
              <c:numCache>
                <c:formatCode>0.00%</c:formatCode>
                <c:ptCount val="95"/>
                <c:pt idx="0">
                  <c:v>1.3335782512858163E-2</c:v>
                </c:pt>
                <c:pt idx="1">
                  <c:v>1.4548126377663451E-2</c:v>
                </c:pt>
                <c:pt idx="2">
                  <c:v>1.5025716385011156E-2</c:v>
                </c:pt>
                <c:pt idx="3">
                  <c:v>1.4915503306392353E-2</c:v>
                </c:pt>
                <c:pt idx="4">
                  <c:v>1.5356355620867124E-2</c:v>
                </c:pt>
                <c:pt idx="5">
                  <c:v>1.2490815576781777E-2</c:v>
                </c:pt>
                <c:pt idx="6">
                  <c:v>1.2821454812637745E-2</c:v>
                </c:pt>
                <c:pt idx="7">
                  <c:v>1.4988978692138222E-2</c:v>
                </c:pt>
                <c:pt idx="8">
                  <c:v>1.4033798677443032E-2</c:v>
                </c:pt>
                <c:pt idx="9">
                  <c:v>1.1425422483468006E-2</c:v>
                </c:pt>
                <c:pt idx="10">
                  <c:v>1.4768552534900836E-2</c:v>
                </c:pt>
                <c:pt idx="11">
                  <c:v>1.4070536370315967E-2</c:v>
                </c:pt>
                <c:pt idx="12">
                  <c:v>1.708302718589283E-2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'FT65'!$AO$4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'FT65'!$AO$6:$AO$100</c:f>
              <c:numCache>
                <c:formatCode>0.00%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'FT65'!$AP$6:$AP$100</c:f>
              <c:numCache>
                <c:formatCode>0.00%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'FT65'!$AW$4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'FT65'!$AW$6:$AW$100</c:f>
              <c:numCache>
                <c:formatCode>0.00%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'FT65'!$AX$6:$AX$100</c:f>
              <c:numCache>
                <c:formatCode>0.00%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84336"/>
        <c:axId val="317977672"/>
      </c:lineChart>
      <c:catAx>
        <c:axId val="317984336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977672"/>
        <c:crosses val="autoZero"/>
        <c:auto val="0"/>
        <c:lblAlgn val="ctr"/>
        <c:lblOffset val="100"/>
        <c:noMultiLvlLbl val="0"/>
      </c:catAx>
      <c:valAx>
        <c:axId val="317977672"/>
        <c:scaling>
          <c:orientation val="minMax"/>
          <c:max val="3.0000000000000006E-2"/>
          <c:min val="-3.0000000000000006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984336"/>
        <c:crosses val="autoZero"/>
        <c:crossBetween val="between"/>
        <c:majorUnit val="1.0000000000000002E-2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VF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'FT65'!$W$4:$Z$4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'FT65'!$F$6:$F$96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'FT65'!$W$6:$W$100</c:f>
              <c:numCache>
                <c:formatCode>0.000</c:formatCode>
                <c:ptCount val="95"/>
                <c:pt idx="0">
                  <c:v>-2.0199999999999108E-3</c:v>
                </c:pt>
                <c:pt idx="1">
                  <c:v>-3.0200000000002447E-3</c:v>
                </c:pt>
                <c:pt idx="2">
                  <c:v>1.9800000000000928E-3</c:v>
                </c:pt>
                <c:pt idx="3">
                  <c:v>-2.0199999999999108E-3</c:v>
                </c:pt>
                <c:pt idx="4">
                  <c:v>9.7999999999975884E-4</c:v>
                </c:pt>
                <c:pt idx="5">
                  <c:v>9.7999999999975884E-4</c:v>
                </c:pt>
                <c:pt idx="6">
                  <c:v>-2.0000000000131024E-5</c:v>
                </c:pt>
                <c:pt idx="7">
                  <c:v>-2.0000000000131024E-5</c:v>
                </c:pt>
                <c:pt idx="8">
                  <c:v>3.9799999999998725E-3</c:v>
                </c:pt>
                <c:pt idx="9">
                  <c:v>-4.0200000000001346E-3</c:v>
                </c:pt>
                <c:pt idx="10">
                  <c:v>-3.0200000000002447E-3</c:v>
                </c:pt>
                <c:pt idx="11">
                  <c:v>-2.0000000000131024E-5</c:v>
                </c:pt>
                <c:pt idx="12">
                  <c:v>-2.0000000000131024E-5</c:v>
                </c:pt>
                <c:pt idx="13">
                  <c:v>-3.1130200000000001</c:v>
                </c:pt>
                <c:pt idx="14">
                  <c:v>-3.1130200000000001</c:v>
                </c:pt>
                <c:pt idx="15">
                  <c:v>-3.1130200000000001</c:v>
                </c:pt>
                <c:pt idx="16">
                  <c:v>-3.1130200000000001</c:v>
                </c:pt>
                <c:pt idx="17">
                  <c:v>-3.1130200000000001</c:v>
                </c:pt>
                <c:pt idx="18">
                  <c:v>-3.1130200000000001</c:v>
                </c:pt>
                <c:pt idx="19">
                  <c:v>-3.1130200000000001</c:v>
                </c:pt>
                <c:pt idx="20">
                  <c:v>-3.1130200000000001</c:v>
                </c:pt>
                <c:pt idx="21">
                  <c:v>-3.1130200000000001</c:v>
                </c:pt>
                <c:pt idx="22">
                  <c:v>-3.1130200000000001</c:v>
                </c:pt>
                <c:pt idx="23">
                  <c:v>-3.1130200000000001</c:v>
                </c:pt>
                <c:pt idx="24">
                  <c:v>-3.1130200000000001</c:v>
                </c:pt>
                <c:pt idx="25">
                  <c:v>-3.1130200000000001</c:v>
                </c:pt>
                <c:pt idx="26">
                  <c:v>-3.1130200000000001</c:v>
                </c:pt>
                <c:pt idx="27">
                  <c:v>-3.1130200000000001</c:v>
                </c:pt>
                <c:pt idx="28">
                  <c:v>-3.1130200000000001</c:v>
                </c:pt>
                <c:pt idx="29">
                  <c:v>-3.1130200000000001</c:v>
                </c:pt>
                <c:pt idx="30">
                  <c:v>-3.1130200000000001</c:v>
                </c:pt>
                <c:pt idx="31">
                  <c:v>-3.1130200000000001</c:v>
                </c:pt>
                <c:pt idx="32">
                  <c:v>-3.1130200000000001</c:v>
                </c:pt>
                <c:pt idx="33">
                  <c:v>-3.1130200000000001</c:v>
                </c:pt>
                <c:pt idx="34">
                  <c:v>-3.1130200000000001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'FT65'!$AA$4:$AD$4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'FT65'!$F$6:$F$96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'FT65'!$AA$6:$AA$100</c:f>
              <c:numCache>
                <c:formatCode>0.000</c:formatCode>
                <c:ptCount val="95"/>
                <c:pt idx="0">
                  <c:v>-7.8999999999984638E-4</c:v>
                </c:pt>
                <c:pt idx="1">
                  <c:v>-2.7900000000000702E-3</c:v>
                </c:pt>
                <c:pt idx="2">
                  <c:v>2.2099999999998232E-3</c:v>
                </c:pt>
                <c:pt idx="3">
                  <c:v>-1.7900000000001803E-3</c:v>
                </c:pt>
                <c:pt idx="4">
                  <c:v>1.2099999999999334E-3</c:v>
                </c:pt>
                <c:pt idx="5">
                  <c:v>1.2099999999999334E-3</c:v>
                </c:pt>
                <c:pt idx="6">
                  <c:v>2.1000000000004349E-4</c:v>
                </c:pt>
                <c:pt idx="7">
                  <c:v>-7.8999999999984638E-4</c:v>
                </c:pt>
                <c:pt idx="8">
                  <c:v>3.2100000000001572E-3</c:v>
                </c:pt>
                <c:pt idx="9">
                  <c:v>-3.7899999999999601E-3</c:v>
                </c:pt>
                <c:pt idx="10">
                  <c:v>-1.7900000000001803E-3</c:v>
                </c:pt>
                <c:pt idx="11">
                  <c:v>-7.8999999999984638E-4</c:v>
                </c:pt>
                <c:pt idx="12">
                  <c:v>2.1000000000004349E-4</c:v>
                </c:pt>
                <c:pt idx="13">
                  <c:v>-3.1117900000000001</c:v>
                </c:pt>
                <c:pt idx="14">
                  <c:v>-3.1117900000000001</c:v>
                </c:pt>
                <c:pt idx="15">
                  <c:v>-3.1117900000000001</c:v>
                </c:pt>
                <c:pt idx="16">
                  <c:v>-3.1117900000000001</c:v>
                </c:pt>
                <c:pt idx="17">
                  <c:v>-3.1117900000000001</c:v>
                </c:pt>
                <c:pt idx="18">
                  <c:v>-3.1117900000000001</c:v>
                </c:pt>
                <c:pt idx="19">
                  <c:v>-3.1117900000000001</c:v>
                </c:pt>
                <c:pt idx="20">
                  <c:v>-3.1117900000000001</c:v>
                </c:pt>
                <c:pt idx="21">
                  <c:v>-3.1117900000000001</c:v>
                </c:pt>
                <c:pt idx="22">
                  <c:v>-3.1117900000000001</c:v>
                </c:pt>
                <c:pt idx="23">
                  <c:v>-3.1117900000000001</c:v>
                </c:pt>
                <c:pt idx="24">
                  <c:v>-3.1117900000000001</c:v>
                </c:pt>
                <c:pt idx="25">
                  <c:v>-3.1117900000000001</c:v>
                </c:pt>
                <c:pt idx="26">
                  <c:v>-3.1117900000000001</c:v>
                </c:pt>
                <c:pt idx="27">
                  <c:v>-3.1117900000000001</c:v>
                </c:pt>
                <c:pt idx="28">
                  <c:v>-3.1117900000000001</c:v>
                </c:pt>
                <c:pt idx="29">
                  <c:v>-3.1117900000000001</c:v>
                </c:pt>
                <c:pt idx="30">
                  <c:v>-3.1117900000000001</c:v>
                </c:pt>
                <c:pt idx="31">
                  <c:v>-3.1117900000000001</c:v>
                </c:pt>
                <c:pt idx="32">
                  <c:v>-3.1117900000000001</c:v>
                </c:pt>
                <c:pt idx="33">
                  <c:v>-3.1117900000000001</c:v>
                </c:pt>
                <c:pt idx="34">
                  <c:v>-3.1117900000000001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'FT65'!$AE$4:$AH$4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'FT65'!$F$6:$F$96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'FT65'!$AE$6:$AE$100</c:f>
              <c:numCache>
                <c:formatCode>0.000</c:formatCode>
                <c:ptCount val="95"/>
                <c:pt idx="0">
                  <c:v>-4.8199999999996024E-3</c:v>
                </c:pt>
                <c:pt idx="1">
                  <c:v>-7.8199999999997161E-3</c:v>
                </c:pt>
                <c:pt idx="2">
                  <c:v>-1.8199999999999328E-3</c:v>
                </c:pt>
                <c:pt idx="3">
                  <c:v>-6.8199999999998262E-3</c:v>
                </c:pt>
                <c:pt idx="4">
                  <c:v>-3.8199999999997125E-3</c:v>
                </c:pt>
                <c:pt idx="5">
                  <c:v>-4.8199999999996024E-3</c:v>
                </c:pt>
                <c:pt idx="6">
                  <c:v>-4.8199999999996024E-3</c:v>
                </c:pt>
                <c:pt idx="7">
                  <c:v>-4.8199999999996024E-3</c:v>
                </c:pt>
                <c:pt idx="8">
                  <c:v>-8.1999999999959883E-4</c:v>
                </c:pt>
                <c:pt idx="9">
                  <c:v>-8.8199999999996059E-3</c:v>
                </c:pt>
                <c:pt idx="10">
                  <c:v>-6.8199999999998262E-3</c:v>
                </c:pt>
                <c:pt idx="11">
                  <c:v>-4.8199999999996024E-3</c:v>
                </c:pt>
                <c:pt idx="12">
                  <c:v>-3.8199999999997125E-3</c:v>
                </c:pt>
                <c:pt idx="13">
                  <c:v>-3.1078199999999998</c:v>
                </c:pt>
                <c:pt idx="14">
                  <c:v>-3.1078199999999998</c:v>
                </c:pt>
                <c:pt idx="15">
                  <c:v>-3.1078199999999998</c:v>
                </c:pt>
                <c:pt idx="16">
                  <c:v>-3.1078199999999998</c:v>
                </c:pt>
                <c:pt idx="17">
                  <c:v>-3.1078199999999998</c:v>
                </c:pt>
                <c:pt idx="18">
                  <c:v>-3.1078199999999998</c:v>
                </c:pt>
                <c:pt idx="19">
                  <c:v>-3.1078199999999998</c:v>
                </c:pt>
                <c:pt idx="20">
                  <c:v>-3.1078199999999998</c:v>
                </c:pt>
                <c:pt idx="21">
                  <c:v>-3.1078199999999998</c:v>
                </c:pt>
                <c:pt idx="22">
                  <c:v>-3.1078199999999998</c:v>
                </c:pt>
                <c:pt idx="23">
                  <c:v>-3.1078199999999998</c:v>
                </c:pt>
                <c:pt idx="24">
                  <c:v>-3.1078199999999998</c:v>
                </c:pt>
                <c:pt idx="25">
                  <c:v>-3.1078199999999998</c:v>
                </c:pt>
                <c:pt idx="26">
                  <c:v>-3.1078199999999998</c:v>
                </c:pt>
                <c:pt idx="27">
                  <c:v>-3.1078199999999998</c:v>
                </c:pt>
                <c:pt idx="28">
                  <c:v>-3.1078199999999998</c:v>
                </c:pt>
                <c:pt idx="29">
                  <c:v>-3.1078199999999998</c:v>
                </c:pt>
                <c:pt idx="30">
                  <c:v>-3.1078199999999998</c:v>
                </c:pt>
                <c:pt idx="31">
                  <c:v>-3.1078199999999998</c:v>
                </c:pt>
                <c:pt idx="32">
                  <c:v>-3.1078199999999998</c:v>
                </c:pt>
                <c:pt idx="33">
                  <c:v>-3.1078199999999998</c:v>
                </c:pt>
                <c:pt idx="34">
                  <c:v>-3.1078199999999998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'FT65'!$AO$4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'FT65'!$F$6:$F$96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'FT65'!$AI$6:$AI$100</c:f>
              <c:numCache>
                <c:formatCode>General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'FT65'!$F$6:$F$96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'FT65'!$AJ$6:$AJ$100</c:f>
              <c:numCache>
                <c:formatCode>General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'FT65'!$AW$4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'FT65'!$F$6:$F$96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'FT65'!$AQ$6:$AQ$100</c:f>
              <c:numCache>
                <c:formatCode>General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'FT65'!$F$6:$F$96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'FT65'!$AR$6:$AR$100</c:f>
              <c:numCache>
                <c:formatCode>General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73752"/>
        <c:axId val="317972576"/>
      </c:lineChart>
      <c:catAx>
        <c:axId val="317973752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972576"/>
        <c:crosses val="autoZero"/>
        <c:auto val="0"/>
        <c:lblAlgn val="ctr"/>
        <c:lblOffset val="100"/>
        <c:noMultiLvlLbl val="0"/>
      </c:catAx>
      <c:valAx>
        <c:axId val="317972576"/>
        <c:scaling>
          <c:orientation val="minMax"/>
        </c:scaling>
        <c:delete val="0"/>
        <c:axPos val="l"/>
        <c:numFmt formatCode="#,##0.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97375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X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'FT65'!$W$4:$Z$4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'FT65'!$X$6:$X$100</c:f>
              <c:numCache>
                <c:formatCode>0.0000</c:formatCode>
                <c:ptCount val="95"/>
                <c:pt idx="0">
                  <c:v>-4.270000000000107E-4</c:v>
                </c:pt>
                <c:pt idx="1">
                  <c:v>-3.7700000000001621E-4</c:v>
                </c:pt>
                <c:pt idx="2">
                  <c:v>-5.1699999999998969E-4</c:v>
                </c:pt>
                <c:pt idx="3">
                  <c:v>-3.5699999999999621E-4</c:v>
                </c:pt>
                <c:pt idx="4">
                  <c:v>-4.5700000000004071E-4</c:v>
                </c:pt>
                <c:pt idx="5">
                  <c:v>-4.069999999999907E-4</c:v>
                </c:pt>
                <c:pt idx="6">
                  <c:v>-3.0700000000000172E-4</c:v>
                </c:pt>
                <c:pt idx="7">
                  <c:v>-4.669999999999952E-4</c:v>
                </c:pt>
                <c:pt idx="8">
                  <c:v>-4.970000000000252E-4</c:v>
                </c:pt>
                <c:pt idx="9">
                  <c:v>-5.7699999999999418E-4</c:v>
                </c:pt>
                <c:pt idx="10">
                  <c:v>-4.970000000000252E-4</c:v>
                </c:pt>
                <c:pt idx="11">
                  <c:v>-4.669999999999952E-4</c:v>
                </c:pt>
                <c:pt idx="12">
                  <c:v>-5.3700000000000969E-4</c:v>
                </c:pt>
                <c:pt idx="13">
                  <c:v>-0.28917700000000002</c:v>
                </c:pt>
                <c:pt idx="14">
                  <c:v>-0.28917700000000002</c:v>
                </c:pt>
                <c:pt idx="15">
                  <c:v>-0.28917700000000002</c:v>
                </c:pt>
                <c:pt idx="16">
                  <c:v>-0.28917700000000002</c:v>
                </c:pt>
                <c:pt idx="17">
                  <c:v>-0.28917700000000002</c:v>
                </c:pt>
                <c:pt idx="18">
                  <c:v>-0.28917700000000002</c:v>
                </c:pt>
                <c:pt idx="19">
                  <c:v>-0.28917700000000002</c:v>
                </c:pt>
                <c:pt idx="20">
                  <c:v>-0.28917700000000002</c:v>
                </c:pt>
                <c:pt idx="21">
                  <c:v>-0.28917700000000002</c:v>
                </c:pt>
                <c:pt idx="22">
                  <c:v>-0.28917700000000002</c:v>
                </c:pt>
                <c:pt idx="23">
                  <c:v>-0.28917700000000002</c:v>
                </c:pt>
                <c:pt idx="24">
                  <c:v>-0.28917700000000002</c:v>
                </c:pt>
                <c:pt idx="25">
                  <c:v>-0.28917700000000002</c:v>
                </c:pt>
                <c:pt idx="26">
                  <c:v>-0.28917700000000002</c:v>
                </c:pt>
                <c:pt idx="27">
                  <c:v>-0.28917700000000002</c:v>
                </c:pt>
                <c:pt idx="28">
                  <c:v>-0.28917700000000002</c:v>
                </c:pt>
                <c:pt idx="29">
                  <c:v>-0.28917700000000002</c:v>
                </c:pt>
                <c:pt idx="30">
                  <c:v>-0.28917700000000002</c:v>
                </c:pt>
                <c:pt idx="31">
                  <c:v>-0.28917700000000002</c:v>
                </c:pt>
                <c:pt idx="32">
                  <c:v>-0.28917700000000002</c:v>
                </c:pt>
                <c:pt idx="33">
                  <c:v>-0.28917700000000002</c:v>
                </c:pt>
                <c:pt idx="34">
                  <c:v>-0.28917700000000002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'FT65'!$AA$4:$AD$4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'FT65'!$AB$6:$AB$100</c:f>
              <c:numCache>
                <c:formatCode>0.0000</c:formatCode>
                <c:ptCount val="95"/>
                <c:pt idx="0">
                  <c:v>-3.5060000000000091E-3</c:v>
                </c:pt>
                <c:pt idx="1">
                  <c:v>-3.4759999999999791E-3</c:v>
                </c:pt>
                <c:pt idx="2">
                  <c:v>-3.5159999999999636E-3</c:v>
                </c:pt>
                <c:pt idx="3">
                  <c:v>-3.5060000000000091E-3</c:v>
                </c:pt>
                <c:pt idx="4">
                  <c:v>-3.4659999999999691E-3</c:v>
                </c:pt>
                <c:pt idx="5">
                  <c:v>-3.4859999999999891E-3</c:v>
                </c:pt>
                <c:pt idx="6">
                  <c:v>-3.6559999999999926E-3</c:v>
                </c:pt>
                <c:pt idx="7">
                  <c:v>-3.5859999999999781E-3</c:v>
                </c:pt>
                <c:pt idx="8">
                  <c:v>-3.5560000000000036E-3</c:v>
                </c:pt>
                <c:pt idx="9">
                  <c:v>-3.7459999999999716E-3</c:v>
                </c:pt>
                <c:pt idx="10">
                  <c:v>-3.5159999999999636E-3</c:v>
                </c:pt>
                <c:pt idx="11">
                  <c:v>-3.4959999999999991E-3</c:v>
                </c:pt>
                <c:pt idx="12">
                  <c:v>-3.6459999999999826E-3</c:v>
                </c:pt>
                <c:pt idx="13">
                  <c:v>-0.29006599999999999</c:v>
                </c:pt>
                <c:pt idx="14">
                  <c:v>-0.29006599999999999</c:v>
                </c:pt>
                <c:pt idx="15">
                  <c:v>-0.29006599999999999</c:v>
                </c:pt>
                <c:pt idx="16">
                  <c:v>-0.29006599999999999</c:v>
                </c:pt>
                <c:pt idx="17">
                  <c:v>-0.29006599999999999</c:v>
                </c:pt>
                <c:pt idx="18">
                  <c:v>-0.29006599999999999</c:v>
                </c:pt>
                <c:pt idx="19">
                  <c:v>-0.29006599999999999</c:v>
                </c:pt>
                <c:pt idx="20">
                  <c:v>-0.29006599999999999</c:v>
                </c:pt>
                <c:pt idx="21">
                  <c:v>-0.29006599999999999</c:v>
                </c:pt>
                <c:pt idx="22">
                  <c:v>-0.29006599999999999</c:v>
                </c:pt>
                <c:pt idx="23">
                  <c:v>-0.29006599999999999</c:v>
                </c:pt>
                <c:pt idx="24">
                  <c:v>-0.29006599999999999</c:v>
                </c:pt>
                <c:pt idx="25">
                  <c:v>-0.29006599999999999</c:v>
                </c:pt>
                <c:pt idx="26">
                  <c:v>-0.29006599999999999</c:v>
                </c:pt>
                <c:pt idx="27">
                  <c:v>-0.29006599999999999</c:v>
                </c:pt>
                <c:pt idx="28">
                  <c:v>-0.29006599999999999</c:v>
                </c:pt>
                <c:pt idx="29">
                  <c:v>-0.29006599999999999</c:v>
                </c:pt>
                <c:pt idx="30">
                  <c:v>-0.29006599999999999</c:v>
                </c:pt>
                <c:pt idx="31">
                  <c:v>-0.29006599999999999</c:v>
                </c:pt>
                <c:pt idx="32">
                  <c:v>-0.29006599999999999</c:v>
                </c:pt>
                <c:pt idx="33">
                  <c:v>-0.29006599999999999</c:v>
                </c:pt>
                <c:pt idx="34">
                  <c:v>-0.29006599999999999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'FT65'!$AE$4:$AH$4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'FT65'!$AF$6:$AF$100</c:f>
              <c:numCache>
                <c:formatCode>0.0000</c:formatCode>
                <c:ptCount val="95"/>
                <c:pt idx="0">
                  <c:v>-8.6889999999999468E-3</c:v>
                </c:pt>
                <c:pt idx="1">
                  <c:v>-8.7089999999999668E-3</c:v>
                </c:pt>
                <c:pt idx="2">
                  <c:v>-8.6889999999999468E-3</c:v>
                </c:pt>
                <c:pt idx="3">
                  <c:v>-8.6789999999999923E-3</c:v>
                </c:pt>
                <c:pt idx="4">
                  <c:v>-8.6889999999999468E-3</c:v>
                </c:pt>
                <c:pt idx="5">
                  <c:v>-8.7689999999999713E-3</c:v>
                </c:pt>
                <c:pt idx="6">
                  <c:v>-8.7189999999999768E-3</c:v>
                </c:pt>
                <c:pt idx="7">
                  <c:v>-8.7389999999999968E-3</c:v>
                </c:pt>
                <c:pt idx="8">
                  <c:v>-8.7289999999999868E-3</c:v>
                </c:pt>
                <c:pt idx="9">
                  <c:v>-8.7689999999999713E-3</c:v>
                </c:pt>
                <c:pt idx="10">
                  <c:v>-8.7289999999999868E-3</c:v>
                </c:pt>
                <c:pt idx="11">
                  <c:v>-8.6189999999999878E-3</c:v>
                </c:pt>
                <c:pt idx="12">
                  <c:v>-8.8289999999999758E-3</c:v>
                </c:pt>
                <c:pt idx="13">
                  <c:v>-0.28968899999999997</c:v>
                </c:pt>
                <c:pt idx="14">
                  <c:v>-0.28968899999999997</c:v>
                </c:pt>
                <c:pt idx="15">
                  <c:v>-0.28968899999999997</c:v>
                </c:pt>
                <c:pt idx="16">
                  <c:v>-0.28968899999999997</c:v>
                </c:pt>
                <c:pt idx="17">
                  <c:v>-0.28968899999999997</c:v>
                </c:pt>
                <c:pt idx="18">
                  <c:v>-0.28968899999999997</c:v>
                </c:pt>
                <c:pt idx="19">
                  <c:v>-0.28968899999999997</c:v>
                </c:pt>
                <c:pt idx="20">
                  <c:v>-0.28968899999999997</c:v>
                </c:pt>
                <c:pt idx="21">
                  <c:v>-0.28968899999999997</c:v>
                </c:pt>
                <c:pt idx="22">
                  <c:v>-0.28968899999999997</c:v>
                </c:pt>
                <c:pt idx="23">
                  <c:v>-0.28968899999999997</c:v>
                </c:pt>
                <c:pt idx="24">
                  <c:v>-0.28968899999999997</c:v>
                </c:pt>
                <c:pt idx="25">
                  <c:v>-0.28968899999999997</c:v>
                </c:pt>
                <c:pt idx="26">
                  <c:v>-0.28968899999999997</c:v>
                </c:pt>
                <c:pt idx="27">
                  <c:v>-0.28968899999999997</c:v>
                </c:pt>
                <c:pt idx="28">
                  <c:v>-0.28968899999999997</c:v>
                </c:pt>
                <c:pt idx="29">
                  <c:v>-0.28968899999999997</c:v>
                </c:pt>
                <c:pt idx="30">
                  <c:v>-0.28968899999999997</c:v>
                </c:pt>
                <c:pt idx="31">
                  <c:v>-0.28968899999999997</c:v>
                </c:pt>
                <c:pt idx="32">
                  <c:v>-0.28968899999999997</c:v>
                </c:pt>
                <c:pt idx="33">
                  <c:v>-0.28968899999999997</c:v>
                </c:pt>
                <c:pt idx="34">
                  <c:v>-0.28968899999999997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'FT65'!$AO$4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'FT65'!$AW$4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87080"/>
        <c:axId val="317987472"/>
      </c:lineChart>
      <c:catAx>
        <c:axId val="317987080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987472"/>
        <c:crosses val="autoZero"/>
        <c:auto val="0"/>
        <c:lblAlgn val="ctr"/>
        <c:lblOffset val="100"/>
        <c:noMultiLvlLbl val="0"/>
      </c:catAx>
      <c:valAx>
        <c:axId val="317987472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7987080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y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'FT65'!$W$4:$Z$4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'FT65'!$Y$6:$Y$100</c:f>
              <c:numCache>
                <c:formatCode>0.0000</c:formatCode>
                <c:ptCount val="95"/>
                <c:pt idx="0">
                  <c:v>4.1000000000013248E-5</c:v>
                </c:pt>
                <c:pt idx="1">
                  <c:v>1.4100000000000223E-4</c:v>
                </c:pt>
                <c:pt idx="2">
                  <c:v>-2.9000000000001247E-5</c:v>
                </c:pt>
                <c:pt idx="3">
                  <c:v>1.1100000000002774E-4</c:v>
                </c:pt>
                <c:pt idx="4">
                  <c:v>1.2100000000003774E-4</c:v>
                </c:pt>
                <c:pt idx="5">
                  <c:v>1.3099999999999223E-4</c:v>
                </c:pt>
                <c:pt idx="6">
                  <c:v>2.9099999999998571E-4</c:v>
                </c:pt>
                <c:pt idx="7">
                  <c:v>7.099999999998774E-5</c:v>
                </c:pt>
                <c:pt idx="8">
                  <c:v>-9.8999999999960231E-5</c:v>
                </c:pt>
                <c:pt idx="9">
                  <c:v>-1.8899999999999473E-4</c:v>
                </c:pt>
                <c:pt idx="10">
                  <c:v>1.3099999999999223E-4</c:v>
                </c:pt>
                <c:pt idx="11">
                  <c:v>8.099999999999774E-5</c:v>
                </c:pt>
                <c:pt idx="12">
                  <c:v>-8.9000000000005741E-5</c:v>
                </c:pt>
                <c:pt idx="13">
                  <c:v>-0.28059899999999999</c:v>
                </c:pt>
                <c:pt idx="14">
                  <c:v>-0.28059899999999999</c:v>
                </c:pt>
                <c:pt idx="15">
                  <c:v>-0.28059899999999999</c:v>
                </c:pt>
                <c:pt idx="16">
                  <c:v>-0.28059899999999999</c:v>
                </c:pt>
                <c:pt idx="17">
                  <c:v>-0.28059899999999999</c:v>
                </c:pt>
                <c:pt idx="18">
                  <c:v>-0.28059899999999999</c:v>
                </c:pt>
                <c:pt idx="19">
                  <c:v>-0.28059899999999999</c:v>
                </c:pt>
                <c:pt idx="20">
                  <c:v>-0.28059899999999999</c:v>
                </c:pt>
                <c:pt idx="21">
                  <c:v>-0.28059899999999999</c:v>
                </c:pt>
                <c:pt idx="22">
                  <c:v>-0.28059899999999999</c:v>
                </c:pt>
                <c:pt idx="23">
                  <c:v>-0.28059899999999999</c:v>
                </c:pt>
                <c:pt idx="24">
                  <c:v>-0.28059899999999999</c:v>
                </c:pt>
                <c:pt idx="25">
                  <c:v>-0.28059899999999999</c:v>
                </c:pt>
                <c:pt idx="26">
                  <c:v>-0.28059899999999999</c:v>
                </c:pt>
                <c:pt idx="27">
                  <c:v>-0.28059899999999999</c:v>
                </c:pt>
                <c:pt idx="28">
                  <c:v>-0.28059899999999999</c:v>
                </c:pt>
                <c:pt idx="29">
                  <c:v>-0.28059899999999999</c:v>
                </c:pt>
                <c:pt idx="30">
                  <c:v>-0.28059899999999999</c:v>
                </c:pt>
                <c:pt idx="31">
                  <c:v>-0.28059899999999999</c:v>
                </c:pt>
                <c:pt idx="32">
                  <c:v>-0.28059899999999999</c:v>
                </c:pt>
                <c:pt idx="33">
                  <c:v>-0.28059899999999999</c:v>
                </c:pt>
                <c:pt idx="34">
                  <c:v>-0.28059899999999999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'FT65'!$AA$4:$AD$4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'FT65'!$AC$6:$AC$100</c:f>
              <c:numCache>
                <c:formatCode>0.0000</c:formatCode>
                <c:ptCount val="95"/>
                <c:pt idx="0">
                  <c:v>-9.7030000000000172E-3</c:v>
                </c:pt>
                <c:pt idx="1">
                  <c:v>-9.6729999999999872E-3</c:v>
                </c:pt>
                <c:pt idx="2">
                  <c:v>-9.8030000000000062E-3</c:v>
                </c:pt>
                <c:pt idx="3">
                  <c:v>-9.8030000000000062E-3</c:v>
                </c:pt>
                <c:pt idx="4">
                  <c:v>-9.8330000000000362E-3</c:v>
                </c:pt>
                <c:pt idx="5">
                  <c:v>-9.7730000000000317E-3</c:v>
                </c:pt>
                <c:pt idx="6">
                  <c:v>-9.8929999999999851E-3</c:v>
                </c:pt>
                <c:pt idx="7">
                  <c:v>-9.8830000000000306E-3</c:v>
                </c:pt>
                <c:pt idx="8">
                  <c:v>-9.6729999999999872E-3</c:v>
                </c:pt>
                <c:pt idx="9">
                  <c:v>-1.0182999999999998E-2</c:v>
                </c:pt>
                <c:pt idx="10">
                  <c:v>-9.6530000000000227E-3</c:v>
                </c:pt>
                <c:pt idx="11">
                  <c:v>-9.6229999999999927E-3</c:v>
                </c:pt>
                <c:pt idx="12">
                  <c:v>-1.0043000000000024E-2</c:v>
                </c:pt>
                <c:pt idx="13">
                  <c:v>-0.28034300000000001</c:v>
                </c:pt>
                <c:pt idx="14">
                  <c:v>-0.28034300000000001</c:v>
                </c:pt>
                <c:pt idx="15">
                  <c:v>-0.28034300000000001</c:v>
                </c:pt>
                <c:pt idx="16">
                  <c:v>-0.28034300000000001</c:v>
                </c:pt>
                <c:pt idx="17">
                  <c:v>-0.28034300000000001</c:v>
                </c:pt>
                <c:pt idx="18">
                  <c:v>-0.28034300000000001</c:v>
                </c:pt>
                <c:pt idx="19">
                  <c:v>-0.28034300000000001</c:v>
                </c:pt>
                <c:pt idx="20">
                  <c:v>-0.28034300000000001</c:v>
                </c:pt>
                <c:pt idx="21">
                  <c:v>-0.28034300000000001</c:v>
                </c:pt>
                <c:pt idx="22">
                  <c:v>-0.28034300000000001</c:v>
                </c:pt>
                <c:pt idx="23">
                  <c:v>-0.28034300000000001</c:v>
                </c:pt>
                <c:pt idx="24">
                  <c:v>-0.28034300000000001</c:v>
                </c:pt>
                <c:pt idx="25">
                  <c:v>-0.28034300000000001</c:v>
                </c:pt>
                <c:pt idx="26">
                  <c:v>-0.28034300000000001</c:v>
                </c:pt>
                <c:pt idx="27">
                  <c:v>-0.28034300000000001</c:v>
                </c:pt>
                <c:pt idx="28">
                  <c:v>-0.28034300000000001</c:v>
                </c:pt>
                <c:pt idx="29">
                  <c:v>-0.28034300000000001</c:v>
                </c:pt>
                <c:pt idx="30">
                  <c:v>-0.28034300000000001</c:v>
                </c:pt>
                <c:pt idx="31">
                  <c:v>-0.28034300000000001</c:v>
                </c:pt>
                <c:pt idx="32">
                  <c:v>-0.28034300000000001</c:v>
                </c:pt>
                <c:pt idx="33">
                  <c:v>-0.28034300000000001</c:v>
                </c:pt>
                <c:pt idx="34">
                  <c:v>-0.28034300000000001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'FT65'!$AE$4:$AH$4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'FT65'!$AG$6:$AG$100</c:f>
              <c:numCache>
                <c:formatCode>0.0000</c:formatCode>
                <c:ptCount val="95"/>
                <c:pt idx="0">
                  <c:v>-1.7585000000000017E-2</c:v>
                </c:pt>
                <c:pt idx="1">
                  <c:v>-1.7585000000000017E-2</c:v>
                </c:pt>
                <c:pt idx="2">
                  <c:v>-1.7705000000000026E-2</c:v>
                </c:pt>
                <c:pt idx="3">
                  <c:v>-1.7674999999999996E-2</c:v>
                </c:pt>
                <c:pt idx="4">
                  <c:v>-1.7614999999999992E-2</c:v>
                </c:pt>
                <c:pt idx="5">
                  <c:v>-1.7755000000000021E-2</c:v>
                </c:pt>
                <c:pt idx="6">
                  <c:v>-1.7705000000000026E-2</c:v>
                </c:pt>
                <c:pt idx="7">
                  <c:v>-1.7764999999999975E-2</c:v>
                </c:pt>
                <c:pt idx="8">
                  <c:v>-1.782499999999998E-2</c:v>
                </c:pt>
                <c:pt idx="9">
                  <c:v>-1.7934999999999979E-2</c:v>
                </c:pt>
                <c:pt idx="10">
                  <c:v>-1.7685000000000006E-2</c:v>
                </c:pt>
                <c:pt idx="11">
                  <c:v>-1.7654999999999976E-2</c:v>
                </c:pt>
                <c:pt idx="12">
                  <c:v>-1.7735000000000001E-2</c:v>
                </c:pt>
                <c:pt idx="13">
                  <c:v>-0.281555</c:v>
                </c:pt>
                <c:pt idx="14">
                  <c:v>-0.281555</c:v>
                </c:pt>
                <c:pt idx="15">
                  <c:v>-0.281555</c:v>
                </c:pt>
                <c:pt idx="16">
                  <c:v>-0.281555</c:v>
                </c:pt>
                <c:pt idx="17">
                  <c:v>-0.281555</c:v>
                </c:pt>
                <c:pt idx="18">
                  <c:v>-0.281555</c:v>
                </c:pt>
                <c:pt idx="19">
                  <c:v>-0.281555</c:v>
                </c:pt>
                <c:pt idx="20">
                  <c:v>-0.281555</c:v>
                </c:pt>
                <c:pt idx="21">
                  <c:v>-0.281555</c:v>
                </c:pt>
                <c:pt idx="22">
                  <c:v>-0.281555</c:v>
                </c:pt>
                <c:pt idx="23">
                  <c:v>-0.281555</c:v>
                </c:pt>
                <c:pt idx="24">
                  <c:v>-0.281555</c:v>
                </c:pt>
                <c:pt idx="25">
                  <c:v>-0.281555</c:v>
                </c:pt>
                <c:pt idx="26">
                  <c:v>-0.281555</c:v>
                </c:pt>
                <c:pt idx="27">
                  <c:v>-0.281555</c:v>
                </c:pt>
                <c:pt idx="28">
                  <c:v>-0.281555</c:v>
                </c:pt>
                <c:pt idx="29">
                  <c:v>-0.281555</c:v>
                </c:pt>
                <c:pt idx="30">
                  <c:v>-0.281555</c:v>
                </c:pt>
                <c:pt idx="31">
                  <c:v>-0.281555</c:v>
                </c:pt>
                <c:pt idx="32">
                  <c:v>-0.281555</c:v>
                </c:pt>
                <c:pt idx="33">
                  <c:v>-0.281555</c:v>
                </c:pt>
                <c:pt idx="34">
                  <c:v>-0.281555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'FT65'!$AO$4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'FT65'!$AW$4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'FT65'!$F$6:$F$100</c:f>
              <c:strCache>
                <c:ptCount val="13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  <c:pt idx="12">
                  <c:v>2021/02/26</c:v>
                </c:pt>
              </c:strCache>
            </c:strRef>
          </c:cat>
          <c:val>
            <c:numRef>
              <c:f>'FT65'!$AT$6:$AT$100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347448"/>
        <c:axId val="319340392"/>
      </c:lineChart>
      <c:catAx>
        <c:axId val="319347448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340392"/>
        <c:crosses val="autoZero"/>
        <c:auto val="0"/>
        <c:lblAlgn val="ctr"/>
        <c:lblOffset val="100"/>
        <c:noMultiLvlLbl val="0"/>
      </c:catAx>
      <c:valAx>
        <c:axId val="319340392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347448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光束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'FT70'!$W$4:$Z$4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'FT70'!$Z$6:$Z$100</c:f>
              <c:numCache>
                <c:formatCode>0.00%</c:formatCode>
                <c:ptCount val="95"/>
                <c:pt idx="0">
                  <c:v>9.9027810858653975E-3</c:v>
                </c:pt>
                <c:pt idx="1">
                  <c:v>1.1590657099552315E-2</c:v>
                </c:pt>
                <c:pt idx="2">
                  <c:v>1.0572111229223857E-2</c:v>
                </c:pt>
                <c:pt idx="3">
                  <c:v>1.1357846614905798E-2</c:v>
                </c:pt>
                <c:pt idx="4">
                  <c:v>1.278381083336555E-2</c:v>
                </c:pt>
                <c:pt idx="5">
                  <c:v>1.4558990778795078E-2</c:v>
                </c:pt>
                <c:pt idx="6">
                  <c:v>1.4558990778795078E-2</c:v>
                </c:pt>
                <c:pt idx="7">
                  <c:v>1.3162127870915974E-2</c:v>
                </c:pt>
                <c:pt idx="8">
                  <c:v>1.4180673741244432E-2</c:v>
                </c:pt>
                <c:pt idx="9">
                  <c:v>1.2318189864072515E-2</c:v>
                </c:pt>
                <c:pt idx="10">
                  <c:v>1.1619758410133185E-2</c:v>
                </c:pt>
                <c:pt idx="11">
                  <c:v>1.4762699952860503E-2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'FT70'!$AA$4:$AD$4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'FT70'!$AD$6:$AD$100</c:f>
              <c:numCache>
                <c:formatCode>0.00%</c:formatCode>
                <c:ptCount val="95"/>
                <c:pt idx="0">
                  <c:v>8.1312433099598458E-3</c:v>
                </c:pt>
                <c:pt idx="1">
                  <c:v>1.0539847028863791E-2</c:v>
                </c:pt>
                <c:pt idx="2">
                  <c:v>1.0017499234402649E-2</c:v>
                </c:pt>
                <c:pt idx="3">
                  <c:v>1.1700619905444132E-2</c:v>
                </c:pt>
                <c:pt idx="4">
                  <c:v>1.1961793802674592E-2</c:v>
                </c:pt>
                <c:pt idx="5">
                  <c:v>1.405118498051916E-2</c:v>
                </c:pt>
                <c:pt idx="6">
                  <c:v>1.4109223624348077E-2</c:v>
                </c:pt>
                <c:pt idx="7">
                  <c:v>1.3064528035425793E-2</c:v>
                </c:pt>
                <c:pt idx="8">
                  <c:v>1.2948450747767959E-2</c:v>
                </c:pt>
                <c:pt idx="9">
                  <c:v>1.1381407364384533E-2</c:v>
                </c:pt>
                <c:pt idx="10">
                  <c:v>9.8143639810013283E-3</c:v>
                </c:pt>
                <c:pt idx="11">
                  <c:v>1.3877069049032187E-2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'FT70'!$AE$4:$AH$4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'FT70'!$AH$6:$AH$100</c:f>
              <c:numCache>
                <c:formatCode>0.00%</c:formatCode>
                <c:ptCount val="95"/>
                <c:pt idx="0">
                  <c:v>-2.9123459225635528E-2</c:v>
                </c:pt>
                <c:pt idx="1">
                  <c:v>-2.6979924183200277E-2</c:v>
                </c:pt>
                <c:pt idx="2">
                  <c:v>-2.7935824945367393E-2</c:v>
                </c:pt>
                <c:pt idx="3">
                  <c:v>-2.7124757632013607E-2</c:v>
                </c:pt>
                <c:pt idx="4">
                  <c:v>-2.599505673127056E-2</c:v>
                </c:pt>
                <c:pt idx="5">
                  <c:v>-2.4749489071477115E-2</c:v>
                </c:pt>
                <c:pt idx="6">
                  <c:v>-2.3909455068360508E-2</c:v>
                </c:pt>
                <c:pt idx="7">
                  <c:v>-2.5386756246255193E-2</c:v>
                </c:pt>
                <c:pt idx="8">
                  <c:v>-2.4141188586461748E-2</c:v>
                </c:pt>
                <c:pt idx="9">
                  <c:v>-2.5270889487204684E-2</c:v>
                </c:pt>
                <c:pt idx="10">
                  <c:v>-2.6690257285573948E-2</c:v>
                </c:pt>
                <c:pt idx="11">
                  <c:v>-2.3735654929784689E-2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'FT70'!$AO$4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'FT70'!$AO$6:$AO$100</c:f>
              <c:numCache>
                <c:formatCode>0.00%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'FT70'!$AP$6:$AP$100</c:f>
              <c:numCache>
                <c:formatCode>0.00%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'FT70'!$AW$4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'FT70'!$AW$6:$AW$100</c:f>
              <c:numCache>
                <c:formatCode>0.00%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'FT70'!$AX$6:$AX$100</c:f>
              <c:numCache>
                <c:formatCode>0.00%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344312"/>
        <c:axId val="319345096"/>
      </c:lineChart>
      <c:catAx>
        <c:axId val="319344312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345096"/>
        <c:crosses val="autoZero"/>
        <c:auto val="0"/>
        <c:lblAlgn val="ctr"/>
        <c:lblOffset val="100"/>
        <c:noMultiLvlLbl val="0"/>
      </c:catAx>
      <c:valAx>
        <c:axId val="319345096"/>
        <c:scaling>
          <c:orientation val="minMax"/>
          <c:max val="3.0000000000000006E-2"/>
          <c:min val="-3.0000000000000006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344312"/>
        <c:crosses val="autoZero"/>
        <c:crossBetween val="between"/>
        <c:majorUnit val="1.0000000000000002E-2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VF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'FT70'!$W$4:$Z$4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'FT70'!$F$6:$F$96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'FT70'!$W$6:$W$100</c:f>
              <c:numCache>
                <c:formatCode>0.000</c:formatCode>
                <c:ptCount val="95"/>
                <c:pt idx="0">
                  <c:v>-3.2199999999997786E-3</c:v>
                </c:pt>
                <c:pt idx="1">
                  <c:v>-1.2199999999999989E-3</c:v>
                </c:pt>
                <c:pt idx="2">
                  <c:v>-1.2199999999999989E-3</c:v>
                </c:pt>
                <c:pt idx="3">
                  <c:v>-4.2199999999996685E-3</c:v>
                </c:pt>
                <c:pt idx="4">
                  <c:v>-2.1999999999966491E-4</c:v>
                </c:pt>
                <c:pt idx="5">
                  <c:v>-4.2199999999996685E-3</c:v>
                </c:pt>
                <c:pt idx="6">
                  <c:v>-2.2199999999998887E-3</c:v>
                </c:pt>
                <c:pt idx="7">
                  <c:v>-4.2199999999996685E-3</c:v>
                </c:pt>
                <c:pt idx="8">
                  <c:v>-2.2199999999998887E-3</c:v>
                </c:pt>
                <c:pt idx="9">
                  <c:v>-2.2199999999998887E-3</c:v>
                </c:pt>
                <c:pt idx="10">
                  <c:v>-2.2199999999998887E-3</c:v>
                </c:pt>
                <c:pt idx="11">
                  <c:v>7.8000000000022496E-4</c:v>
                </c:pt>
                <c:pt idx="12">
                  <c:v>-2.8822199999999998</c:v>
                </c:pt>
                <c:pt idx="13">
                  <c:v>-2.8822199999999998</c:v>
                </c:pt>
                <c:pt idx="14">
                  <c:v>-2.8822199999999998</c:v>
                </c:pt>
                <c:pt idx="15">
                  <c:v>-2.8822199999999998</c:v>
                </c:pt>
                <c:pt idx="16">
                  <c:v>-2.8822199999999998</c:v>
                </c:pt>
                <c:pt idx="17">
                  <c:v>-2.8822199999999998</c:v>
                </c:pt>
                <c:pt idx="18">
                  <c:v>-2.8822199999999998</c:v>
                </c:pt>
                <c:pt idx="19">
                  <c:v>-2.8822199999999998</c:v>
                </c:pt>
                <c:pt idx="20">
                  <c:v>-2.8822199999999998</c:v>
                </c:pt>
                <c:pt idx="21">
                  <c:v>-2.8822199999999998</c:v>
                </c:pt>
                <c:pt idx="22">
                  <c:v>-2.8822199999999998</c:v>
                </c:pt>
                <c:pt idx="23">
                  <c:v>-2.8822199999999998</c:v>
                </c:pt>
                <c:pt idx="24">
                  <c:v>-2.8822199999999998</c:v>
                </c:pt>
                <c:pt idx="25">
                  <c:v>-2.8822199999999998</c:v>
                </c:pt>
                <c:pt idx="26">
                  <c:v>-2.8822199999999998</c:v>
                </c:pt>
                <c:pt idx="27">
                  <c:v>-2.8822199999999998</c:v>
                </c:pt>
                <c:pt idx="28">
                  <c:v>-2.8822199999999998</c:v>
                </c:pt>
                <c:pt idx="29">
                  <c:v>-2.8822199999999998</c:v>
                </c:pt>
                <c:pt idx="30">
                  <c:v>-2.8822199999999998</c:v>
                </c:pt>
                <c:pt idx="31">
                  <c:v>-2.8822199999999998</c:v>
                </c:pt>
                <c:pt idx="32">
                  <c:v>-2.8822199999999998</c:v>
                </c:pt>
                <c:pt idx="33">
                  <c:v>-2.8822199999999998</c:v>
                </c:pt>
                <c:pt idx="34">
                  <c:v>-2.8822199999999998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'FT70'!$AA$4:$AD$4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'FT70'!$F$6:$F$96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'FT70'!$AA$6:$AA$100</c:f>
              <c:numCache>
                <c:formatCode>0.000</c:formatCode>
                <c:ptCount val="95"/>
                <c:pt idx="0">
                  <c:v>7.0700000000001317E-3</c:v>
                </c:pt>
                <c:pt idx="1">
                  <c:v>8.0700000000000216E-3</c:v>
                </c:pt>
                <c:pt idx="2">
                  <c:v>8.0700000000000216E-3</c:v>
                </c:pt>
                <c:pt idx="3">
                  <c:v>6.0699999999997978E-3</c:v>
                </c:pt>
                <c:pt idx="4">
                  <c:v>9.0699999999999115E-3</c:v>
                </c:pt>
                <c:pt idx="5">
                  <c:v>6.0699999999997978E-3</c:v>
                </c:pt>
                <c:pt idx="6">
                  <c:v>7.0700000000001317E-3</c:v>
                </c:pt>
                <c:pt idx="7">
                  <c:v>5.0699999999999079E-3</c:v>
                </c:pt>
                <c:pt idx="8">
                  <c:v>7.0700000000001317E-3</c:v>
                </c:pt>
                <c:pt idx="9">
                  <c:v>7.0700000000001317E-3</c:v>
                </c:pt>
                <c:pt idx="10">
                  <c:v>8.0700000000000216E-3</c:v>
                </c:pt>
                <c:pt idx="11">
                  <c:v>1.0069999999999801E-2</c:v>
                </c:pt>
                <c:pt idx="12">
                  <c:v>-2.8539300000000001</c:v>
                </c:pt>
                <c:pt idx="13">
                  <c:v>-2.8539300000000001</c:v>
                </c:pt>
                <c:pt idx="14">
                  <c:v>-2.8539300000000001</c:v>
                </c:pt>
                <c:pt idx="15">
                  <c:v>-2.8539300000000001</c:v>
                </c:pt>
                <c:pt idx="16">
                  <c:v>-2.8539300000000001</c:v>
                </c:pt>
                <c:pt idx="17">
                  <c:v>-2.8539300000000001</c:v>
                </c:pt>
                <c:pt idx="18">
                  <c:v>-2.8539300000000001</c:v>
                </c:pt>
                <c:pt idx="19">
                  <c:v>-2.8539300000000001</c:v>
                </c:pt>
                <c:pt idx="20">
                  <c:v>-2.8539300000000001</c:v>
                </c:pt>
                <c:pt idx="21">
                  <c:v>-2.8539300000000001</c:v>
                </c:pt>
                <c:pt idx="22">
                  <c:v>-2.8539300000000001</c:v>
                </c:pt>
                <c:pt idx="23">
                  <c:v>-2.8539300000000001</c:v>
                </c:pt>
                <c:pt idx="24">
                  <c:v>-2.8539300000000001</c:v>
                </c:pt>
                <c:pt idx="25">
                  <c:v>-2.8539300000000001</c:v>
                </c:pt>
                <c:pt idx="26">
                  <c:v>-2.8539300000000001</c:v>
                </c:pt>
                <c:pt idx="27">
                  <c:v>-2.8539300000000001</c:v>
                </c:pt>
                <c:pt idx="28">
                  <c:v>-2.8539300000000001</c:v>
                </c:pt>
                <c:pt idx="29">
                  <c:v>-2.8539300000000001</c:v>
                </c:pt>
                <c:pt idx="30">
                  <c:v>-2.8539300000000001</c:v>
                </c:pt>
                <c:pt idx="31">
                  <c:v>-2.8539300000000001</c:v>
                </c:pt>
                <c:pt idx="32">
                  <c:v>-2.8539300000000001</c:v>
                </c:pt>
                <c:pt idx="33">
                  <c:v>-2.8539300000000001</c:v>
                </c:pt>
                <c:pt idx="34">
                  <c:v>-2.8539300000000001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'FT70'!$AE$4:$AH$4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'FT70'!$F$6:$F$96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'FT70'!$AE$6:$AE$100</c:f>
              <c:numCache>
                <c:formatCode>0.000</c:formatCode>
                <c:ptCount val="95"/>
                <c:pt idx="0">
                  <c:v>-1.0559999999999903E-2</c:v>
                </c:pt>
                <c:pt idx="1">
                  <c:v>-8.559999999999679E-3</c:v>
                </c:pt>
                <c:pt idx="2">
                  <c:v>-9.5600000000000129E-3</c:v>
                </c:pt>
                <c:pt idx="3">
                  <c:v>-1.0559999999999903E-2</c:v>
                </c:pt>
                <c:pt idx="4">
                  <c:v>-7.5599999999997891E-3</c:v>
                </c:pt>
                <c:pt idx="5">
                  <c:v>-1.1559999999999793E-2</c:v>
                </c:pt>
                <c:pt idx="6">
                  <c:v>-8.559999999999679E-3</c:v>
                </c:pt>
                <c:pt idx="7">
                  <c:v>-1.1559999999999793E-2</c:v>
                </c:pt>
                <c:pt idx="8">
                  <c:v>-1.0559999999999903E-2</c:v>
                </c:pt>
                <c:pt idx="9">
                  <c:v>-1.0559999999999903E-2</c:v>
                </c:pt>
                <c:pt idx="10">
                  <c:v>-1.0559999999999903E-2</c:v>
                </c:pt>
                <c:pt idx="11">
                  <c:v>-7.5599999999997891E-3</c:v>
                </c:pt>
                <c:pt idx="12">
                  <c:v>-2.8815599999999999</c:v>
                </c:pt>
                <c:pt idx="13">
                  <c:v>-2.8815599999999999</c:v>
                </c:pt>
                <c:pt idx="14">
                  <c:v>-2.8815599999999999</c:v>
                </c:pt>
                <c:pt idx="15">
                  <c:v>-2.8815599999999999</c:v>
                </c:pt>
                <c:pt idx="16">
                  <c:v>-2.8815599999999999</c:v>
                </c:pt>
                <c:pt idx="17">
                  <c:v>-2.8815599999999999</c:v>
                </c:pt>
                <c:pt idx="18">
                  <c:v>-2.8815599999999999</c:v>
                </c:pt>
                <c:pt idx="19">
                  <c:v>-2.8815599999999999</c:v>
                </c:pt>
                <c:pt idx="20">
                  <c:v>-2.8815599999999999</c:v>
                </c:pt>
                <c:pt idx="21">
                  <c:v>-2.8815599999999999</c:v>
                </c:pt>
                <c:pt idx="22">
                  <c:v>-2.8815599999999999</c:v>
                </c:pt>
                <c:pt idx="23">
                  <c:v>-2.8815599999999999</c:v>
                </c:pt>
                <c:pt idx="24">
                  <c:v>-2.8815599999999999</c:v>
                </c:pt>
                <c:pt idx="25">
                  <c:v>-2.8815599999999999</c:v>
                </c:pt>
                <c:pt idx="26">
                  <c:v>-2.8815599999999999</c:v>
                </c:pt>
                <c:pt idx="27">
                  <c:v>-2.8815599999999999</c:v>
                </c:pt>
                <c:pt idx="28">
                  <c:v>-2.8815599999999999</c:v>
                </c:pt>
                <c:pt idx="29">
                  <c:v>-2.8815599999999999</c:v>
                </c:pt>
                <c:pt idx="30">
                  <c:v>-2.8815599999999999</c:v>
                </c:pt>
                <c:pt idx="31">
                  <c:v>-2.8815599999999999</c:v>
                </c:pt>
                <c:pt idx="32">
                  <c:v>-2.8815599999999999</c:v>
                </c:pt>
                <c:pt idx="33">
                  <c:v>-2.8815599999999999</c:v>
                </c:pt>
                <c:pt idx="34">
                  <c:v>-2.8815599999999999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'FT70'!$AO$4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'FT70'!$AI$6:$AI$100</c:f>
              <c:numCache>
                <c:formatCode>General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'FT70'!$AJ$6:$AJ$100</c:f>
              <c:numCache>
                <c:formatCode>General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'FT70'!$AW$4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'FT70'!$AQ$6:$AQ$100</c:f>
              <c:numCache>
                <c:formatCode>General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'FT70'!$AR$6:$AR$100</c:f>
              <c:numCache>
                <c:formatCode>General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343528"/>
        <c:axId val="319345488"/>
      </c:lineChart>
      <c:catAx>
        <c:axId val="319343528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345488"/>
        <c:crosses val="autoZero"/>
        <c:auto val="0"/>
        <c:lblAlgn val="ctr"/>
        <c:lblOffset val="100"/>
        <c:noMultiLvlLbl val="0"/>
      </c:catAx>
      <c:valAx>
        <c:axId val="319345488"/>
        <c:scaling>
          <c:orientation val="minMax"/>
        </c:scaling>
        <c:delete val="0"/>
        <c:axPos val="l"/>
        <c:numFmt formatCode="#,##0.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34352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X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'FT70'!$W$4:$Z$4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'FT70'!$X$6:$X$100</c:f>
              <c:numCache>
                <c:formatCode>0.0000</c:formatCode>
                <c:ptCount val="95"/>
                <c:pt idx="0">
                  <c:v>-5.8799999999997743E-4</c:v>
                </c:pt>
                <c:pt idx="1">
                  <c:v>-4.4800000000000395E-4</c:v>
                </c:pt>
                <c:pt idx="2">
                  <c:v>-4.7799999999997844E-4</c:v>
                </c:pt>
                <c:pt idx="3">
                  <c:v>-5.2799999999997294E-4</c:v>
                </c:pt>
                <c:pt idx="4">
                  <c:v>-5.0800000000000844E-4</c:v>
                </c:pt>
                <c:pt idx="5">
                  <c:v>-6.2800000000001743E-4</c:v>
                </c:pt>
                <c:pt idx="6">
                  <c:v>-5.9799999999998743E-4</c:v>
                </c:pt>
                <c:pt idx="7">
                  <c:v>-6.5799999999999192E-4</c:v>
                </c:pt>
                <c:pt idx="8">
                  <c:v>-5.8799999999997743E-4</c:v>
                </c:pt>
                <c:pt idx="9">
                  <c:v>-5.5800000000000294E-4</c:v>
                </c:pt>
                <c:pt idx="10">
                  <c:v>-6.1800000000000743E-4</c:v>
                </c:pt>
                <c:pt idx="11">
                  <c:v>-4.7799999999997844E-4</c:v>
                </c:pt>
                <c:pt idx="12">
                  <c:v>-0.34196799999999999</c:v>
                </c:pt>
                <c:pt idx="13">
                  <c:v>-0.34196799999999999</c:v>
                </c:pt>
                <c:pt idx="14">
                  <c:v>-0.34196799999999999</c:v>
                </c:pt>
                <c:pt idx="15">
                  <c:v>-0.34196799999999999</c:v>
                </c:pt>
                <c:pt idx="16">
                  <c:v>-0.34196799999999999</c:v>
                </c:pt>
                <c:pt idx="17">
                  <c:v>-0.34196799999999999</c:v>
                </c:pt>
                <c:pt idx="18">
                  <c:v>-0.34196799999999999</c:v>
                </c:pt>
                <c:pt idx="19">
                  <c:v>-0.34196799999999999</c:v>
                </c:pt>
                <c:pt idx="20">
                  <c:v>-0.34196799999999999</c:v>
                </c:pt>
                <c:pt idx="21">
                  <c:v>-0.34196799999999999</c:v>
                </c:pt>
                <c:pt idx="22">
                  <c:v>-0.34196799999999999</c:v>
                </c:pt>
                <c:pt idx="23">
                  <c:v>-0.34196799999999999</c:v>
                </c:pt>
                <c:pt idx="24">
                  <c:v>-0.34196799999999999</c:v>
                </c:pt>
                <c:pt idx="25">
                  <c:v>-0.34196799999999999</c:v>
                </c:pt>
                <c:pt idx="26">
                  <c:v>-0.34196799999999999</c:v>
                </c:pt>
                <c:pt idx="27">
                  <c:v>-0.34196799999999999</c:v>
                </c:pt>
                <c:pt idx="28">
                  <c:v>-0.34196799999999999</c:v>
                </c:pt>
                <c:pt idx="29">
                  <c:v>-0.34196799999999999</c:v>
                </c:pt>
                <c:pt idx="30">
                  <c:v>-0.34196799999999999</c:v>
                </c:pt>
                <c:pt idx="31">
                  <c:v>-0.34196799999999999</c:v>
                </c:pt>
                <c:pt idx="32">
                  <c:v>-0.34196799999999999</c:v>
                </c:pt>
                <c:pt idx="33">
                  <c:v>-0.34196799999999999</c:v>
                </c:pt>
                <c:pt idx="34">
                  <c:v>-0.34196799999999999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'FT70'!$AA$4:$AD$4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'FT70'!$AB$6:$AB$100</c:f>
              <c:numCache>
                <c:formatCode>0.0000</c:formatCode>
                <c:ptCount val="95"/>
                <c:pt idx="0">
                  <c:v>-9.2780000000000085E-3</c:v>
                </c:pt>
                <c:pt idx="1">
                  <c:v>-9.238000000000024E-3</c:v>
                </c:pt>
                <c:pt idx="2">
                  <c:v>-9.2579999999999885E-3</c:v>
                </c:pt>
                <c:pt idx="3">
                  <c:v>-9.2780000000000085E-3</c:v>
                </c:pt>
                <c:pt idx="4">
                  <c:v>-9.3080000000000385E-3</c:v>
                </c:pt>
                <c:pt idx="5">
                  <c:v>-9.3880000000000075E-3</c:v>
                </c:pt>
                <c:pt idx="6">
                  <c:v>-9.2880000000000185E-3</c:v>
                </c:pt>
                <c:pt idx="7">
                  <c:v>-9.3080000000000385E-3</c:v>
                </c:pt>
                <c:pt idx="8">
                  <c:v>-9.358000000000033E-3</c:v>
                </c:pt>
                <c:pt idx="9">
                  <c:v>-9.3679999999999874E-3</c:v>
                </c:pt>
                <c:pt idx="10">
                  <c:v>-9.4279999999999919E-3</c:v>
                </c:pt>
                <c:pt idx="11">
                  <c:v>-9.358000000000033E-3</c:v>
                </c:pt>
                <c:pt idx="12">
                  <c:v>-0.33898800000000001</c:v>
                </c:pt>
                <c:pt idx="13">
                  <c:v>-0.33898800000000001</c:v>
                </c:pt>
                <c:pt idx="14">
                  <c:v>-0.33898800000000001</c:v>
                </c:pt>
                <c:pt idx="15">
                  <c:v>-0.33898800000000001</c:v>
                </c:pt>
                <c:pt idx="16">
                  <c:v>-0.33898800000000001</c:v>
                </c:pt>
                <c:pt idx="17">
                  <c:v>-0.33898800000000001</c:v>
                </c:pt>
                <c:pt idx="18">
                  <c:v>-0.33898800000000001</c:v>
                </c:pt>
                <c:pt idx="19">
                  <c:v>-0.33898800000000001</c:v>
                </c:pt>
                <c:pt idx="20">
                  <c:v>-0.33898800000000001</c:v>
                </c:pt>
                <c:pt idx="21">
                  <c:v>-0.33898800000000001</c:v>
                </c:pt>
                <c:pt idx="22">
                  <c:v>-0.33898800000000001</c:v>
                </c:pt>
                <c:pt idx="23">
                  <c:v>-0.33898800000000001</c:v>
                </c:pt>
                <c:pt idx="24">
                  <c:v>-0.33898800000000001</c:v>
                </c:pt>
                <c:pt idx="25">
                  <c:v>-0.33898800000000001</c:v>
                </c:pt>
                <c:pt idx="26">
                  <c:v>-0.33898800000000001</c:v>
                </c:pt>
                <c:pt idx="27">
                  <c:v>-0.33898800000000001</c:v>
                </c:pt>
                <c:pt idx="28">
                  <c:v>-0.33898800000000001</c:v>
                </c:pt>
                <c:pt idx="29">
                  <c:v>-0.33898800000000001</c:v>
                </c:pt>
                <c:pt idx="30">
                  <c:v>-0.33898800000000001</c:v>
                </c:pt>
                <c:pt idx="31">
                  <c:v>-0.33898800000000001</c:v>
                </c:pt>
                <c:pt idx="32">
                  <c:v>-0.33898800000000001</c:v>
                </c:pt>
                <c:pt idx="33">
                  <c:v>-0.33898800000000001</c:v>
                </c:pt>
                <c:pt idx="34">
                  <c:v>-0.33898800000000001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'FT70'!$AE$4:$AH$4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'FT70'!$AF$6:$AF$100</c:f>
              <c:numCache>
                <c:formatCode>0.0000</c:formatCode>
                <c:ptCount val="95"/>
                <c:pt idx="0">
                  <c:v>-3.3986999999999989E-2</c:v>
                </c:pt>
                <c:pt idx="1">
                  <c:v>-3.3816999999999986E-2</c:v>
                </c:pt>
                <c:pt idx="2">
                  <c:v>-3.3826999999999996E-2</c:v>
                </c:pt>
                <c:pt idx="3">
                  <c:v>-3.3936999999999995E-2</c:v>
                </c:pt>
                <c:pt idx="4">
                  <c:v>-3.3816999999999986E-2</c:v>
                </c:pt>
                <c:pt idx="5">
                  <c:v>-3.4066999999999958E-2</c:v>
                </c:pt>
                <c:pt idx="6">
                  <c:v>-3.3966999999999969E-2</c:v>
                </c:pt>
                <c:pt idx="7">
                  <c:v>-3.3947000000000005E-2</c:v>
                </c:pt>
                <c:pt idx="8">
                  <c:v>-3.3936999999999995E-2</c:v>
                </c:pt>
                <c:pt idx="9">
                  <c:v>-3.4007000000000009E-2</c:v>
                </c:pt>
                <c:pt idx="10">
                  <c:v>-3.4026999999999974E-2</c:v>
                </c:pt>
                <c:pt idx="11">
                  <c:v>-3.3996999999999999E-2</c:v>
                </c:pt>
                <c:pt idx="12">
                  <c:v>-0.34098699999999998</c:v>
                </c:pt>
                <c:pt idx="13">
                  <c:v>-0.34098699999999998</c:v>
                </c:pt>
                <c:pt idx="14">
                  <c:v>-0.34098699999999998</c:v>
                </c:pt>
                <c:pt idx="15">
                  <c:v>-0.34098699999999998</c:v>
                </c:pt>
                <c:pt idx="16">
                  <c:v>-0.34098699999999998</c:v>
                </c:pt>
                <c:pt idx="17">
                  <c:v>-0.34098699999999998</c:v>
                </c:pt>
                <c:pt idx="18">
                  <c:v>-0.34098699999999998</c:v>
                </c:pt>
                <c:pt idx="19">
                  <c:v>-0.34098699999999998</c:v>
                </c:pt>
                <c:pt idx="20">
                  <c:v>-0.34098699999999998</c:v>
                </c:pt>
                <c:pt idx="21">
                  <c:v>-0.34098699999999998</c:v>
                </c:pt>
                <c:pt idx="22">
                  <c:v>-0.34098699999999998</c:v>
                </c:pt>
                <c:pt idx="23">
                  <c:v>-0.34098699999999998</c:v>
                </c:pt>
                <c:pt idx="24">
                  <c:v>-0.34098699999999998</c:v>
                </c:pt>
                <c:pt idx="25">
                  <c:v>-0.34098699999999998</c:v>
                </c:pt>
                <c:pt idx="26">
                  <c:v>-0.34098699999999998</c:v>
                </c:pt>
                <c:pt idx="27">
                  <c:v>-0.34098699999999998</c:v>
                </c:pt>
                <c:pt idx="28">
                  <c:v>-0.34098699999999998</c:v>
                </c:pt>
                <c:pt idx="29">
                  <c:v>-0.34098699999999998</c:v>
                </c:pt>
                <c:pt idx="30">
                  <c:v>-0.34098699999999998</c:v>
                </c:pt>
                <c:pt idx="31">
                  <c:v>-0.34098699999999998</c:v>
                </c:pt>
                <c:pt idx="32">
                  <c:v>-0.34098699999999998</c:v>
                </c:pt>
                <c:pt idx="33">
                  <c:v>-0.34098699999999998</c:v>
                </c:pt>
                <c:pt idx="34">
                  <c:v>-0.34098699999999998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'FT70'!$AO$4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'FT70'!$AW$4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353720"/>
        <c:axId val="319354504"/>
      </c:lineChart>
      <c:catAx>
        <c:axId val="319353720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354504"/>
        <c:crosses val="autoZero"/>
        <c:auto val="0"/>
        <c:lblAlgn val="ctr"/>
        <c:lblOffset val="100"/>
        <c:noMultiLvlLbl val="0"/>
      </c:catAx>
      <c:valAx>
        <c:axId val="319354504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353720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y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'FT70'!$W$4:$Z$4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'FT70'!$Y$6:$Y$100</c:f>
              <c:numCache>
                <c:formatCode>0.0000</c:formatCode>
                <c:ptCount val="95"/>
                <c:pt idx="0">
                  <c:v>8.5699999999999665E-4</c:v>
                </c:pt>
                <c:pt idx="1">
                  <c:v>1.0969999999999591E-3</c:v>
                </c:pt>
                <c:pt idx="2">
                  <c:v>1.1969999999999481E-3</c:v>
                </c:pt>
                <c:pt idx="3">
                  <c:v>8.7699999999996114E-4</c:v>
                </c:pt>
                <c:pt idx="4">
                  <c:v>1.0369999999999546E-3</c:v>
                </c:pt>
                <c:pt idx="5">
                  <c:v>9.8699999999996013E-4</c:v>
                </c:pt>
                <c:pt idx="6">
                  <c:v>9.6699999999999564E-4</c:v>
                </c:pt>
                <c:pt idx="7">
                  <c:v>8.8699999999997114E-4</c:v>
                </c:pt>
                <c:pt idx="8">
                  <c:v>1.0169999999999901E-3</c:v>
                </c:pt>
                <c:pt idx="9">
                  <c:v>1.0669999999999846E-3</c:v>
                </c:pt>
                <c:pt idx="10">
                  <c:v>8.2699999999996665E-4</c:v>
                </c:pt>
                <c:pt idx="11">
                  <c:v>1.0869999999999491E-3</c:v>
                </c:pt>
                <c:pt idx="12">
                  <c:v>-0.35418300000000003</c:v>
                </c:pt>
                <c:pt idx="13">
                  <c:v>-0.35418300000000003</c:v>
                </c:pt>
                <c:pt idx="14">
                  <c:v>-0.35418300000000003</c:v>
                </c:pt>
                <c:pt idx="15">
                  <c:v>-0.35418300000000003</c:v>
                </c:pt>
                <c:pt idx="16">
                  <c:v>-0.35418300000000003</c:v>
                </c:pt>
                <c:pt idx="17">
                  <c:v>-0.35418300000000003</c:v>
                </c:pt>
                <c:pt idx="18">
                  <c:v>-0.35418300000000003</c:v>
                </c:pt>
                <c:pt idx="19">
                  <c:v>-0.35418300000000003</c:v>
                </c:pt>
                <c:pt idx="20">
                  <c:v>-0.35418300000000003</c:v>
                </c:pt>
                <c:pt idx="21">
                  <c:v>-0.35418300000000003</c:v>
                </c:pt>
                <c:pt idx="22">
                  <c:v>-0.35418300000000003</c:v>
                </c:pt>
                <c:pt idx="23">
                  <c:v>-0.35418300000000003</c:v>
                </c:pt>
                <c:pt idx="24">
                  <c:v>-0.35418300000000003</c:v>
                </c:pt>
                <c:pt idx="25">
                  <c:v>-0.35418300000000003</c:v>
                </c:pt>
                <c:pt idx="26">
                  <c:v>-0.35418300000000003</c:v>
                </c:pt>
                <c:pt idx="27">
                  <c:v>-0.35418300000000003</c:v>
                </c:pt>
                <c:pt idx="28">
                  <c:v>-0.35418300000000003</c:v>
                </c:pt>
                <c:pt idx="29">
                  <c:v>-0.35418300000000003</c:v>
                </c:pt>
                <c:pt idx="30">
                  <c:v>-0.35418300000000003</c:v>
                </c:pt>
                <c:pt idx="31">
                  <c:v>-0.35418300000000003</c:v>
                </c:pt>
                <c:pt idx="32">
                  <c:v>-0.35418300000000003</c:v>
                </c:pt>
                <c:pt idx="33">
                  <c:v>-0.35418300000000003</c:v>
                </c:pt>
                <c:pt idx="34">
                  <c:v>-0.35418300000000003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'FT70'!$AA$4:$AD$4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'FT70'!$AC$6:$AC$100</c:f>
              <c:numCache>
                <c:formatCode>0.0000</c:formatCode>
                <c:ptCount val="95"/>
                <c:pt idx="0">
                  <c:v>-4.3810000000000238E-3</c:v>
                </c:pt>
                <c:pt idx="1">
                  <c:v>-4.3009999999999993E-3</c:v>
                </c:pt>
                <c:pt idx="2">
                  <c:v>-4.2710000000000248E-3</c:v>
                </c:pt>
                <c:pt idx="3">
                  <c:v>-4.2610000000000148E-3</c:v>
                </c:pt>
                <c:pt idx="4">
                  <c:v>-4.4010000000000438E-3</c:v>
                </c:pt>
                <c:pt idx="5">
                  <c:v>-4.4710000000000027E-3</c:v>
                </c:pt>
                <c:pt idx="6">
                  <c:v>-4.2010000000000103E-3</c:v>
                </c:pt>
                <c:pt idx="7">
                  <c:v>-4.3610000000000038E-3</c:v>
                </c:pt>
                <c:pt idx="8">
                  <c:v>-4.3610000000000038E-3</c:v>
                </c:pt>
                <c:pt idx="9">
                  <c:v>-4.5310000000000072E-3</c:v>
                </c:pt>
                <c:pt idx="10">
                  <c:v>-4.5010000000000328E-3</c:v>
                </c:pt>
                <c:pt idx="11">
                  <c:v>-4.2910000000000448E-3</c:v>
                </c:pt>
                <c:pt idx="12">
                  <c:v>-0.35257100000000002</c:v>
                </c:pt>
                <c:pt idx="13">
                  <c:v>-0.35257100000000002</c:v>
                </c:pt>
                <c:pt idx="14">
                  <c:v>-0.35257100000000002</c:v>
                </c:pt>
                <c:pt idx="15">
                  <c:v>-0.35257100000000002</c:v>
                </c:pt>
                <c:pt idx="16">
                  <c:v>-0.35257100000000002</c:v>
                </c:pt>
                <c:pt idx="17">
                  <c:v>-0.35257100000000002</c:v>
                </c:pt>
                <c:pt idx="18">
                  <c:v>-0.35257100000000002</c:v>
                </c:pt>
                <c:pt idx="19">
                  <c:v>-0.35257100000000002</c:v>
                </c:pt>
                <c:pt idx="20">
                  <c:v>-0.35257100000000002</c:v>
                </c:pt>
                <c:pt idx="21">
                  <c:v>-0.35257100000000002</c:v>
                </c:pt>
                <c:pt idx="22">
                  <c:v>-0.35257100000000002</c:v>
                </c:pt>
                <c:pt idx="23">
                  <c:v>-0.35257100000000002</c:v>
                </c:pt>
                <c:pt idx="24">
                  <c:v>-0.35257100000000002</c:v>
                </c:pt>
                <c:pt idx="25">
                  <c:v>-0.35257100000000002</c:v>
                </c:pt>
                <c:pt idx="26">
                  <c:v>-0.35257100000000002</c:v>
                </c:pt>
                <c:pt idx="27">
                  <c:v>-0.35257100000000002</c:v>
                </c:pt>
                <c:pt idx="28">
                  <c:v>-0.35257100000000002</c:v>
                </c:pt>
                <c:pt idx="29">
                  <c:v>-0.35257100000000002</c:v>
                </c:pt>
                <c:pt idx="30">
                  <c:v>-0.35257100000000002</c:v>
                </c:pt>
                <c:pt idx="31">
                  <c:v>-0.35257100000000002</c:v>
                </c:pt>
                <c:pt idx="32">
                  <c:v>-0.35257100000000002</c:v>
                </c:pt>
                <c:pt idx="33">
                  <c:v>-0.35257100000000002</c:v>
                </c:pt>
                <c:pt idx="34">
                  <c:v>-0.35257100000000002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'FT70'!$AE$4:$AH$4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'FT70'!$AG$6:$AG$100</c:f>
              <c:numCache>
                <c:formatCode>0.0000</c:formatCode>
                <c:ptCount val="95"/>
                <c:pt idx="0">
                  <c:v>-3.2211999999999963E-2</c:v>
                </c:pt>
                <c:pt idx="1">
                  <c:v>-3.2121999999999984E-2</c:v>
                </c:pt>
                <c:pt idx="2">
                  <c:v>-3.2101999999999964E-2</c:v>
                </c:pt>
                <c:pt idx="3">
                  <c:v>-3.2151999999999958E-2</c:v>
                </c:pt>
                <c:pt idx="4">
                  <c:v>-3.2011999999999985E-2</c:v>
                </c:pt>
                <c:pt idx="5">
                  <c:v>-3.2331999999999972E-2</c:v>
                </c:pt>
                <c:pt idx="6">
                  <c:v>-3.2151999999999958E-2</c:v>
                </c:pt>
                <c:pt idx="7">
                  <c:v>-3.2241999999999993E-2</c:v>
                </c:pt>
                <c:pt idx="8">
                  <c:v>-3.2281999999999977E-2</c:v>
                </c:pt>
                <c:pt idx="9">
                  <c:v>-3.2121999999999984E-2</c:v>
                </c:pt>
                <c:pt idx="10">
                  <c:v>-3.2281999999999977E-2</c:v>
                </c:pt>
                <c:pt idx="11">
                  <c:v>-3.2191999999999998E-2</c:v>
                </c:pt>
                <c:pt idx="12">
                  <c:v>-0.35438199999999997</c:v>
                </c:pt>
                <c:pt idx="13">
                  <c:v>-0.35438199999999997</c:v>
                </c:pt>
                <c:pt idx="14">
                  <c:v>-0.35438199999999997</c:v>
                </c:pt>
                <c:pt idx="15">
                  <c:v>-0.35438199999999997</c:v>
                </c:pt>
                <c:pt idx="16">
                  <c:v>-0.35438199999999997</c:v>
                </c:pt>
                <c:pt idx="17">
                  <c:v>-0.35438199999999997</c:v>
                </c:pt>
                <c:pt idx="18">
                  <c:v>-0.35438199999999997</c:v>
                </c:pt>
                <c:pt idx="19">
                  <c:v>-0.35438199999999997</c:v>
                </c:pt>
                <c:pt idx="20">
                  <c:v>-0.35438199999999997</c:v>
                </c:pt>
                <c:pt idx="21">
                  <c:v>-0.35438199999999997</c:v>
                </c:pt>
                <c:pt idx="22">
                  <c:v>-0.35438199999999997</c:v>
                </c:pt>
                <c:pt idx="23">
                  <c:v>-0.35438199999999997</c:v>
                </c:pt>
                <c:pt idx="24">
                  <c:v>-0.35438199999999997</c:v>
                </c:pt>
                <c:pt idx="25">
                  <c:v>-0.35438199999999997</c:v>
                </c:pt>
                <c:pt idx="26">
                  <c:v>-0.35438199999999997</c:v>
                </c:pt>
                <c:pt idx="27">
                  <c:v>-0.35438199999999997</c:v>
                </c:pt>
                <c:pt idx="28">
                  <c:v>-0.35438199999999997</c:v>
                </c:pt>
                <c:pt idx="29">
                  <c:v>-0.35438199999999997</c:v>
                </c:pt>
                <c:pt idx="30">
                  <c:v>-0.35438199999999997</c:v>
                </c:pt>
                <c:pt idx="31">
                  <c:v>-0.35438199999999997</c:v>
                </c:pt>
                <c:pt idx="32">
                  <c:v>-0.35438199999999997</c:v>
                </c:pt>
                <c:pt idx="33">
                  <c:v>-0.35438199999999997</c:v>
                </c:pt>
                <c:pt idx="34">
                  <c:v>-0.35438199999999997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'FT70'!$AO$4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'FT70'!$AW$4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'FT70'!$F$6:$F$100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'FT70'!$AT$6:$AT$100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172552"/>
        <c:axId val="320171768"/>
      </c:lineChart>
      <c:catAx>
        <c:axId val="320172552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20171768"/>
        <c:crosses val="autoZero"/>
        <c:auto val="0"/>
        <c:lblAlgn val="ctr"/>
        <c:lblOffset val="100"/>
        <c:noMultiLvlLbl val="0"/>
      </c:catAx>
      <c:valAx>
        <c:axId val="320171768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20172552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光束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'FT72'!$W$4:$Z$4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'FT72'!$Z$6:$Z$100</c:f>
              <c:numCache>
                <c:formatCode>0.00%</c:formatCode>
                <c:ptCount val="95"/>
                <c:pt idx="0">
                  <c:v>2.7171492204899783E-2</c:v>
                </c:pt>
                <c:pt idx="1">
                  <c:v>2.6726057906458767E-2</c:v>
                </c:pt>
                <c:pt idx="2">
                  <c:v>2.5909428359317088E-2</c:v>
                </c:pt>
                <c:pt idx="3">
                  <c:v>2.7839643652561197E-2</c:v>
                </c:pt>
                <c:pt idx="4">
                  <c:v>2.58723088344468E-2</c:v>
                </c:pt>
                <c:pt idx="5">
                  <c:v>2.4498886414253906E-2</c:v>
                </c:pt>
                <c:pt idx="6">
                  <c:v>2.3236822568670989E-2</c:v>
                </c:pt>
                <c:pt idx="7">
                  <c:v>2.4498886414253906E-2</c:v>
                </c:pt>
                <c:pt idx="8">
                  <c:v>3.2368225686711272E-2</c:v>
                </c:pt>
                <c:pt idx="9">
                  <c:v>3.0438010393466941E-2</c:v>
                </c:pt>
                <c:pt idx="10">
                  <c:v>2.7171492204899783E-2</c:v>
                </c:pt>
                <c:pt idx="11">
                  <c:v>2.6169265033407552E-2</c:v>
                </c:pt>
                <c:pt idx="12">
                  <c:v>2.1752041573867897E-2</c:v>
                </c:pt>
                <c:pt idx="13">
                  <c:v>2.9250185597624379E-2</c:v>
                </c:pt>
                <c:pt idx="14">
                  <c:v>3.2108389012620586E-2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'FT72'!$AA$4:$AD$4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'FT72'!$AD$6:$AD$100</c:f>
              <c:numCache>
                <c:formatCode>0.00%</c:formatCode>
                <c:ptCount val="95"/>
                <c:pt idx="0">
                  <c:v>5.0979680696661811E-2</c:v>
                </c:pt>
                <c:pt idx="1">
                  <c:v>5.1052249637155267E-2</c:v>
                </c:pt>
                <c:pt idx="2">
                  <c:v>4.9455732946299014E-2</c:v>
                </c:pt>
                <c:pt idx="3">
                  <c:v>5.1886792452830122E-2</c:v>
                </c:pt>
                <c:pt idx="4">
                  <c:v>5.1088534107402106E-2</c:v>
                </c:pt>
                <c:pt idx="5">
                  <c:v>4.8693759071117615E-2</c:v>
                </c:pt>
                <c:pt idx="6">
                  <c:v>4.5682148040638637E-2</c:v>
                </c:pt>
                <c:pt idx="7">
                  <c:v>4.9455732946299014E-2</c:v>
                </c:pt>
                <c:pt idx="8">
                  <c:v>5.7438316400580725E-2</c:v>
                </c:pt>
                <c:pt idx="9">
                  <c:v>5.5769230769230793E-2</c:v>
                </c:pt>
                <c:pt idx="10">
                  <c:v>5.2539912917271447E-2</c:v>
                </c:pt>
                <c:pt idx="11">
                  <c:v>5.1124818577648945E-2</c:v>
                </c:pt>
                <c:pt idx="12">
                  <c:v>5.3338171262699685E-2</c:v>
                </c:pt>
                <c:pt idx="13">
                  <c:v>5.1560232220609681E-2</c:v>
                </c:pt>
                <c:pt idx="14">
                  <c:v>5.6930333817126311E-2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'FT72'!$AE$4:$AH$4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'FT72'!$AH$6:$AH$100</c:f>
              <c:numCache>
                <c:formatCode>0.00%</c:formatCode>
                <c:ptCount val="95"/>
                <c:pt idx="0">
                  <c:v>5.1809453471196587E-2</c:v>
                </c:pt>
                <c:pt idx="1">
                  <c:v>5.2104874446085692E-2</c:v>
                </c:pt>
                <c:pt idx="2">
                  <c:v>5.0701624815362001E-2</c:v>
                </c:pt>
                <c:pt idx="3">
                  <c:v>5.3877400295420985E-2</c:v>
                </c:pt>
                <c:pt idx="4">
                  <c:v>5.2880354505169924E-2</c:v>
                </c:pt>
                <c:pt idx="5">
                  <c:v>5.0775480059084277E-2</c:v>
                </c:pt>
                <c:pt idx="6">
                  <c:v>4.8375184638109303E-2</c:v>
                </c:pt>
                <c:pt idx="7">
                  <c:v>5.2031019202363415E-2</c:v>
                </c:pt>
                <c:pt idx="8">
                  <c:v>5.871491875923196E-2</c:v>
                </c:pt>
                <c:pt idx="9">
                  <c:v>5.646233382570176E-2</c:v>
                </c:pt>
                <c:pt idx="10">
                  <c:v>5.398818316100451E-2</c:v>
                </c:pt>
                <c:pt idx="11">
                  <c:v>5.3101920236336975E-2</c:v>
                </c:pt>
                <c:pt idx="12">
                  <c:v>5.4320531757754864E-2</c:v>
                </c:pt>
                <c:pt idx="13">
                  <c:v>5.5096011816839097E-2</c:v>
                </c:pt>
                <c:pt idx="14">
                  <c:v>5.8751846381093209E-2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'FT72'!$AO$4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'FT72'!$AO$6:$AO$100</c:f>
              <c:numCache>
                <c:formatCode>0.00%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'FT72'!$AP$6:$AP$100</c:f>
              <c:numCache>
                <c:formatCode>0.00%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'FT72'!$AW$4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'FT72'!$AW$6:$AW$100</c:f>
              <c:numCache>
                <c:formatCode>0.00%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'FT72'!$AX$6:$AX$100</c:f>
              <c:numCache>
                <c:formatCode>0.00%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167064"/>
        <c:axId val="320166280"/>
      </c:lineChart>
      <c:catAx>
        <c:axId val="320167064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20166280"/>
        <c:crosses val="autoZero"/>
        <c:auto val="0"/>
        <c:lblAlgn val="ctr"/>
        <c:lblOffset val="100"/>
        <c:noMultiLvlLbl val="0"/>
      </c:catAx>
      <c:valAx>
        <c:axId val="320166280"/>
        <c:scaling>
          <c:orientation val="minMax"/>
          <c:max val="3.0000000000000006E-2"/>
          <c:min val="-3.0000000000000006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20167064"/>
        <c:crosses val="autoZero"/>
        <c:crossBetween val="between"/>
        <c:majorUnit val="1.0000000000000002E-2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VF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'FT72'!$W$4:$Z$4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'FT72'!$F$6:$F$96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'FT72'!$W$6:$W$100</c:f>
              <c:numCache>
                <c:formatCode>0.000</c:formatCode>
                <c:ptCount val="95"/>
                <c:pt idx="0">
                  <c:v>-9.9999999999988987E-4</c:v>
                </c:pt>
                <c:pt idx="1">
                  <c:v>-9.9999999999988987E-4</c:v>
                </c:pt>
                <c:pt idx="2">
                  <c:v>-4.9999999999998934E-3</c:v>
                </c:pt>
                <c:pt idx="3">
                  <c:v>2.0000000000002238E-3</c:v>
                </c:pt>
                <c:pt idx="4">
                  <c:v>9.9999999999988987E-4</c:v>
                </c:pt>
                <c:pt idx="5">
                  <c:v>0</c:v>
                </c:pt>
                <c:pt idx="6">
                  <c:v>3.0000000000001137E-3</c:v>
                </c:pt>
                <c:pt idx="7">
                  <c:v>-1.9999999999997797E-3</c:v>
                </c:pt>
                <c:pt idx="8">
                  <c:v>2.0000000000002238E-3</c:v>
                </c:pt>
                <c:pt idx="9">
                  <c:v>0</c:v>
                </c:pt>
                <c:pt idx="10">
                  <c:v>-4.0000000000000036E-3</c:v>
                </c:pt>
                <c:pt idx="11">
                  <c:v>0</c:v>
                </c:pt>
                <c:pt idx="12">
                  <c:v>0</c:v>
                </c:pt>
                <c:pt idx="13">
                  <c:v>9.9999999999988987E-4</c:v>
                </c:pt>
                <c:pt idx="14">
                  <c:v>2.0000000000002238E-3</c:v>
                </c:pt>
                <c:pt idx="15">
                  <c:v>-3.113</c:v>
                </c:pt>
                <c:pt idx="16">
                  <c:v>-3.113</c:v>
                </c:pt>
                <c:pt idx="17">
                  <c:v>-3.113</c:v>
                </c:pt>
                <c:pt idx="18">
                  <c:v>-3.113</c:v>
                </c:pt>
                <c:pt idx="19">
                  <c:v>-3.113</c:v>
                </c:pt>
                <c:pt idx="20">
                  <c:v>-3.113</c:v>
                </c:pt>
                <c:pt idx="21">
                  <c:v>-3.113</c:v>
                </c:pt>
                <c:pt idx="22">
                  <c:v>-3.113</c:v>
                </c:pt>
                <c:pt idx="23">
                  <c:v>-3.113</c:v>
                </c:pt>
                <c:pt idx="24">
                  <c:v>-3.113</c:v>
                </c:pt>
                <c:pt idx="25">
                  <c:v>-3.113</c:v>
                </c:pt>
                <c:pt idx="26">
                  <c:v>-3.113</c:v>
                </c:pt>
                <c:pt idx="27">
                  <c:v>-3.113</c:v>
                </c:pt>
                <c:pt idx="28">
                  <c:v>-3.113</c:v>
                </c:pt>
                <c:pt idx="29">
                  <c:v>-3.113</c:v>
                </c:pt>
                <c:pt idx="30">
                  <c:v>-3.113</c:v>
                </c:pt>
                <c:pt idx="31">
                  <c:v>-3.113</c:v>
                </c:pt>
                <c:pt idx="32">
                  <c:v>-3.113</c:v>
                </c:pt>
                <c:pt idx="33">
                  <c:v>-3.113</c:v>
                </c:pt>
                <c:pt idx="34">
                  <c:v>-3.113</c:v>
                </c:pt>
                <c:pt idx="35">
                  <c:v>-3.113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'FT72'!$AA$4:$AD$4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'FT72'!$F$6:$F$96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'FT72'!$AA$6:$AA$100</c:f>
              <c:numCache>
                <c:formatCode>0.000</c:formatCode>
                <c:ptCount val="95"/>
                <c:pt idx="0">
                  <c:v>-2.0000000000002238E-3</c:v>
                </c:pt>
                <c:pt idx="1">
                  <c:v>-3.0000000000001137E-3</c:v>
                </c:pt>
                <c:pt idx="2">
                  <c:v>-7.0000000000001172E-3</c:v>
                </c:pt>
                <c:pt idx="3">
                  <c:v>-5.0000000000003375E-3</c:v>
                </c:pt>
                <c:pt idx="4">
                  <c:v>-5.0000000000003375E-3</c:v>
                </c:pt>
                <c:pt idx="5">
                  <c:v>-8.0000000000000071E-3</c:v>
                </c:pt>
                <c:pt idx="6">
                  <c:v>-6.0000000000002274E-3</c:v>
                </c:pt>
                <c:pt idx="7">
                  <c:v>-8.0000000000000071E-3</c:v>
                </c:pt>
                <c:pt idx="8">
                  <c:v>-5.0000000000003375E-3</c:v>
                </c:pt>
                <c:pt idx="9">
                  <c:v>-7.0000000000001172E-3</c:v>
                </c:pt>
                <c:pt idx="10">
                  <c:v>-1.0000000000000231E-2</c:v>
                </c:pt>
                <c:pt idx="11">
                  <c:v>-6.0000000000002274E-3</c:v>
                </c:pt>
                <c:pt idx="12">
                  <c:v>-7.0000000000001172E-3</c:v>
                </c:pt>
                <c:pt idx="13">
                  <c:v>-6.0000000000002274E-3</c:v>
                </c:pt>
                <c:pt idx="14">
                  <c:v>-5.0000000000003375E-3</c:v>
                </c:pt>
                <c:pt idx="15">
                  <c:v>-3.1150000000000002</c:v>
                </c:pt>
                <c:pt idx="16">
                  <c:v>-3.1150000000000002</c:v>
                </c:pt>
                <c:pt idx="17">
                  <c:v>-3.1150000000000002</c:v>
                </c:pt>
                <c:pt idx="18">
                  <c:v>-3.1150000000000002</c:v>
                </c:pt>
                <c:pt idx="19">
                  <c:v>-3.1150000000000002</c:v>
                </c:pt>
                <c:pt idx="20">
                  <c:v>-3.1150000000000002</c:v>
                </c:pt>
                <c:pt idx="21">
                  <c:v>-3.1150000000000002</c:v>
                </c:pt>
                <c:pt idx="22">
                  <c:v>-3.1150000000000002</c:v>
                </c:pt>
                <c:pt idx="23">
                  <c:v>-3.1150000000000002</c:v>
                </c:pt>
                <c:pt idx="24">
                  <c:v>-3.1150000000000002</c:v>
                </c:pt>
                <c:pt idx="25">
                  <c:v>-3.1150000000000002</c:v>
                </c:pt>
                <c:pt idx="26">
                  <c:v>-3.1150000000000002</c:v>
                </c:pt>
                <c:pt idx="27">
                  <c:v>-3.1150000000000002</c:v>
                </c:pt>
                <c:pt idx="28">
                  <c:v>-3.1150000000000002</c:v>
                </c:pt>
                <c:pt idx="29">
                  <c:v>-3.1150000000000002</c:v>
                </c:pt>
                <c:pt idx="30">
                  <c:v>-3.1150000000000002</c:v>
                </c:pt>
                <c:pt idx="31">
                  <c:v>-3.1150000000000002</c:v>
                </c:pt>
                <c:pt idx="32">
                  <c:v>-3.1150000000000002</c:v>
                </c:pt>
                <c:pt idx="33">
                  <c:v>-3.1150000000000002</c:v>
                </c:pt>
                <c:pt idx="34">
                  <c:v>-3.1150000000000002</c:v>
                </c:pt>
                <c:pt idx="35">
                  <c:v>-3.1150000000000002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'FT72'!$AE$4:$AH$4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'FT72'!$F$6:$F$96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'FT72'!$AE$6:$AE$100</c:f>
              <c:numCache>
                <c:formatCode>0.000</c:formatCode>
                <c:ptCount val="95"/>
                <c:pt idx="0">
                  <c:v>-2.5999999999999801E-2</c:v>
                </c:pt>
                <c:pt idx="1">
                  <c:v>-2.5999999999999801E-2</c:v>
                </c:pt>
                <c:pt idx="2">
                  <c:v>-2.9999999999999805E-2</c:v>
                </c:pt>
                <c:pt idx="3">
                  <c:v>-2.8000000000000025E-2</c:v>
                </c:pt>
                <c:pt idx="4">
                  <c:v>-2.8999999999999915E-2</c:v>
                </c:pt>
                <c:pt idx="5">
                  <c:v>-3.1000000000000139E-2</c:v>
                </c:pt>
                <c:pt idx="6">
                  <c:v>-2.7000000000000135E-2</c:v>
                </c:pt>
                <c:pt idx="7">
                  <c:v>-3.2000000000000028E-2</c:v>
                </c:pt>
                <c:pt idx="8">
                  <c:v>-2.7000000000000135E-2</c:v>
                </c:pt>
                <c:pt idx="9">
                  <c:v>-2.9999999999999805E-2</c:v>
                </c:pt>
                <c:pt idx="10">
                  <c:v>-3.2999999999999918E-2</c:v>
                </c:pt>
                <c:pt idx="11">
                  <c:v>-2.8999999999999915E-2</c:v>
                </c:pt>
                <c:pt idx="12">
                  <c:v>-2.9999999999999805E-2</c:v>
                </c:pt>
                <c:pt idx="13">
                  <c:v>-2.8999999999999915E-2</c:v>
                </c:pt>
                <c:pt idx="14">
                  <c:v>-2.8999999999999915E-2</c:v>
                </c:pt>
                <c:pt idx="15">
                  <c:v>-3.137</c:v>
                </c:pt>
                <c:pt idx="16">
                  <c:v>-3.137</c:v>
                </c:pt>
                <c:pt idx="17">
                  <c:v>-3.137</c:v>
                </c:pt>
                <c:pt idx="18">
                  <c:v>-3.137</c:v>
                </c:pt>
                <c:pt idx="19">
                  <c:v>-3.137</c:v>
                </c:pt>
                <c:pt idx="20">
                  <c:v>-3.137</c:v>
                </c:pt>
                <c:pt idx="21">
                  <c:v>-3.137</c:v>
                </c:pt>
                <c:pt idx="22">
                  <c:v>-3.137</c:v>
                </c:pt>
                <c:pt idx="23">
                  <c:v>-3.137</c:v>
                </c:pt>
                <c:pt idx="24">
                  <c:v>-3.137</c:v>
                </c:pt>
                <c:pt idx="25">
                  <c:v>-3.137</c:v>
                </c:pt>
                <c:pt idx="26">
                  <c:v>-3.137</c:v>
                </c:pt>
                <c:pt idx="27">
                  <c:v>-3.137</c:v>
                </c:pt>
                <c:pt idx="28">
                  <c:v>-3.137</c:v>
                </c:pt>
                <c:pt idx="29">
                  <c:v>-3.137</c:v>
                </c:pt>
                <c:pt idx="30">
                  <c:v>-3.137</c:v>
                </c:pt>
                <c:pt idx="31">
                  <c:v>-3.137</c:v>
                </c:pt>
                <c:pt idx="32">
                  <c:v>-3.137</c:v>
                </c:pt>
                <c:pt idx="33">
                  <c:v>-3.137</c:v>
                </c:pt>
                <c:pt idx="34">
                  <c:v>-3.137</c:v>
                </c:pt>
                <c:pt idx="35">
                  <c:v>-3.137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'FT72'!$AO$4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'FT72'!$F$6:$F$96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'FT72'!$AI$6:$AI$100</c:f>
              <c:numCache>
                <c:formatCode>General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'FT72'!$F$6:$F$96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'FT72'!$AJ$6:$AJ$100</c:f>
              <c:numCache>
                <c:formatCode>General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'FT72'!$AW$4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'FT72'!$F$6:$F$96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'FT72'!$AQ$6:$AQ$100</c:f>
              <c:numCache>
                <c:formatCode>General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'FT72'!$F$6:$F$96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'FT72'!$AR$6:$AR$100</c:f>
              <c:numCache>
                <c:formatCode>General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170200"/>
        <c:axId val="320167848"/>
      </c:lineChart>
      <c:catAx>
        <c:axId val="320170200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20167848"/>
        <c:crosses val="autoZero"/>
        <c:auto val="0"/>
        <c:lblAlgn val="ctr"/>
        <c:lblOffset val="100"/>
        <c:noMultiLvlLbl val="0"/>
      </c:catAx>
      <c:valAx>
        <c:axId val="320167848"/>
        <c:scaling>
          <c:orientation val="minMax"/>
        </c:scaling>
        <c:delete val="0"/>
        <c:axPos val="l"/>
        <c:numFmt formatCode="#,##0.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2017020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X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'FT72'!$W$4:$Z$4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'FT72'!$X$6:$X$100</c:f>
              <c:numCache>
                <c:formatCode>0.0000</c:formatCode>
                <c:ptCount val="95"/>
                <c:pt idx="0">
                  <c:v>-4.0999999999996595E-4</c:v>
                </c:pt>
                <c:pt idx="1">
                  <c:v>-2.8999999999995696E-4</c:v>
                </c:pt>
                <c:pt idx="2">
                  <c:v>-5.2999999999997494E-4</c:v>
                </c:pt>
                <c:pt idx="3">
                  <c:v>4.1000000000002146E-4</c:v>
                </c:pt>
                <c:pt idx="4">
                  <c:v>5.1000000000001044E-4</c:v>
                </c:pt>
                <c:pt idx="5">
                  <c:v>2.9000000000001247E-4</c:v>
                </c:pt>
                <c:pt idx="6">
                  <c:v>4.3999999999999595E-4</c:v>
                </c:pt>
                <c:pt idx="7">
                  <c:v>3.2000000000004247E-4</c:v>
                </c:pt>
                <c:pt idx="8">
                  <c:v>3.7000000000003697E-4</c:v>
                </c:pt>
                <c:pt idx="9">
                  <c:v>4.8000000000003595E-4</c:v>
                </c:pt>
                <c:pt idx="10">
                  <c:v>5.0000000000000044E-4</c:v>
                </c:pt>
                <c:pt idx="11">
                  <c:v>5.4000000000004045E-4</c:v>
                </c:pt>
                <c:pt idx="12">
                  <c:v>4.3999999999999595E-4</c:v>
                </c:pt>
                <c:pt idx="13">
                  <c:v>4.8999999999999044E-4</c:v>
                </c:pt>
                <c:pt idx="14">
                  <c:v>4.3000000000004146E-4</c:v>
                </c:pt>
                <c:pt idx="15">
                  <c:v>-0.28955999999999998</c:v>
                </c:pt>
                <c:pt idx="16">
                  <c:v>-0.28955999999999998</c:v>
                </c:pt>
                <c:pt idx="17">
                  <c:v>-0.28955999999999998</c:v>
                </c:pt>
                <c:pt idx="18">
                  <c:v>-0.28955999999999998</c:v>
                </c:pt>
                <c:pt idx="19">
                  <c:v>-0.28955999999999998</c:v>
                </c:pt>
                <c:pt idx="20">
                  <c:v>-0.28955999999999998</c:v>
                </c:pt>
                <c:pt idx="21">
                  <c:v>-0.28955999999999998</c:v>
                </c:pt>
                <c:pt idx="22">
                  <c:v>-0.28955999999999998</c:v>
                </c:pt>
                <c:pt idx="23">
                  <c:v>-0.28955999999999998</c:v>
                </c:pt>
                <c:pt idx="24">
                  <c:v>-0.28955999999999998</c:v>
                </c:pt>
                <c:pt idx="25">
                  <c:v>-0.28955999999999998</c:v>
                </c:pt>
                <c:pt idx="26">
                  <c:v>-0.28955999999999998</c:v>
                </c:pt>
                <c:pt idx="27">
                  <c:v>-0.28955999999999998</c:v>
                </c:pt>
                <c:pt idx="28">
                  <c:v>-0.28955999999999998</c:v>
                </c:pt>
                <c:pt idx="29">
                  <c:v>-0.28955999999999998</c:v>
                </c:pt>
                <c:pt idx="30">
                  <c:v>-0.28955999999999998</c:v>
                </c:pt>
                <c:pt idx="31">
                  <c:v>-0.28955999999999998</c:v>
                </c:pt>
                <c:pt idx="32">
                  <c:v>-0.28955999999999998</c:v>
                </c:pt>
                <c:pt idx="33">
                  <c:v>-0.28955999999999998</c:v>
                </c:pt>
                <c:pt idx="34">
                  <c:v>-0.28955999999999998</c:v>
                </c:pt>
                <c:pt idx="35">
                  <c:v>-0.28955999999999998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'FT72'!$AA$4:$AD$4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'FT72'!$AB$6:$AB$100</c:f>
              <c:numCache>
                <c:formatCode>0.0000</c:formatCode>
                <c:ptCount val="95"/>
                <c:pt idx="0">
                  <c:v>-2.9000000000000137E-3</c:v>
                </c:pt>
                <c:pt idx="1">
                  <c:v>-2.8500000000000192E-3</c:v>
                </c:pt>
                <c:pt idx="2">
                  <c:v>-2.9800000000000382E-3</c:v>
                </c:pt>
                <c:pt idx="3">
                  <c:v>-3.0300000000000327E-3</c:v>
                </c:pt>
                <c:pt idx="4">
                  <c:v>-2.9100000000000237E-3</c:v>
                </c:pt>
                <c:pt idx="5">
                  <c:v>-2.9900000000000482E-3</c:v>
                </c:pt>
                <c:pt idx="6">
                  <c:v>-3.0100000000000127E-3</c:v>
                </c:pt>
                <c:pt idx="7">
                  <c:v>-2.8800000000000492E-3</c:v>
                </c:pt>
                <c:pt idx="8">
                  <c:v>-2.9900000000000482E-3</c:v>
                </c:pt>
                <c:pt idx="9">
                  <c:v>-2.9100000000000237E-3</c:v>
                </c:pt>
                <c:pt idx="10">
                  <c:v>-2.9300000000000437E-3</c:v>
                </c:pt>
                <c:pt idx="11">
                  <c:v>-3.0300000000000327E-3</c:v>
                </c:pt>
                <c:pt idx="12">
                  <c:v>-2.9500000000000082E-3</c:v>
                </c:pt>
                <c:pt idx="13">
                  <c:v>-3.0400000000000427E-3</c:v>
                </c:pt>
                <c:pt idx="14">
                  <c:v>-2.8800000000000492E-3</c:v>
                </c:pt>
                <c:pt idx="15">
                  <c:v>-0.29093000000000002</c:v>
                </c:pt>
                <c:pt idx="16">
                  <c:v>-0.29093000000000002</c:v>
                </c:pt>
                <c:pt idx="17">
                  <c:v>-0.29093000000000002</c:v>
                </c:pt>
                <c:pt idx="18">
                  <c:v>-0.29093000000000002</c:v>
                </c:pt>
                <c:pt idx="19">
                  <c:v>-0.29093000000000002</c:v>
                </c:pt>
                <c:pt idx="20">
                  <c:v>-0.29093000000000002</c:v>
                </c:pt>
                <c:pt idx="21">
                  <c:v>-0.29093000000000002</c:v>
                </c:pt>
                <c:pt idx="22">
                  <c:v>-0.29093000000000002</c:v>
                </c:pt>
                <c:pt idx="23">
                  <c:v>-0.29093000000000002</c:v>
                </c:pt>
                <c:pt idx="24">
                  <c:v>-0.29093000000000002</c:v>
                </c:pt>
                <c:pt idx="25">
                  <c:v>-0.29093000000000002</c:v>
                </c:pt>
                <c:pt idx="26">
                  <c:v>-0.29093000000000002</c:v>
                </c:pt>
                <c:pt idx="27">
                  <c:v>-0.29093000000000002</c:v>
                </c:pt>
                <c:pt idx="28">
                  <c:v>-0.29093000000000002</c:v>
                </c:pt>
                <c:pt idx="29">
                  <c:v>-0.29093000000000002</c:v>
                </c:pt>
                <c:pt idx="30">
                  <c:v>-0.29093000000000002</c:v>
                </c:pt>
                <c:pt idx="31">
                  <c:v>-0.29093000000000002</c:v>
                </c:pt>
                <c:pt idx="32">
                  <c:v>-0.29093000000000002</c:v>
                </c:pt>
                <c:pt idx="33">
                  <c:v>-0.29093000000000002</c:v>
                </c:pt>
                <c:pt idx="34">
                  <c:v>-0.29093000000000002</c:v>
                </c:pt>
                <c:pt idx="35">
                  <c:v>-0.29093000000000002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'FT72'!$AE$4:$AH$4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'FT72'!$AF$6:$AF$100</c:f>
              <c:numCache>
                <c:formatCode>0.0000</c:formatCode>
                <c:ptCount val="95"/>
                <c:pt idx="0">
                  <c:v>-5.1300000000000234E-3</c:v>
                </c:pt>
                <c:pt idx="1">
                  <c:v>-5.0600000000000089E-3</c:v>
                </c:pt>
                <c:pt idx="2">
                  <c:v>-5.1300000000000234E-3</c:v>
                </c:pt>
                <c:pt idx="3">
                  <c:v>-4.98000000000004E-3</c:v>
                </c:pt>
                <c:pt idx="4">
                  <c:v>-5.2500000000000324E-3</c:v>
                </c:pt>
                <c:pt idx="5">
                  <c:v>-5.2200000000000024E-3</c:v>
                </c:pt>
                <c:pt idx="6">
                  <c:v>-5.1500000000000434E-3</c:v>
                </c:pt>
                <c:pt idx="7">
                  <c:v>-5.1200000000000134E-3</c:v>
                </c:pt>
                <c:pt idx="8">
                  <c:v>-5.2400000000000224E-3</c:v>
                </c:pt>
                <c:pt idx="9">
                  <c:v>-5.1300000000000234E-3</c:v>
                </c:pt>
                <c:pt idx="10">
                  <c:v>-5.1599999999999979E-3</c:v>
                </c:pt>
                <c:pt idx="11">
                  <c:v>-5.2300000000000124E-3</c:v>
                </c:pt>
                <c:pt idx="12">
                  <c:v>-5.0600000000000089E-3</c:v>
                </c:pt>
                <c:pt idx="13">
                  <c:v>-5.2400000000000224E-3</c:v>
                </c:pt>
                <c:pt idx="14">
                  <c:v>-5.2300000000000124E-3</c:v>
                </c:pt>
                <c:pt idx="15">
                  <c:v>-0.28949000000000003</c:v>
                </c:pt>
                <c:pt idx="16">
                  <c:v>-0.28949000000000003</c:v>
                </c:pt>
                <c:pt idx="17">
                  <c:v>-0.28949000000000003</c:v>
                </c:pt>
                <c:pt idx="18">
                  <c:v>-0.28949000000000003</c:v>
                </c:pt>
                <c:pt idx="19">
                  <c:v>-0.28949000000000003</c:v>
                </c:pt>
                <c:pt idx="20">
                  <c:v>-0.28949000000000003</c:v>
                </c:pt>
                <c:pt idx="21">
                  <c:v>-0.28949000000000003</c:v>
                </c:pt>
                <c:pt idx="22">
                  <c:v>-0.28949000000000003</c:v>
                </c:pt>
                <c:pt idx="23">
                  <c:v>-0.28949000000000003</c:v>
                </c:pt>
                <c:pt idx="24">
                  <c:v>-0.28949000000000003</c:v>
                </c:pt>
                <c:pt idx="25">
                  <c:v>-0.28949000000000003</c:v>
                </c:pt>
                <c:pt idx="26">
                  <c:v>-0.28949000000000003</c:v>
                </c:pt>
                <c:pt idx="27">
                  <c:v>-0.28949000000000003</c:v>
                </c:pt>
                <c:pt idx="28">
                  <c:v>-0.28949000000000003</c:v>
                </c:pt>
                <c:pt idx="29">
                  <c:v>-0.28949000000000003</c:v>
                </c:pt>
                <c:pt idx="30">
                  <c:v>-0.28949000000000003</c:v>
                </c:pt>
                <c:pt idx="31">
                  <c:v>-0.28949000000000003</c:v>
                </c:pt>
                <c:pt idx="32">
                  <c:v>-0.28949000000000003</c:v>
                </c:pt>
                <c:pt idx="33">
                  <c:v>-0.28949000000000003</c:v>
                </c:pt>
                <c:pt idx="34">
                  <c:v>-0.28949000000000003</c:v>
                </c:pt>
                <c:pt idx="35">
                  <c:v>-0.28949000000000003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'FT72'!$AO$4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'FT72'!$AW$4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179608"/>
        <c:axId val="320177256"/>
      </c:lineChart>
      <c:catAx>
        <c:axId val="320179608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20177256"/>
        <c:crosses val="autoZero"/>
        <c:auto val="0"/>
        <c:lblAlgn val="ctr"/>
        <c:lblOffset val="100"/>
        <c:noMultiLvlLbl val="0"/>
      </c:catAx>
      <c:valAx>
        <c:axId val="320177256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20179608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y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'FT72'!$W$4:$Z$4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'FT72'!$Y$6:$Y$100</c:f>
              <c:numCache>
                <c:formatCode>0.0000</c:formatCode>
                <c:ptCount val="95"/>
                <c:pt idx="0">
                  <c:v>-3.2699999999999951E-3</c:v>
                </c:pt>
                <c:pt idx="1">
                  <c:v>-3.3099999999999796E-3</c:v>
                </c:pt>
                <c:pt idx="2">
                  <c:v>-3.3099999999999796E-3</c:v>
                </c:pt>
                <c:pt idx="3">
                  <c:v>-2.9700000000000282E-3</c:v>
                </c:pt>
                <c:pt idx="4">
                  <c:v>-2.8699999999999837E-3</c:v>
                </c:pt>
                <c:pt idx="5">
                  <c:v>-3.1800000000000161E-3</c:v>
                </c:pt>
                <c:pt idx="6">
                  <c:v>-2.9500000000000082E-3</c:v>
                </c:pt>
                <c:pt idx="7">
                  <c:v>-2.9799999999999827E-3</c:v>
                </c:pt>
                <c:pt idx="8">
                  <c:v>-2.9199999999999782E-3</c:v>
                </c:pt>
                <c:pt idx="9">
                  <c:v>-2.8699999999999837E-3</c:v>
                </c:pt>
                <c:pt idx="10">
                  <c:v>-2.8400000000000092E-3</c:v>
                </c:pt>
                <c:pt idx="11">
                  <c:v>-2.8900000000000037E-3</c:v>
                </c:pt>
                <c:pt idx="12">
                  <c:v>-2.9799999999999827E-3</c:v>
                </c:pt>
                <c:pt idx="13">
                  <c:v>-2.9199999999999782E-3</c:v>
                </c:pt>
                <c:pt idx="14">
                  <c:v>-2.8600000000000292E-3</c:v>
                </c:pt>
                <c:pt idx="15">
                  <c:v>-0.28214</c:v>
                </c:pt>
                <c:pt idx="16">
                  <c:v>-0.28214</c:v>
                </c:pt>
                <c:pt idx="17">
                  <c:v>-0.28214</c:v>
                </c:pt>
                <c:pt idx="18">
                  <c:v>-0.28214</c:v>
                </c:pt>
                <c:pt idx="19">
                  <c:v>-0.28214</c:v>
                </c:pt>
                <c:pt idx="20">
                  <c:v>-0.28214</c:v>
                </c:pt>
                <c:pt idx="21">
                  <c:v>-0.28214</c:v>
                </c:pt>
                <c:pt idx="22">
                  <c:v>-0.28214</c:v>
                </c:pt>
                <c:pt idx="23">
                  <c:v>-0.28214</c:v>
                </c:pt>
                <c:pt idx="24">
                  <c:v>-0.28214</c:v>
                </c:pt>
                <c:pt idx="25">
                  <c:v>-0.28214</c:v>
                </c:pt>
                <c:pt idx="26">
                  <c:v>-0.28214</c:v>
                </c:pt>
                <c:pt idx="27">
                  <c:v>-0.28214</c:v>
                </c:pt>
                <c:pt idx="28">
                  <c:v>-0.28214</c:v>
                </c:pt>
                <c:pt idx="29">
                  <c:v>-0.28214</c:v>
                </c:pt>
                <c:pt idx="30">
                  <c:v>-0.28214</c:v>
                </c:pt>
                <c:pt idx="31">
                  <c:v>-0.28214</c:v>
                </c:pt>
                <c:pt idx="32">
                  <c:v>-0.28214</c:v>
                </c:pt>
                <c:pt idx="33">
                  <c:v>-0.28214</c:v>
                </c:pt>
                <c:pt idx="34">
                  <c:v>-0.28214</c:v>
                </c:pt>
                <c:pt idx="35">
                  <c:v>-0.28214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'FT72'!$AA$4:$AD$4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'FT72'!$AC$6:$AC$100</c:f>
              <c:numCache>
                <c:formatCode>0.0000</c:formatCode>
                <c:ptCount val="95"/>
                <c:pt idx="0">
                  <c:v>-6.0599999999999543E-3</c:v>
                </c:pt>
                <c:pt idx="1">
                  <c:v>-6.1599999999999988E-3</c:v>
                </c:pt>
                <c:pt idx="2">
                  <c:v>-6.2499999999999778E-3</c:v>
                </c:pt>
                <c:pt idx="3">
                  <c:v>-6.3499999999999668E-3</c:v>
                </c:pt>
                <c:pt idx="4">
                  <c:v>-6.3399999999999568E-3</c:v>
                </c:pt>
                <c:pt idx="5">
                  <c:v>-6.4299999999999913E-3</c:v>
                </c:pt>
                <c:pt idx="6">
                  <c:v>-6.2999999999999723E-3</c:v>
                </c:pt>
                <c:pt idx="7">
                  <c:v>-6.1799999999999633E-3</c:v>
                </c:pt>
                <c:pt idx="8">
                  <c:v>-6.2099999999999933E-3</c:v>
                </c:pt>
                <c:pt idx="9">
                  <c:v>-6.2200000000000033E-3</c:v>
                </c:pt>
                <c:pt idx="10">
                  <c:v>-6.1599999999999988E-3</c:v>
                </c:pt>
                <c:pt idx="11">
                  <c:v>-6.3499999999999668E-3</c:v>
                </c:pt>
                <c:pt idx="12">
                  <c:v>-6.1899999999999733E-3</c:v>
                </c:pt>
                <c:pt idx="13">
                  <c:v>-6.4799999999999858E-3</c:v>
                </c:pt>
                <c:pt idx="14">
                  <c:v>-6.2099999999999933E-3</c:v>
                </c:pt>
                <c:pt idx="15">
                  <c:v>-0.28061999999999998</c:v>
                </c:pt>
                <c:pt idx="16">
                  <c:v>-0.28061999999999998</c:v>
                </c:pt>
                <c:pt idx="17">
                  <c:v>-0.28061999999999998</c:v>
                </c:pt>
                <c:pt idx="18">
                  <c:v>-0.28061999999999998</c:v>
                </c:pt>
                <c:pt idx="19">
                  <c:v>-0.28061999999999998</c:v>
                </c:pt>
                <c:pt idx="20">
                  <c:v>-0.28061999999999998</c:v>
                </c:pt>
                <c:pt idx="21">
                  <c:v>-0.28061999999999998</c:v>
                </c:pt>
                <c:pt idx="22">
                  <c:v>-0.28061999999999998</c:v>
                </c:pt>
                <c:pt idx="23">
                  <c:v>-0.28061999999999998</c:v>
                </c:pt>
                <c:pt idx="24">
                  <c:v>-0.28061999999999998</c:v>
                </c:pt>
                <c:pt idx="25">
                  <c:v>-0.28061999999999998</c:v>
                </c:pt>
                <c:pt idx="26">
                  <c:v>-0.28061999999999998</c:v>
                </c:pt>
                <c:pt idx="27">
                  <c:v>-0.28061999999999998</c:v>
                </c:pt>
                <c:pt idx="28">
                  <c:v>-0.28061999999999998</c:v>
                </c:pt>
                <c:pt idx="29">
                  <c:v>-0.28061999999999998</c:v>
                </c:pt>
                <c:pt idx="30">
                  <c:v>-0.28061999999999998</c:v>
                </c:pt>
                <c:pt idx="31">
                  <c:v>-0.28061999999999998</c:v>
                </c:pt>
                <c:pt idx="32">
                  <c:v>-0.28061999999999998</c:v>
                </c:pt>
                <c:pt idx="33">
                  <c:v>-0.28061999999999998</c:v>
                </c:pt>
                <c:pt idx="34">
                  <c:v>-0.28061999999999998</c:v>
                </c:pt>
                <c:pt idx="35">
                  <c:v>-0.28061999999999998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'FT72'!$AE$4:$AH$4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'FT72'!$AG$6:$AG$100</c:f>
              <c:numCache>
                <c:formatCode>0.0000</c:formatCode>
                <c:ptCount val="95"/>
                <c:pt idx="0">
                  <c:v>-8.3300000000000041E-3</c:v>
                </c:pt>
                <c:pt idx="1">
                  <c:v>-8.2899999999999641E-3</c:v>
                </c:pt>
                <c:pt idx="2">
                  <c:v>-8.3599999999999786E-3</c:v>
                </c:pt>
                <c:pt idx="3">
                  <c:v>-8.2299999999999596E-3</c:v>
                </c:pt>
                <c:pt idx="4">
                  <c:v>-8.4099999999999731E-3</c:v>
                </c:pt>
                <c:pt idx="5">
                  <c:v>-8.5599999999999565E-3</c:v>
                </c:pt>
                <c:pt idx="6">
                  <c:v>-8.4699999999999775E-3</c:v>
                </c:pt>
                <c:pt idx="7">
                  <c:v>-8.3599999999999786E-3</c:v>
                </c:pt>
                <c:pt idx="8">
                  <c:v>-8.3900000000000086E-3</c:v>
                </c:pt>
                <c:pt idx="9">
                  <c:v>-8.3199999999999941E-3</c:v>
                </c:pt>
                <c:pt idx="10">
                  <c:v>-8.2200000000000051E-3</c:v>
                </c:pt>
                <c:pt idx="11">
                  <c:v>-8.5000000000000075E-3</c:v>
                </c:pt>
                <c:pt idx="12">
                  <c:v>-8.3099999999999841E-3</c:v>
                </c:pt>
                <c:pt idx="13">
                  <c:v>-8.529999999999982E-3</c:v>
                </c:pt>
                <c:pt idx="14">
                  <c:v>-8.509999999999962E-3</c:v>
                </c:pt>
                <c:pt idx="15">
                  <c:v>-0.27939999999999998</c:v>
                </c:pt>
                <c:pt idx="16">
                  <c:v>-0.27939999999999998</c:v>
                </c:pt>
                <c:pt idx="17">
                  <c:v>-0.27939999999999998</c:v>
                </c:pt>
                <c:pt idx="18">
                  <c:v>-0.27939999999999998</c:v>
                </c:pt>
                <c:pt idx="19">
                  <c:v>-0.27939999999999998</c:v>
                </c:pt>
                <c:pt idx="20">
                  <c:v>-0.27939999999999998</c:v>
                </c:pt>
                <c:pt idx="21">
                  <c:v>-0.27939999999999998</c:v>
                </c:pt>
                <c:pt idx="22">
                  <c:v>-0.27939999999999998</c:v>
                </c:pt>
                <c:pt idx="23">
                  <c:v>-0.27939999999999998</c:v>
                </c:pt>
                <c:pt idx="24">
                  <c:v>-0.27939999999999998</c:v>
                </c:pt>
                <c:pt idx="25">
                  <c:v>-0.27939999999999998</c:v>
                </c:pt>
                <c:pt idx="26">
                  <c:v>-0.27939999999999998</c:v>
                </c:pt>
                <c:pt idx="27">
                  <c:v>-0.27939999999999998</c:v>
                </c:pt>
                <c:pt idx="28">
                  <c:v>-0.27939999999999998</c:v>
                </c:pt>
                <c:pt idx="29">
                  <c:v>-0.27939999999999998</c:v>
                </c:pt>
                <c:pt idx="30">
                  <c:v>-0.27939999999999998</c:v>
                </c:pt>
                <c:pt idx="31">
                  <c:v>-0.27939999999999998</c:v>
                </c:pt>
                <c:pt idx="32">
                  <c:v>-0.27939999999999998</c:v>
                </c:pt>
                <c:pt idx="33">
                  <c:v>-0.27939999999999998</c:v>
                </c:pt>
                <c:pt idx="34">
                  <c:v>-0.27939999999999998</c:v>
                </c:pt>
                <c:pt idx="35">
                  <c:v>-0.27939999999999998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'FT72'!$AO$4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'FT72'!$AW$4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'FT72'!$F$6:$F$100</c:f>
              <c:strCache>
                <c:ptCount val="15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2021/02/18</c:v>
                </c:pt>
                <c:pt idx="6">
                  <c:v>2021/02/19</c:v>
                </c:pt>
                <c:pt idx="7">
                  <c:v>2021/02/20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  <c:pt idx="13">
                  <c:v>2021/02/25</c:v>
                </c:pt>
                <c:pt idx="14">
                  <c:v>2021/02/26</c:v>
                </c:pt>
              </c:strCache>
            </c:strRef>
          </c:cat>
          <c:val>
            <c:numRef>
              <c:f>'FT72'!$AT$6:$AT$100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711456"/>
        <c:axId val="319711848"/>
      </c:lineChart>
      <c:catAx>
        <c:axId val="319711456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711848"/>
        <c:crosses val="autoZero"/>
        <c:auto val="0"/>
        <c:lblAlgn val="ctr"/>
        <c:lblOffset val="100"/>
        <c:noMultiLvlLbl val="0"/>
      </c:catAx>
      <c:valAx>
        <c:axId val="319711848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711456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光束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'FT73'!$W$4:$Z$4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'FT73'!$Z$6:$Z$100</c:f>
              <c:numCache>
                <c:formatCode>0.00%</c:formatCode>
                <c:ptCount val="95"/>
                <c:pt idx="0">
                  <c:v>-3.4030968181042454E-4</c:v>
                </c:pt>
                <c:pt idx="1">
                  <c:v>-3.0331949900486155E-4</c:v>
                </c:pt>
                <c:pt idx="2">
                  <c:v>-4.0393279623587297E-3</c:v>
                </c:pt>
                <c:pt idx="3">
                  <c:v>-2.2268090048900291E-3</c:v>
                </c:pt>
                <c:pt idx="4">
                  <c:v>-5.038062898106821E-3</c:v>
                </c:pt>
                <c:pt idx="5">
                  <c:v>-2.6706911985558968E-3</c:v>
                </c:pt>
                <c:pt idx="6">
                  <c:v>-8.9516242389253708E-4</c:v>
                </c:pt>
                <c:pt idx="7">
                  <c:v>-1.4130249831694197E-3</c:v>
                </c:pt>
                <c:pt idx="8">
                  <c:v>-2.8186519297778156E-3</c:v>
                </c:pt>
                <c:pt idx="9">
                  <c:v>-1.5239955315858866E-3</c:v>
                </c:pt>
                <c:pt idx="10">
                  <c:v>-4.7421414356629832E-3</c:v>
                </c:pt>
                <c:pt idx="11">
                  <c:v>-2.9666126609997345E-3</c:v>
                </c:pt>
                <c:pt idx="12">
                  <c:v>-1.3390446175584048E-3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'FT73'!$AA$4:$AD$4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'FT73'!$AD$6:$AD$100</c:f>
              <c:numCache>
                <c:formatCode>0.00%</c:formatCode>
                <c:ptCount val="95"/>
                <c:pt idx="0">
                  <c:v>3.321908683099184E-2</c:v>
                </c:pt>
                <c:pt idx="1">
                  <c:v>3.2525577711346898E-2</c:v>
                </c:pt>
                <c:pt idx="2">
                  <c:v>2.8401023473458853E-2</c:v>
                </c:pt>
                <c:pt idx="3">
                  <c:v>3.0518051312374839E-2</c:v>
                </c:pt>
                <c:pt idx="4">
                  <c:v>2.9642039792823205E-2</c:v>
                </c:pt>
                <c:pt idx="5">
                  <c:v>3.2160572911533736E-2</c:v>
                </c:pt>
                <c:pt idx="6">
                  <c:v>3.1832068591701956E-2</c:v>
                </c:pt>
                <c:pt idx="7">
                  <c:v>3.270808011125359E-2</c:v>
                </c:pt>
                <c:pt idx="8">
                  <c:v>2.9605539312842044E-2</c:v>
                </c:pt>
                <c:pt idx="9">
                  <c:v>3.2525577711346898E-2</c:v>
                </c:pt>
                <c:pt idx="10">
                  <c:v>2.986104267271128E-2</c:v>
                </c:pt>
                <c:pt idx="11">
                  <c:v>3.1649566191795486E-2</c:v>
                </c:pt>
                <c:pt idx="12">
                  <c:v>3.172256715175803E-2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'FT73'!$AE$4:$AH$4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'FT73'!$AH$6:$AH$100</c:f>
              <c:numCache>
                <c:formatCode>0.00%</c:formatCode>
                <c:ptCount val="95"/>
                <c:pt idx="0">
                  <c:v>2.035268185157979E-2</c:v>
                </c:pt>
                <c:pt idx="1">
                  <c:v>2.0389419544452503E-2</c:v>
                </c:pt>
                <c:pt idx="2">
                  <c:v>1.5833945628214607E-2</c:v>
                </c:pt>
                <c:pt idx="3">
                  <c:v>1.6201322556943509E-2</c:v>
                </c:pt>
                <c:pt idx="4">
                  <c:v>1.7560617193240313E-2</c:v>
                </c:pt>
                <c:pt idx="5">
                  <c:v>1.9066862601028634E-2</c:v>
                </c:pt>
                <c:pt idx="6">
                  <c:v>1.9397501836884823E-2</c:v>
                </c:pt>
                <c:pt idx="7">
                  <c:v>1.9764878765613503E-2</c:v>
                </c:pt>
                <c:pt idx="8">
                  <c:v>1.5907421013960255E-2</c:v>
                </c:pt>
                <c:pt idx="9">
                  <c:v>1.8515797207935281E-2</c:v>
                </c:pt>
                <c:pt idx="10">
                  <c:v>1.7560617193240313E-2</c:v>
                </c:pt>
                <c:pt idx="11">
                  <c:v>1.8074944893460732E-2</c:v>
                </c:pt>
                <c:pt idx="12">
                  <c:v>1.8883174136664405E-2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'FT73'!$AO$4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'FT73'!$AO$6:$AO$100</c:f>
              <c:numCache>
                <c:formatCode>0.00%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'FT73'!$AP$6:$AP$100</c:f>
              <c:numCache>
                <c:formatCode>0.00%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'FT73'!$AW$4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'FT73'!$AW$6:$AW$100</c:f>
              <c:numCache>
                <c:formatCode>0.00%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'FT73'!$AX$6:$AX$100</c:f>
              <c:numCache>
                <c:formatCode>0.00%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712240"/>
        <c:axId val="319708320"/>
      </c:lineChart>
      <c:catAx>
        <c:axId val="319712240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708320"/>
        <c:crosses val="autoZero"/>
        <c:auto val="0"/>
        <c:lblAlgn val="ctr"/>
        <c:lblOffset val="100"/>
        <c:noMultiLvlLbl val="0"/>
      </c:catAx>
      <c:valAx>
        <c:axId val="319708320"/>
        <c:scaling>
          <c:orientation val="minMax"/>
          <c:max val="3.0000000000000006E-2"/>
          <c:min val="-3.0000000000000006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712240"/>
        <c:crosses val="autoZero"/>
        <c:crossBetween val="between"/>
        <c:majorUnit val="1.0000000000000002E-2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VF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'FT73'!$W$4:$Z$4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'FT73'!$F$6:$F$96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'FT73'!$W$6:$W$100</c:f>
              <c:numCache>
                <c:formatCode>0.000</c:formatCode>
                <c:ptCount val="95"/>
                <c:pt idx="0">
                  <c:v>1.9800000000000928E-3</c:v>
                </c:pt>
                <c:pt idx="1">
                  <c:v>3.9799999999998725E-3</c:v>
                </c:pt>
                <c:pt idx="2">
                  <c:v>-5.0200000000000244E-3</c:v>
                </c:pt>
                <c:pt idx="3">
                  <c:v>-2.0000000000131024E-5</c:v>
                </c:pt>
                <c:pt idx="4">
                  <c:v>-1.0200000000000209E-3</c:v>
                </c:pt>
                <c:pt idx="5">
                  <c:v>2.9799999999999827E-3</c:v>
                </c:pt>
                <c:pt idx="6">
                  <c:v>-3.0200000000002447E-3</c:v>
                </c:pt>
                <c:pt idx="7">
                  <c:v>-3.0200000000002447E-3</c:v>
                </c:pt>
                <c:pt idx="8">
                  <c:v>-8.0200000000001381E-3</c:v>
                </c:pt>
                <c:pt idx="9">
                  <c:v>-1.0200000000000209E-3</c:v>
                </c:pt>
                <c:pt idx="10">
                  <c:v>-4.0200000000001346E-3</c:v>
                </c:pt>
                <c:pt idx="11">
                  <c:v>-4.0200000000001346E-3</c:v>
                </c:pt>
                <c:pt idx="12">
                  <c:v>3.9799999999998725E-3</c:v>
                </c:pt>
                <c:pt idx="13">
                  <c:v>-3.1130200000000001</c:v>
                </c:pt>
                <c:pt idx="14">
                  <c:v>-3.1130200000000001</c:v>
                </c:pt>
                <c:pt idx="15">
                  <c:v>-3.1130200000000001</c:v>
                </c:pt>
                <c:pt idx="16">
                  <c:v>-3.1130200000000001</c:v>
                </c:pt>
                <c:pt idx="17">
                  <c:v>-3.1130200000000001</c:v>
                </c:pt>
                <c:pt idx="18">
                  <c:v>-3.1130200000000001</c:v>
                </c:pt>
                <c:pt idx="19">
                  <c:v>-3.1130200000000001</c:v>
                </c:pt>
                <c:pt idx="20">
                  <c:v>-3.1130200000000001</c:v>
                </c:pt>
                <c:pt idx="21">
                  <c:v>-3.1130200000000001</c:v>
                </c:pt>
                <c:pt idx="22">
                  <c:v>-3.1130200000000001</c:v>
                </c:pt>
                <c:pt idx="23">
                  <c:v>-3.1130200000000001</c:v>
                </c:pt>
                <c:pt idx="24">
                  <c:v>-3.1130200000000001</c:v>
                </c:pt>
                <c:pt idx="25">
                  <c:v>-3.1130200000000001</c:v>
                </c:pt>
                <c:pt idx="26">
                  <c:v>-3.1130200000000001</c:v>
                </c:pt>
                <c:pt idx="27">
                  <c:v>-3.1130200000000001</c:v>
                </c:pt>
                <c:pt idx="28">
                  <c:v>-3.1130200000000001</c:v>
                </c:pt>
                <c:pt idx="29">
                  <c:v>-3.1130200000000001</c:v>
                </c:pt>
                <c:pt idx="30">
                  <c:v>-3.1130200000000001</c:v>
                </c:pt>
                <c:pt idx="31">
                  <c:v>-3.1130200000000001</c:v>
                </c:pt>
                <c:pt idx="32">
                  <c:v>-3.1130200000000001</c:v>
                </c:pt>
                <c:pt idx="33">
                  <c:v>-3.1130200000000001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'FT73'!$AA$4:$AD$4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'FT73'!$F$6:$F$96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'FT73'!$AA$6:$AA$100</c:f>
              <c:numCache>
                <c:formatCode>0.000</c:formatCode>
                <c:ptCount val="95"/>
                <c:pt idx="0">
                  <c:v>3.2100000000001572E-3</c:v>
                </c:pt>
                <c:pt idx="1">
                  <c:v>4.210000000000047E-3</c:v>
                </c:pt>
                <c:pt idx="2">
                  <c:v>-4.7899999999998499E-3</c:v>
                </c:pt>
                <c:pt idx="3">
                  <c:v>2.1000000000004349E-4</c:v>
                </c:pt>
                <c:pt idx="4">
                  <c:v>2.1000000000004349E-4</c:v>
                </c:pt>
                <c:pt idx="5">
                  <c:v>2.2099999999998232E-3</c:v>
                </c:pt>
                <c:pt idx="6">
                  <c:v>-2.7900000000000702E-3</c:v>
                </c:pt>
                <c:pt idx="7">
                  <c:v>-2.7900000000000702E-3</c:v>
                </c:pt>
                <c:pt idx="8">
                  <c:v>-7.7899999999999636E-3</c:v>
                </c:pt>
                <c:pt idx="9">
                  <c:v>2.1000000000004349E-4</c:v>
                </c:pt>
                <c:pt idx="10">
                  <c:v>-4.7899999999998499E-3</c:v>
                </c:pt>
                <c:pt idx="11">
                  <c:v>-3.7899999999999601E-3</c:v>
                </c:pt>
                <c:pt idx="12">
                  <c:v>4.210000000000047E-3</c:v>
                </c:pt>
                <c:pt idx="13">
                  <c:v>-3.1117900000000001</c:v>
                </c:pt>
                <c:pt idx="14">
                  <c:v>-3.1117900000000001</c:v>
                </c:pt>
                <c:pt idx="15">
                  <c:v>-3.1117900000000001</c:v>
                </c:pt>
                <c:pt idx="16">
                  <c:v>-3.1117900000000001</c:v>
                </c:pt>
                <c:pt idx="17">
                  <c:v>-3.1117900000000001</c:v>
                </c:pt>
                <c:pt idx="18">
                  <c:v>-3.1117900000000001</c:v>
                </c:pt>
                <c:pt idx="19">
                  <c:v>-3.1117900000000001</c:v>
                </c:pt>
                <c:pt idx="20">
                  <c:v>-3.1117900000000001</c:v>
                </c:pt>
                <c:pt idx="21">
                  <c:v>-3.1117900000000001</c:v>
                </c:pt>
                <c:pt idx="22">
                  <c:v>-3.1117900000000001</c:v>
                </c:pt>
                <c:pt idx="23">
                  <c:v>-3.1117900000000001</c:v>
                </c:pt>
                <c:pt idx="24">
                  <c:v>-3.1117900000000001</c:v>
                </c:pt>
                <c:pt idx="25">
                  <c:v>-3.1117900000000001</c:v>
                </c:pt>
                <c:pt idx="26">
                  <c:v>-3.1117900000000001</c:v>
                </c:pt>
                <c:pt idx="27">
                  <c:v>-3.1117900000000001</c:v>
                </c:pt>
                <c:pt idx="28">
                  <c:v>-3.1117900000000001</c:v>
                </c:pt>
                <c:pt idx="29">
                  <c:v>-3.1117900000000001</c:v>
                </c:pt>
                <c:pt idx="30">
                  <c:v>-3.1117900000000001</c:v>
                </c:pt>
                <c:pt idx="31">
                  <c:v>-3.1117900000000001</c:v>
                </c:pt>
                <c:pt idx="32">
                  <c:v>-3.1117900000000001</c:v>
                </c:pt>
                <c:pt idx="33">
                  <c:v>-3.1117900000000001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'FT73'!$AE$4:$AH$4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'FT73'!$F$6:$F$96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'FT73'!$AE$6:$AE$100</c:f>
              <c:numCache>
                <c:formatCode>0.000</c:formatCode>
                <c:ptCount val="95"/>
                <c:pt idx="0">
                  <c:v>-1.8199999999999328E-3</c:v>
                </c:pt>
                <c:pt idx="1">
                  <c:v>-1.8199999999999328E-3</c:v>
                </c:pt>
                <c:pt idx="2">
                  <c:v>-9.8199999999999399E-3</c:v>
                </c:pt>
                <c:pt idx="3">
                  <c:v>-5.8199999999999363E-3</c:v>
                </c:pt>
                <c:pt idx="4">
                  <c:v>-3.8199999999997125E-3</c:v>
                </c:pt>
                <c:pt idx="5">
                  <c:v>-1.8199999999999328E-3</c:v>
                </c:pt>
                <c:pt idx="6">
                  <c:v>-6.8199999999998262E-3</c:v>
                </c:pt>
                <c:pt idx="7">
                  <c:v>-6.8199999999998262E-3</c:v>
                </c:pt>
                <c:pt idx="8">
                  <c:v>-1.2819999999999609E-2</c:v>
                </c:pt>
                <c:pt idx="9">
                  <c:v>-4.8199999999996024E-3</c:v>
                </c:pt>
                <c:pt idx="10">
                  <c:v>-9.8199999999999399E-3</c:v>
                </c:pt>
                <c:pt idx="11">
                  <c:v>-9.8199999999999399E-3</c:v>
                </c:pt>
                <c:pt idx="12">
                  <c:v>-1.8199999999999328E-3</c:v>
                </c:pt>
                <c:pt idx="13">
                  <c:v>-3.1078199999999998</c:v>
                </c:pt>
                <c:pt idx="14">
                  <c:v>-3.1078199999999998</c:v>
                </c:pt>
                <c:pt idx="15">
                  <c:v>-3.1078199999999998</c:v>
                </c:pt>
                <c:pt idx="16">
                  <c:v>-3.1078199999999998</c:v>
                </c:pt>
                <c:pt idx="17">
                  <c:v>-3.1078199999999998</c:v>
                </c:pt>
                <c:pt idx="18">
                  <c:v>-3.1078199999999998</c:v>
                </c:pt>
                <c:pt idx="19">
                  <c:v>-3.1078199999999998</c:v>
                </c:pt>
                <c:pt idx="20">
                  <c:v>-3.1078199999999998</c:v>
                </c:pt>
                <c:pt idx="21">
                  <c:v>-3.1078199999999998</c:v>
                </c:pt>
                <c:pt idx="22">
                  <c:v>-3.1078199999999998</c:v>
                </c:pt>
                <c:pt idx="23">
                  <c:v>-3.1078199999999998</c:v>
                </c:pt>
                <c:pt idx="24">
                  <c:v>-3.1078199999999998</c:v>
                </c:pt>
                <c:pt idx="25">
                  <c:v>-3.1078199999999998</c:v>
                </c:pt>
                <c:pt idx="26">
                  <c:v>-3.1078199999999998</c:v>
                </c:pt>
                <c:pt idx="27">
                  <c:v>-3.1078199999999998</c:v>
                </c:pt>
                <c:pt idx="28">
                  <c:v>-3.1078199999999998</c:v>
                </c:pt>
                <c:pt idx="29">
                  <c:v>-3.1078199999999998</c:v>
                </c:pt>
                <c:pt idx="30">
                  <c:v>-3.1078199999999998</c:v>
                </c:pt>
                <c:pt idx="31">
                  <c:v>-3.1078199999999998</c:v>
                </c:pt>
                <c:pt idx="32">
                  <c:v>-3.1078199999999998</c:v>
                </c:pt>
                <c:pt idx="33">
                  <c:v>-3.1078199999999998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'FT73'!$AO$4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'FT73'!$F$6:$F$96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'FT73'!$AI$6:$AI$100</c:f>
              <c:numCache>
                <c:formatCode>General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'FT73'!$F$6:$F$96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'FT73'!$AJ$6:$AJ$100</c:f>
              <c:numCache>
                <c:formatCode>General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'FT73'!$AW$4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'FT73'!$F$6:$F$96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'FT73'!$AQ$6:$AQ$100</c:f>
              <c:numCache>
                <c:formatCode>General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'FT73'!$F$6:$F$96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'FT73'!$AR$6:$AR$100</c:f>
              <c:numCache>
                <c:formatCode>General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710280"/>
        <c:axId val="319710672"/>
      </c:lineChart>
      <c:catAx>
        <c:axId val="319710280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710672"/>
        <c:crosses val="autoZero"/>
        <c:auto val="0"/>
        <c:lblAlgn val="ctr"/>
        <c:lblOffset val="100"/>
        <c:noMultiLvlLbl val="0"/>
      </c:catAx>
      <c:valAx>
        <c:axId val="319710672"/>
        <c:scaling>
          <c:orientation val="minMax"/>
        </c:scaling>
        <c:delete val="0"/>
        <c:axPos val="l"/>
        <c:numFmt formatCode="#,##0.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71028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X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'FT73'!$W$4:$Z$4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'FT73'!$X$6:$X$100</c:f>
              <c:numCache>
                <c:formatCode>0.0000</c:formatCode>
                <c:ptCount val="95"/>
                <c:pt idx="0">
                  <c:v>-4.770000000000052E-4</c:v>
                </c:pt>
                <c:pt idx="1">
                  <c:v>-4.170000000000007E-4</c:v>
                </c:pt>
                <c:pt idx="2">
                  <c:v>-5.7699999999999418E-4</c:v>
                </c:pt>
                <c:pt idx="3">
                  <c:v>-4.4700000000003071E-4</c:v>
                </c:pt>
                <c:pt idx="4">
                  <c:v>-6.1700000000003419E-4</c:v>
                </c:pt>
                <c:pt idx="5">
                  <c:v>-4.770000000000052E-4</c:v>
                </c:pt>
                <c:pt idx="6">
                  <c:v>-5.1699999999998969E-4</c:v>
                </c:pt>
                <c:pt idx="7">
                  <c:v>-6.2700000000004419E-4</c:v>
                </c:pt>
                <c:pt idx="8">
                  <c:v>-6.2700000000004419E-4</c:v>
                </c:pt>
                <c:pt idx="9">
                  <c:v>-5.6700000000003969E-4</c:v>
                </c:pt>
                <c:pt idx="10">
                  <c:v>-6.0700000000002419E-4</c:v>
                </c:pt>
                <c:pt idx="11">
                  <c:v>-6.3699999999999868E-4</c:v>
                </c:pt>
                <c:pt idx="12">
                  <c:v>-5.7699999999999418E-4</c:v>
                </c:pt>
                <c:pt idx="13">
                  <c:v>-0.28917700000000002</c:v>
                </c:pt>
                <c:pt idx="14">
                  <c:v>-0.28917700000000002</c:v>
                </c:pt>
                <c:pt idx="15">
                  <c:v>-0.28917700000000002</c:v>
                </c:pt>
                <c:pt idx="16">
                  <c:v>-0.28917700000000002</c:v>
                </c:pt>
                <c:pt idx="17">
                  <c:v>-0.28917700000000002</c:v>
                </c:pt>
                <c:pt idx="18">
                  <c:v>-0.28917700000000002</c:v>
                </c:pt>
                <c:pt idx="19">
                  <c:v>-0.28917700000000002</c:v>
                </c:pt>
                <c:pt idx="20">
                  <c:v>-0.28917700000000002</c:v>
                </c:pt>
                <c:pt idx="21">
                  <c:v>-0.28917700000000002</c:v>
                </c:pt>
                <c:pt idx="22">
                  <c:v>-0.28917700000000002</c:v>
                </c:pt>
                <c:pt idx="23">
                  <c:v>-0.28917700000000002</c:v>
                </c:pt>
                <c:pt idx="24">
                  <c:v>-0.28917700000000002</c:v>
                </c:pt>
                <c:pt idx="25">
                  <c:v>-0.28917700000000002</c:v>
                </c:pt>
                <c:pt idx="26">
                  <c:v>-0.28917700000000002</c:v>
                </c:pt>
                <c:pt idx="27">
                  <c:v>-0.28917700000000002</c:v>
                </c:pt>
                <c:pt idx="28">
                  <c:v>-0.28917700000000002</c:v>
                </c:pt>
                <c:pt idx="29">
                  <c:v>-0.28917700000000002</c:v>
                </c:pt>
                <c:pt idx="30">
                  <c:v>-0.28917700000000002</c:v>
                </c:pt>
                <c:pt idx="31">
                  <c:v>-0.28917700000000002</c:v>
                </c:pt>
                <c:pt idx="32">
                  <c:v>-0.28917700000000002</c:v>
                </c:pt>
                <c:pt idx="33">
                  <c:v>-0.28917700000000002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'FT73'!$AA$4:$AD$4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'FT73'!$AB$6:$AB$100</c:f>
              <c:numCache>
                <c:formatCode>0.0000</c:formatCode>
                <c:ptCount val="95"/>
                <c:pt idx="0">
                  <c:v>-3.6459999999999826E-3</c:v>
                </c:pt>
                <c:pt idx="1">
                  <c:v>-3.5159999999999636E-3</c:v>
                </c:pt>
                <c:pt idx="2">
                  <c:v>-3.5560000000000036E-3</c:v>
                </c:pt>
                <c:pt idx="3">
                  <c:v>-3.6459999999999826E-3</c:v>
                </c:pt>
                <c:pt idx="4">
                  <c:v>-3.5959999999999881E-3</c:v>
                </c:pt>
                <c:pt idx="5">
                  <c:v>-3.5859999999999781E-3</c:v>
                </c:pt>
                <c:pt idx="6">
                  <c:v>-3.7159999999999971E-3</c:v>
                </c:pt>
                <c:pt idx="7">
                  <c:v>-3.6959999999999771E-3</c:v>
                </c:pt>
                <c:pt idx="8">
                  <c:v>-3.7959999999999661E-3</c:v>
                </c:pt>
                <c:pt idx="9">
                  <c:v>-3.6359999999999726E-3</c:v>
                </c:pt>
                <c:pt idx="10">
                  <c:v>-3.6059999999999981E-3</c:v>
                </c:pt>
                <c:pt idx="11">
                  <c:v>-3.6959999999999771E-3</c:v>
                </c:pt>
                <c:pt idx="12">
                  <c:v>-3.6160000000000081E-3</c:v>
                </c:pt>
                <c:pt idx="13">
                  <c:v>-0.29006599999999999</c:v>
                </c:pt>
                <c:pt idx="14">
                  <c:v>-0.29006599999999999</c:v>
                </c:pt>
                <c:pt idx="15">
                  <c:v>-0.29006599999999999</c:v>
                </c:pt>
                <c:pt idx="16">
                  <c:v>-0.29006599999999999</c:v>
                </c:pt>
                <c:pt idx="17">
                  <c:v>-0.29006599999999999</c:v>
                </c:pt>
                <c:pt idx="18">
                  <c:v>-0.29006599999999999</c:v>
                </c:pt>
                <c:pt idx="19">
                  <c:v>-0.29006599999999999</c:v>
                </c:pt>
                <c:pt idx="20">
                  <c:v>-0.29006599999999999</c:v>
                </c:pt>
                <c:pt idx="21">
                  <c:v>-0.29006599999999999</c:v>
                </c:pt>
                <c:pt idx="22">
                  <c:v>-0.29006599999999999</c:v>
                </c:pt>
                <c:pt idx="23">
                  <c:v>-0.29006599999999999</c:v>
                </c:pt>
                <c:pt idx="24">
                  <c:v>-0.29006599999999999</c:v>
                </c:pt>
                <c:pt idx="25">
                  <c:v>-0.29006599999999999</c:v>
                </c:pt>
                <c:pt idx="26">
                  <c:v>-0.29006599999999999</c:v>
                </c:pt>
                <c:pt idx="27">
                  <c:v>-0.29006599999999999</c:v>
                </c:pt>
                <c:pt idx="28">
                  <c:v>-0.29006599999999999</c:v>
                </c:pt>
                <c:pt idx="29">
                  <c:v>-0.29006599999999999</c:v>
                </c:pt>
                <c:pt idx="30">
                  <c:v>-0.29006599999999999</c:v>
                </c:pt>
                <c:pt idx="31">
                  <c:v>-0.29006599999999999</c:v>
                </c:pt>
                <c:pt idx="32">
                  <c:v>-0.29006599999999999</c:v>
                </c:pt>
                <c:pt idx="33">
                  <c:v>-0.29006599999999999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'FT73'!$AE$4:$AH$4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'FT73'!$AF$6:$AF$100</c:f>
              <c:numCache>
                <c:formatCode>0.0000</c:formatCode>
                <c:ptCount val="95"/>
                <c:pt idx="0">
                  <c:v>-8.6889999999999468E-3</c:v>
                </c:pt>
                <c:pt idx="1">
                  <c:v>-8.5989999999999678E-3</c:v>
                </c:pt>
                <c:pt idx="2">
                  <c:v>-8.7489999999999513E-3</c:v>
                </c:pt>
                <c:pt idx="3">
                  <c:v>-8.7889999999999913E-3</c:v>
                </c:pt>
                <c:pt idx="4">
                  <c:v>-8.6889999999999468E-3</c:v>
                </c:pt>
                <c:pt idx="5">
                  <c:v>-8.7089999999999668E-3</c:v>
                </c:pt>
                <c:pt idx="6">
                  <c:v>-8.7889999999999913E-3</c:v>
                </c:pt>
                <c:pt idx="7">
                  <c:v>-8.9989999999999792E-3</c:v>
                </c:pt>
                <c:pt idx="8">
                  <c:v>-9.0289999999999537E-3</c:v>
                </c:pt>
                <c:pt idx="9">
                  <c:v>-8.8289999999999758E-3</c:v>
                </c:pt>
                <c:pt idx="10">
                  <c:v>-8.8689999999999602E-3</c:v>
                </c:pt>
                <c:pt idx="11">
                  <c:v>-8.7789999999999813E-3</c:v>
                </c:pt>
                <c:pt idx="12">
                  <c:v>-8.9289999999999647E-3</c:v>
                </c:pt>
                <c:pt idx="13">
                  <c:v>-0.28968899999999997</c:v>
                </c:pt>
                <c:pt idx="14">
                  <c:v>-0.28968899999999997</c:v>
                </c:pt>
                <c:pt idx="15">
                  <c:v>-0.28968899999999997</c:v>
                </c:pt>
                <c:pt idx="16">
                  <c:v>-0.28968899999999997</c:v>
                </c:pt>
                <c:pt idx="17">
                  <c:v>-0.28968899999999997</c:v>
                </c:pt>
                <c:pt idx="18">
                  <c:v>-0.28968899999999997</c:v>
                </c:pt>
                <c:pt idx="19">
                  <c:v>-0.28968899999999997</c:v>
                </c:pt>
                <c:pt idx="20">
                  <c:v>-0.28968899999999997</c:v>
                </c:pt>
                <c:pt idx="21">
                  <c:v>-0.28968899999999997</c:v>
                </c:pt>
                <c:pt idx="22">
                  <c:v>-0.28968899999999997</c:v>
                </c:pt>
                <c:pt idx="23">
                  <c:v>-0.28968899999999997</c:v>
                </c:pt>
                <c:pt idx="24">
                  <c:v>-0.28968899999999997</c:v>
                </c:pt>
                <c:pt idx="25">
                  <c:v>-0.28968899999999997</c:v>
                </c:pt>
                <c:pt idx="26">
                  <c:v>-0.28968899999999997</c:v>
                </c:pt>
                <c:pt idx="27">
                  <c:v>-0.28968899999999997</c:v>
                </c:pt>
                <c:pt idx="28">
                  <c:v>-0.28968899999999997</c:v>
                </c:pt>
                <c:pt idx="29">
                  <c:v>-0.28968899999999997</c:v>
                </c:pt>
                <c:pt idx="30">
                  <c:v>-0.28968899999999997</c:v>
                </c:pt>
                <c:pt idx="31">
                  <c:v>-0.28968899999999997</c:v>
                </c:pt>
                <c:pt idx="32">
                  <c:v>-0.28968899999999997</c:v>
                </c:pt>
                <c:pt idx="33">
                  <c:v>-0.28968899999999997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'FT73'!$AO$4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'FT73'!$AW$4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705968"/>
        <c:axId val="319716160"/>
      </c:lineChart>
      <c:catAx>
        <c:axId val="319705968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716160"/>
        <c:crosses val="autoZero"/>
        <c:auto val="0"/>
        <c:lblAlgn val="ctr"/>
        <c:lblOffset val="100"/>
        <c:noMultiLvlLbl val="0"/>
      </c:catAx>
      <c:valAx>
        <c:axId val="319716160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19705968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y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'FT73'!$W$4:$Z$4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'FT73'!$Y$6:$Y$100</c:f>
              <c:numCache>
                <c:formatCode>0.0000</c:formatCode>
                <c:ptCount val="95"/>
                <c:pt idx="0">
                  <c:v>1.1000000000038757E-5</c:v>
                </c:pt>
                <c:pt idx="1">
                  <c:v>1.0100000000001774E-4</c:v>
                </c:pt>
                <c:pt idx="2">
                  <c:v>1.6100000000002224E-4</c:v>
                </c:pt>
                <c:pt idx="3">
                  <c:v>1.1100000000002774E-4</c:v>
                </c:pt>
                <c:pt idx="4">
                  <c:v>-9.8999999999960231E-5</c:v>
                </c:pt>
                <c:pt idx="5">
                  <c:v>-5.8999999999975739E-5</c:v>
                </c:pt>
                <c:pt idx="6">
                  <c:v>1.0000000000287557E-6</c:v>
                </c:pt>
                <c:pt idx="7">
                  <c:v>-2.1899999999996922E-4</c:v>
                </c:pt>
                <c:pt idx="8">
                  <c:v>-6.8999999999985739E-5</c:v>
                </c:pt>
                <c:pt idx="9">
                  <c:v>-1.6899999999997473E-4</c:v>
                </c:pt>
                <c:pt idx="10">
                  <c:v>1.1000000000038757E-5</c:v>
                </c:pt>
                <c:pt idx="11">
                  <c:v>-1.1899999999998023E-4</c:v>
                </c:pt>
                <c:pt idx="12">
                  <c:v>-7.899999999999574E-5</c:v>
                </c:pt>
                <c:pt idx="13">
                  <c:v>-0.28059899999999999</c:v>
                </c:pt>
                <c:pt idx="14">
                  <c:v>-0.28059899999999999</c:v>
                </c:pt>
                <c:pt idx="15">
                  <c:v>-0.28059899999999999</c:v>
                </c:pt>
                <c:pt idx="16">
                  <c:v>-0.28059899999999999</c:v>
                </c:pt>
                <c:pt idx="17">
                  <c:v>-0.28059899999999999</c:v>
                </c:pt>
                <c:pt idx="18">
                  <c:v>-0.28059899999999999</c:v>
                </c:pt>
                <c:pt idx="19">
                  <c:v>-0.28059899999999999</c:v>
                </c:pt>
                <c:pt idx="20">
                  <c:v>-0.28059899999999999</c:v>
                </c:pt>
                <c:pt idx="21">
                  <c:v>-0.28059899999999999</c:v>
                </c:pt>
                <c:pt idx="22">
                  <c:v>-0.28059899999999999</c:v>
                </c:pt>
                <c:pt idx="23">
                  <c:v>-0.28059899999999999</c:v>
                </c:pt>
                <c:pt idx="24">
                  <c:v>-0.28059899999999999</c:v>
                </c:pt>
                <c:pt idx="25">
                  <c:v>-0.28059899999999999</c:v>
                </c:pt>
                <c:pt idx="26">
                  <c:v>-0.28059899999999999</c:v>
                </c:pt>
                <c:pt idx="27">
                  <c:v>-0.28059899999999999</c:v>
                </c:pt>
                <c:pt idx="28">
                  <c:v>-0.28059899999999999</c:v>
                </c:pt>
                <c:pt idx="29">
                  <c:v>-0.28059899999999999</c:v>
                </c:pt>
                <c:pt idx="30">
                  <c:v>-0.28059899999999999</c:v>
                </c:pt>
                <c:pt idx="31">
                  <c:v>-0.28059899999999999</c:v>
                </c:pt>
                <c:pt idx="32">
                  <c:v>-0.28059899999999999</c:v>
                </c:pt>
                <c:pt idx="33">
                  <c:v>-0.28059899999999999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'FT73'!$AA$4:$AD$4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'FT73'!$AC$6:$AC$100</c:f>
              <c:numCache>
                <c:formatCode>0.0000</c:formatCode>
                <c:ptCount val="95"/>
                <c:pt idx="0">
                  <c:v>-9.7329999999999917E-3</c:v>
                </c:pt>
                <c:pt idx="1">
                  <c:v>-9.6630000000000327E-3</c:v>
                </c:pt>
                <c:pt idx="2">
                  <c:v>-9.7530000000000117E-3</c:v>
                </c:pt>
                <c:pt idx="3">
                  <c:v>-9.9529999999999896E-3</c:v>
                </c:pt>
                <c:pt idx="4">
                  <c:v>-9.7929999999999962E-3</c:v>
                </c:pt>
                <c:pt idx="5">
                  <c:v>-9.8530000000000006E-3</c:v>
                </c:pt>
                <c:pt idx="6">
                  <c:v>-9.9529999999999896E-3</c:v>
                </c:pt>
                <c:pt idx="7">
                  <c:v>-1.0043000000000024E-2</c:v>
                </c:pt>
                <c:pt idx="8">
                  <c:v>-1.0083000000000009E-2</c:v>
                </c:pt>
                <c:pt idx="9">
                  <c:v>-9.9130000000000051E-3</c:v>
                </c:pt>
                <c:pt idx="10">
                  <c:v>-9.8230000000000262E-3</c:v>
                </c:pt>
                <c:pt idx="11">
                  <c:v>-9.9029999999999951E-3</c:v>
                </c:pt>
                <c:pt idx="12">
                  <c:v>-9.8230000000000262E-3</c:v>
                </c:pt>
                <c:pt idx="13">
                  <c:v>-0.28034300000000001</c:v>
                </c:pt>
                <c:pt idx="14">
                  <c:v>-0.28034300000000001</c:v>
                </c:pt>
                <c:pt idx="15">
                  <c:v>-0.28034300000000001</c:v>
                </c:pt>
                <c:pt idx="16">
                  <c:v>-0.28034300000000001</c:v>
                </c:pt>
                <c:pt idx="17">
                  <c:v>-0.28034300000000001</c:v>
                </c:pt>
                <c:pt idx="18">
                  <c:v>-0.28034300000000001</c:v>
                </c:pt>
                <c:pt idx="19">
                  <c:v>-0.28034300000000001</c:v>
                </c:pt>
                <c:pt idx="20">
                  <c:v>-0.28034300000000001</c:v>
                </c:pt>
                <c:pt idx="21">
                  <c:v>-0.28034300000000001</c:v>
                </c:pt>
                <c:pt idx="22">
                  <c:v>-0.28034300000000001</c:v>
                </c:pt>
                <c:pt idx="23">
                  <c:v>-0.28034300000000001</c:v>
                </c:pt>
                <c:pt idx="24">
                  <c:v>-0.28034300000000001</c:v>
                </c:pt>
                <c:pt idx="25">
                  <c:v>-0.28034300000000001</c:v>
                </c:pt>
                <c:pt idx="26">
                  <c:v>-0.28034300000000001</c:v>
                </c:pt>
                <c:pt idx="27">
                  <c:v>-0.28034300000000001</c:v>
                </c:pt>
                <c:pt idx="28">
                  <c:v>-0.28034300000000001</c:v>
                </c:pt>
                <c:pt idx="29">
                  <c:v>-0.28034300000000001</c:v>
                </c:pt>
                <c:pt idx="30">
                  <c:v>-0.28034300000000001</c:v>
                </c:pt>
                <c:pt idx="31">
                  <c:v>-0.28034300000000001</c:v>
                </c:pt>
                <c:pt idx="32">
                  <c:v>-0.28034300000000001</c:v>
                </c:pt>
                <c:pt idx="33">
                  <c:v>-0.28034300000000001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'FT73'!$AE$4:$AH$4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'FT73'!$AG$6:$AG$100</c:f>
              <c:numCache>
                <c:formatCode>0.0000</c:formatCode>
                <c:ptCount val="95"/>
                <c:pt idx="0">
                  <c:v>-1.7595000000000027E-2</c:v>
                </c:pt>
                <c:pt idx="1">
                  <c:v>-1.7484999999999973E-2</c:v>
                </c:pt>
                <c:pt idx="2">
                  <c:v>-1.7795000000000005E-2</c:v>
                </c:pt>
                <c:pt idx="3">
                  <c:v>-1.7674999999999996E-2</c:v>
                </c:pt>
                <c:pt idx="4">
                  <c:v>-1.7695000000000016E-2</c:v>
                </c:pt>
                <c:pt idx="5">
                  <c:v>-1.7674999999999996E-2</c:v>
                </c:pt>
                <c:pt idx="6">
                  <c:v>-1.7695000000000016E-2</c:v>
                </c:pt>
                <c:pt idx="7">
                  <c:v>-1.8004999999999993E-2</c:v>
                </c:pt>
                <c:pt idx="8">
                  <c:v>-1.8064999999999998E-2</c:v>
                </c:pt>
                <c:pt idx="9">
                  <c:v>-1.7894999999999994E-2</c:v>
                </c:pt>
                <c:pt idx="10">
                  <c:v>-1.7915000000000014E-2</c:v>
                </c:pt>
                <c:pt idx="11">
                  <c:v>-1.7815000000000025E-2</c:v>
                </c:pt>
                <c:pt idx="12">
                  <c:v>-1.7954999999999999E-2</c:v>
                </c:pt>
                <c:pt idx="13">
                  <c:v>-0.281555</c:v>
                </c:pt>
                <c:pt idx="14">
                  <c:v>-0.281555</c:v>
                </c:pt>
                <c:pt idx="15">
                  <c:v>-0.281555</c:v>
                </c:pt>
                <c:pt idx="16">
                  <c:v>-0.281555</c:v>
                </c:pt>
                <c:pt idx="17">
                  <c:v>-0.281555</c:v>
                </c:pt>
                <c:pt idx="18">
                  <c:v>-0.281555</c:v>
                </c:pt>
                <c:pt idx="19">
                  <c:v>-0.281555</c:v>
                </c:pt>
                <c:pt idx="20">
                  <c:v>-0.281555</c:v>
                </c:pt>
                <c:pt idx="21">
                  <c:v>-0.281555</c:v>
                </c:pt>
                <c:pt idx="22">
                  <c:v>-0.281555</c:v>
                </c:pt>
                <c:pt idx="23">
                  <c:v>-0.281555</c:v>
                </c:pt>
                <c:pt idx="24">
                  <c:v>-0.281555</c:v>
                </c:pt>
                <c:pt idx="25">
                  <c:v>-0.281555</c:v>
                </c:pt>
                <c:pt idx="26">
                  <c:v>-0.281555</c:v>
                </c:pt>
                <c:pt idx="27">
                  <c:v>-0.281555</c:v>
                </c:pt>
                <c:pt idx="28">
                  <c:v>-0.281555</c:v>
                </c:pt>
                <c:pt idx="29">
                  <c:v>-0.281555</c:v>
                </c:pt>
                <c:pt idx="30">
                  <c:v>-0.281555</c:v>
                </c:pt>
                <c:pt idx="31">
                  <c:v>-0.281555</c:v>
                </c:pt>
                <c:pt idx="32">
                  <c:v>-0.281555</c:v>
                </c:pt>
                <c:pt idx="33">
                  <c:v>-0.281555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'FT73'!$AO$4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'FT73'!$AW$4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'FT73'!$F$6:$F$100</c:f>
              <c:strCache>
                <c:ptCount val="13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2021/02/18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2021/02/21</c:v>
                </c:pt>
                <c:pt idx="9">
                  <c:v>2021/02/22</c:v>
                </c:pt>
                <c:pt idx="10">
                  <c:v>2021/02/23</c:v>
                </c:pt>
                <c:pt idx="11">
                  <c:v>2021/02/24</c:v>
                </c:pt>
                <c:pt idx="12">
                  <c:v>2021/02/25</c:v>
                </c:pt>
              </c:strCache>
            </c:strRef>
          </c:cat>
          <c:val>
            <c:numRef>
              <c:f>'FT73'!$AT$6:$AT$100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41232"/>
        <c:axId val="333543192"/>
      </c:lineChart>
      <c:catAx>
        <c:axId val="333541232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43192"/>
        <c:crosses val="autoZero"/>
        <c:auto val="0"/>
        <c:lblAlgn val="ctr"/>
        <c:lblOffset val="100"/>
        <c:noMultiLvlLbl val="0"/>
      </c:catAx>
      <c:valAx>
        <c:axId val="333543192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41232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光束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'FT74'!$W$4:$Z$4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'FT74'!$Z$6:$Z$100</c:f>
              <c:numCache>
                <c:formatCode>0.00%</c:formatCode>
                <c:ptCount val="95"/>
                <c:pt idx="0">
                  <c:v>6.0966641171971148E-3</c:v>
                </c:pt>
                <c:pt idx="1">
                  <c:v>4.7729011001942379E-3</c:v>
                </c:pt>
                <c:pt idx="2">
                  <c:v>-3.1696770018238007E-3</c:v>
                </c:pt>
                <c:pt idx="3">
                  <c:v>-3.1329058069070603E-3</c:v>
                </c:pt>
                <c:pt idx="4">
                  <c:v>1.7944343119373762E-3</c:v>
                </c:pt>
                <c:pt idx="5">
                  <c:v>2.0886038712712995E-3</c:v>
                </c:pt>
                <c:pt idx="6">
                  <c:v>6.1775607460146098E-4</c:v>
                </c:pt>
                <c:pt idx="7">
                  <c:v>2.2724598458552236E-3</c:v>
                </c:pt>
                <c:pt idx="8">
                  <c:v>2.7137141848561086E-3</c:v>
                </c:pt>
                <c:pt idx="9">
                  <c:v>-1.5517444254868895E-3</c:v>
                </c:pt>
                <c:pt idx="10">
                  <c:v>2.4195446255221853E-3</c:v>
                </c:pt>
                <c:pt idx="11">
                  <c:v>2.0150614814378187E-3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'FT74'!$AA$4:$AD$4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'FT74'!$AD$6:$AD$100</c:f>
              <c:numCache>
                <c:formatCode>0.00%</c:formatCode>
                <c:ptCount val="95"/>
                <c:pt idx="0">
                  <c:v>4.218380319313253E-2</c:v>
                </c:pt>
                <c:pt idx="1">
                  <c:v>3.956707722612518E-2</c:v>
                </c:pt>
                <c:pt idx="2">
                  <c:v>3.6841321010492312E-2</c:v>
                </c:pt>
                <c:pt idx="3">
                  <c:v>3.5096837032487338E-2</c:v>
                </c:pt>
                <c:pt idx="4">
                  <c:v>3.7132068340159918E-2</c:v>
                </c:pt>
                <c:pt idx="5">
                  <c:v>3.6150796102532023E-2</c:v>
                </c:pt>
                <c:pt idx="6">
                  <c:v>3.5823705356656133E-2</c:v>
                </c:pt>
                <c:pt idx="7">
                  <c:v>3.8004310329162294E-2</c:v>
                </c:pt>
                <c:pt idx="8">
                  <c:v>3.7604532750869613E-2</c:v>
                </c:pt>
                <c:pt idx="9">
                  <c:v>3.4006534546234368E-2</c:v>
                </c:pt>
                <c:pt idx="10">
                  <c:v>3.80406537453708E-2</c:v>
                </c:pt>
                <c:pt idx="11">
                  <c:v>3.8113340577787591E-2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'FT74'!$AE$4:$AH$4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'FT74'!$AH$6:$AH$100</c:f>
              <c:numCache>
                <c:formatCode>0.00%</c:formatCode>
                <c:ptCount val="95"/>
                <c:pt idx="0">
                  <c:v>2.2528695626953255E-2</c:v>
                </c:pt>
                <c:pt idx="1">
                  <c:v>2.1151015495276093E-2</c:v>
                </c:pt>
                <c:pt idx="2">
                  <c:v>1.8540674193150863E-2</c:v>
                </c:pt>
                <c:pt idx="3">
                  <c:v>1.4262614836889842E-2</c:v>
                </c:pt>
                <c:pt idx="4">
                  <c:v>1.8178126790077798E-2</c:v>
                </c:pt>
                <c:pt idx="5">
                  <c:v>1.883071211560905E-2</c:v>
                </c:pt>
                <c:pt idx="6">
                  <c:v>1.6147861332869162E-2</c:v>
                </c:pt>
                <c:pt idx="7">
                  <c:v>1.9193259518682115E-2</c:v>
                </c:pt>
                <c:pt idx="8">
                  <c:v>1.7815579387004954E-2</c:v>
                </c:pt>
                <c:pt idx="9">
                  <c:v>1.6582918216556886E-2</c:v>
                </c:pt>
                <c:pt idx="10">
                  <c:v>1.9302023739603991E-2</c:v>
                </c:pt>
                <c:pt idx="11">
                  <c:v>1.8794457375301832E-2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'FT74'!$AO$4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'FT74'!$AO$6:$AO$100</c:f>
              <c:numCache>
                <c:formatCode>0.00%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'FT74'!$AP$6:$AP$100</c:f>
              <c:numCache>
                <c:formatCode>0.00%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'FT74'!$AW$4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'FT74'!$AW$6:$AW$100</c:f>
              <c:numCache>
                <c:formatCode>0.00%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'FT74'!$AX$6:$AX$100</c:f>
              <c:numCache>
                <c:formatCode>0.00%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44760"/>
        <c:axId val="333545152"/>
      </c:lineChart>
      <c:catAx>
        <c:axId val="333544760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45152"/>
        <c:crosses val="autoZero"/>
        <c:auto val="0"/>
        <c:lblAlgn val="ctr"/>
        <c:lblOffset val="100"/>
        <c:noMultiLvlLbl val="0"/>
      </c:catAx>
      <c:valAx>
        <c:axId val="333545152"/>
        <c:scaling>
          <c:orientation val="minMax"/>
          <c:max val="3.0000000000000006E-2"/>
          <c:min val="-3.0000000000000006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44760"/>
        <c:crosses val="autoZero"/>
        <c:crossBetween val="between"/>
        <c:majorUnit val="1.0000000000000002E-2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VF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'FT74'!$W$4:$Z$4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'FT74'!$F$6:$F$96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'FT74'!$W$6:$W$100</c:f>
              <c:numCache>
                <c:formatCode>0.000</c:formatCode>
                <c:ptCount val="95"/>
                <c:pt idx="0">
                  <c:v>-8.359999999999701E-3</c:v>
                </c:pt>
                <c:pt idx="1">
                  <c:v>-9.360000000000035E-3</c:v>
                </c:pt>
                <c:pt idx="2">
                  <c:v>-8.359999999999701E-3</c:v>
                </c:pt>
                <c:pt idx="3">
                  <c:v>-1.1359999999999815E-2</c:v>
                </c:pt>
                <c:pt idx="4">
                  <c:v>-3.3599999999998076E-3</c:v>
                </c:pt>
                <c:pt idx="5">
                  <c:v>-1.3600000000000279E-3</c:v>
                </c:pt>
                <c:pt idx="6">
                  <c:v>-7.3599999999998111E-3</c:v>
                </c:pt>
                <c:pt idx="7">
                  <c:v>-6.3599999999999213E-3</c:v>
                </c:pt>
                <c:pt idx="8">
                  <c:v>-8.359999999999701E-3</c:v>
                </c:pt>
                <c:pt idx="9">
                  <c:v>-9.360000000000035E-3</c:v>
                </c:pt>
                <c:pt idx="10">
                  <c:v>-6.3599999999999213E-3</c:v>
                </c:pt>
                <c:pt idx="11">
                  <c:v>-7.3599999999998111E-3</c:v>
                </c:pt>
                <c:pt idx="12">
                  <c:v>-3.1193599999999999</c:v>
                </c:pt>
                <c:pt idx="13">
                  <c:v>-3.1193599999999999</c:v>
                </c:pt>
                <c:pt idx="14">
                  <c:v>-3.1193599999999999</c:v>
                </c:pt>
                <c:pt idx="15">
                  <c:v>-3.1193599999999999</c:v>
                </c:pt>
                <c:pt idx="16">
                  <c:v>-3.1193599999999999</c:v>
                </c:pt>
                <c:pt idx="17">
                  <c:v>-3.1193599999999999</c:v>
                </c:pt>
                <c:pt idx="18">
                  <c:v>-3.1193599999999999</c:v>
                </c:pt>
                <c:pt idx="19">
                  <c:v>-3.1193599999999999</c:v>
                </c:pt>
                <c:pt idx="20">
                  <c:v>-3.1193599999999999</c:v>
                </c:pt>
                <c:pt idx="21">
                  <c:v>-3.1193599999999999</c:v>
                </c:pt>
                <c:pt idx="22">
                  <c:v>-3.1193599999999999</c:v>
                </c:pt>
                <c:pt idx="23">
                  <c:v>-3.1193599999999999</c:v>
                </c:pt>
                <c:pt idx="24">
                  <c:v>-3.1193599999999999</c:v>
                </c:pt>
                <c:pt idx="25">
                  <c:v>-3.1193599999999999</c:v>
                </c:pt>
                <c:pt idx="26">
                  <c:v>-3.1193599999999999</c:v>
                </c:pt>
                <c:pt idx="27">
                  <c:v>-3.1193599999999999</c:v>
                </c:pt>
                <c:pt idx="28">
                  <c:v>-3.1193599999999999</c:v>
                </c:pt>
                <c:pt idx="29">
                  <c:v>-3.1193599999999999</c:v>
                </c:pt>
                <c:pt idx="30">
                  <c:v>-3.1193599999999999</c:v>
                </c:pt>
                <c:pt idx="31">
                  <c:v>-3.1193599999999999</c:v>
                </c:pt>
                <c:pt idx="32">
                  <c:v>-3.1193599999999999</c:v>
                </c:pt>
                <c:pt idx="33">
                  <c:v>-3.1193599999999999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'FT74'!$AA$4:$AD$4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'FT74'!$F$6:$F$96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'FT74'!$AA$6:$AA$100</c:f>
              <c:numCache>
                <c:formatCode>0.000</c:formatCode>
                <c:ptCount val="95"/>
                <c:pt idx="0">
                  <c:v>3.6599999999999966E-3</c:v>
                </c:pt>
                <c:pt idx="1">
                  <c:v>1.6599999999997728E-3</c:v>
                </c:pt>
                <c:pt idx="2">
                  <c:v>3.6599999999999966E-3</c:v>
                </c:pt>
                <c:pt idx="3">
                  <c:v>-3.4000000000000696E-4</c:v>
                </c:pt>
                <c:pt idx="4">
                  <c:v>2.6599999999996626E-3</c:v>
                </c:pt>
                <c:pt idx="5">
                  <c:v>4.6599999999998865E-3</c:v>
                </c:pt>
                <c:pt idx="6">
                  <c:v>-3.4000000000000696E-4</c:v>
                </c:pt>
                <c:pt idx="7">
                  <c:v>2.6599999999996626E-3</c:v>
                </c:pt>
                <c:pt idx="8">
                  <c:v>-1.3400000000003409E-3</c:v>
                </c:pt>
                <c:pt idx="9">
                  <c:v>-3.3400000000001207E-3</c:v>
                </c:pt>
                <c:pt idx="10">
                  <c:v>-3.4000000000000696E-4</c:v>
                </c:pt>
                <c:pt idx="11">
                  <c:v>-1.3400000000003409E-3</c:v>
                </c:pt>
                <c:pt idx="12">
                  <c:v>-3.1073400000000002</c:v>
                </c:pt>
                <c:pt idx="13">
                  <c:v>-3.1073400000000002</c:v>
                </c:pt>
                <c:pt idx="14">
                  <c:v>-3.1073400000000002</c:v>
                </c:pt>
                <c:pt idx="15">
                  <c:v>-3.1073400000000002</c:v>
                </c:pt>
                <c:pt idx="16">
                  <c:v>-3.1073400000000002</c:v>
                </c:pt>
                <c:pt idx="17">
                  <c:v>-3.1073400000000002</c:v>
                </c:pt>
                <c:pt idx="18">
                  <c:v>-3.1073400000000002</c:v>
                </c:pt>
                <c:pt idx="19">
                  <c:v>-3.1073400000000002</c:v>
                </c:pt>
                <c:pt idx="20">
                  <c:v>-3.1073400000000002</c:v>
                </c:pt>
                <c:pt idx="21">
                  <c:v>-3.1073400000000002</c:v>
                </c:pt>
                <c:pt idx="22">
                  <c:v>-3.1073400000000002</c:v>
                </c:pt>
                <c:pt idx="23">
                  <c:v>-3.1073400000000002</c:v>
                </c:pt>
                <c:pt idx="24">
                  <c:v>-3.1073400000000002</c:v>
                </c:pt>
                <c:pt idx="25">
                  <c:v>-3.1073400000000002</c:v>
                </c:pt>
                <c:pt idx="26">
                  <c:v>-3.1073400000000002</c:v>
                </c:pt>
                <c:pt idx="27">
                  <c:v>-3.1073400000000002</c:v>
                </c:pt>
                <c:pt idx="28">
                  <c:v>-3.1073400000000002</c:v>
                </c:pt>
                <c:pt idx="29">
                  <c:v>-3.1073400000000002</c:v>
                </c:pt>
                <c:pt idx="30">
                  <c:v>-3.1073400000000002</c:v>
                </c:pt>
                <c:pt idx="31">
                  <c:v>-3.1073400000000002</c:v>
                </c:pt>
                <c:pt idx="32">
                  <c:v>-3.1073400000000002</c:v>
                </c:pt>
                <c:pt idx="33">
                  <c:v>-3.1073400000000002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'FT74'!$AE$4:$AH$4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'FT74'!$F$6:$F$96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'FT74'!$AE$6:$AE$100</c:f>
              <c:numCache>
                <c:formatCode>0.000</c:formatCode>
                <c:ptCount val="95"/>
                <c:pt idx="0">
                  <c:v>-3.8599999999999746E-3</c:v>
                </c:pt>
                <c:pt idx="1">
                  <c:v>-7.8599999999999781E-3</c:v>
                </c:pt>
                <c:pt idx="2">
                  <c:v>-5.8600000000001984E-3</c:v>
                </c:pt>
                <c:pt idx="3">
                  <c:v>-9.8600000000002019E-3</c:v>
                </c:pt>
                <c:pt idx="4">
                  <c:v>-5.8600000000001984E-3</c:v>
                </c:pt>
                <c:pt idx="5">
                  <c:v>-3.8599999999999746E-3</c:v>
                </c:pt>
                <c:pt idx="6">
                  <c:v>-9.8600000000002019E-3</c:v>
                </c:pt>
                <c:pt idx="7">
                  <c:v>-7.8599999999999781E-3</c:v>
                </c:pt>
                <c:pt idx="8">
                  <c:v>-1.1859999999999982E-2</c:v>
                </c:pt>
                <c:pt idx="9">
                  <c:v>-1.1859999999999982E-2</c:v>
                </c:pt>
                <c:pt idx="10">
                  <c:v>-8.859999999999868E-3</c:v>
                </c:pt>
                <c:pt idx="11">
                  <c:v>-1.0860000000000092E-2</c:v>
                </c:pt>
                <c:pt idx="12">
                  <c:v>-3.1158600000000001</c:v>
                </c:pt>
                <c:pt idx="13">
                  <c:v>-3.1158600000000001</c:v>
                </c:pt>
                <c:pt idx="14">
                  <c:v>-3.1158600000000001</c:v>
                </c:pt>
                <c:pt idx="15">
                  <c:v>-3.1158600000000001</c:v>
                </c:pt>
                <c:pt idx="16">
                  <c:v>-3.1158600000000001</c:v>
                </c:pt>
                <c:pt idx="17">
                  <c:v>-3.1158600000000001</c:v>
                </c:pt>
                <c:pt idx="18">
                  <c:v>-3.1158600000000001</c:v>
                </c:pt>
                <c:pt idx="19">
                  <c:v>-3.1158600000000001</c:v>
                </c:pt>
                <c:pt idx="20">
                  <c:v>-3.1158600000000001</c:v>
                </c:pt>
                <c:pt idx="21">
                  <c:v>-3.1158600000000001</c:v>
                </c:pt>
                <c:pt idx="22">
                  <c:v>-3.1158600000000001</c:v>
                </c:pt>
                <c:pt idx="23">
                  <c:v>-3.1158600000000001</c:v>
                </c:pt>
                <c:pt idx="24">
                  <c:v>-3.1158600000000001</c:v>
                </c:pt>
                <c:pt idx="25">
                  <c:v>-3.1158600000000001</c:v>
                </c:pt>
                <c:pt idx="26">
                  <c:v>-3.1158600000000001</c:v>
                </c:pt>
                <c:pt idx="27">
                  <c:v>-3.1158600000000001</c:v>
                </c:pt>
                <c:pt idx="28">
                  <c:v>-3.1158600000000001</c:v>
                </c:pt>
                <c:pt idx="29">
                  <c:v>-3.1158600000000001</c:v>
                </c:pt>
                <c:pt idx="30">
                  <c:v>-3.1158600000000001</c:v>
                </c:pt>
                <c:pt idx="31">
                  <c:v>-3.1158600000000001</c:v>
                </c:pt>
                <c:pt idx="32">
                  <c:v>-3.1158600000000001</c:v>
                </c:pt>
                <c:pt idx="33">
                  <c:v>-3.1158600000000001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'FT74'!$AO$4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'FT74'!$AI$6:$AI$100</c:f>
              <c:numCache>
                <c:formatCode>General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'FT74'!$AJ$6:$AJ$100</c:f>
              <c:numCache>
                <c:formatCode>General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'FT74'!$AW$4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'FT74'!$AQ$6:$AQ$100</c:f>
              <c:numCache>
                <c:formatCode>General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'FT74'!$F$6:$F$96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'FT74'!$AR$6:$AR$100</c:f>
              <c:numCache>
                <c:formatCode>General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48288"/>
        <c:axId val="333549464"/>
      </c:lineChart>
      <c:catAx>
        <c:axId val="333548288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49464"/>
        <c:crosses val="autoZero"/>
        <c:auto val="0"/>
        <c:lblAlgn val="ctr"/>
        <c:lblOffset val="100"/>
        <c:noMultiLvlLbl val="0"/>
      </c:catAx>
      <c:valAx>
        <c:axId val="333549464"/>
        <c:scaling>
          <c:orientation val="minMax"/>
        </c:scaling>
        <c:delete val="0"/>
        <c:axPos val="l"/>
        <c:numFmt formatCode="#,##0.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4828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X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'FT74'!$W$4:$Z$4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'FT74'!$X$6:$X$100</c:f>
              <c:numCache>
                <c:formatCode>0.0000</c:formatCode>
                <c:ptCount val="95"/>
                <c:pt idx="0">
                  <c:v>-7.1700000000002317E-4</c:v>
                </c:pt>
                <c:pt idx="1">
                  <c:v>-7.3700000000004318E-4</c:v>
                </c:pt>
                <c:pt idx="2">
                  <c:v>-7.7700000000002767E-4</c:v>
                </c:pt>
                <c:pt idx="3">
                  <c:v>-8.9700000000003666E-4</c:v>
                </c:pt>
                <c:pt idx="4">
                  <c:v>1.4300000000000423E-4</c:v>
                </c:pt>
                <c:pt idx="5">
                  <c:v>1.2299999999998423E-4</c:v>
                </c:pt>
                <c:pt idx="6">
                  <c:v>9.299999999995423E-5</c:v>
                </c:pt>
                <c:pt idx="7">
                  <c:v>1.3299999999999423E-4</c:v>
                </c:pt>
                <c:pt idx="8">
                  <c:v>8.2999999999999741E-5</c:v>
                </c:pt>
                <c:pt idx="9">
                  <c:v>1.7299999999997873E-4</c:v>
                </c:pt>
                <c:pt idx="10">
                  <c:v>2.0299999999995322E-4</c:v>
                </c:pt>
                <c:pt idx="11">
                  <c:v>1.5299999999995872E-4</c:v>
                </c:pt>
                <c:pt idx="12">
                  <c:v>-0.28995700000000002</c:v>
                </c:pt>
                <c:pt idx="13">
                  <c:v>-0.28995700000000002</c:v>
                </c:pt>
                <c:pt idx="14">
                  <c:v>-0.28995700000000002</c:v>
                </c:pt>
                <c:pt idx="15">
                  <c:v>-0.28995700000000002</c:v>
                </c:pt>
                <c:pt idx="16">
                  <c:v>-0.28995700000000002</c:v>
                </c:pt>
                <c:pt idx="17">
                  <c:v>-0.28995700000000002</c:v>
                </c:pt>
                <c:pt idx="18">
                  <c:v>-0.28995700000000002</c:v>
                </c:pt>
                <c:pt idx="19">
                  <c:v>-0.28995700000000002</c:v>
                </c:pt>
                <c:pt idx="20">
                  <c:v>-0.28995700000000002</c:v>
                </c:pt>
                <c:pt idx="21">
                  <c:v>-0.28995700000000002</c:v>
                </c:pt>
                <c:pt idx="22">
                  <c:v>-0.28995700000000002</c:v>
                </c:pt>
                <c:pt idx="23">
                  <c:v>-0.28995700000000002</c:v>
                </c:pt>
                <c:pt idx="24">
                  <c:v>-0.28995700000000002</c:v>
                </c:pt>
                <c:pt idx="25">
                  <c:v>-0.28995700000000002</c:v>
                </c:pt>
                <c:pt idx="26">
                  <c:v>-0.28995700000000002</c:v>
                </c:pt>
                <c:pt idx="27">
                  <c:v>-0.28995700000000002</c:v>
                </c:pt>
                <c:pt idx="28">
                  <c:v>-0.28995700000000002</c:v>
                </c:pt>
                <c:pt idx="29">
                  <c:v>-0.28995700000000002</c:v>
                </c:pt>
                <c:pt idx="30">
                  <c:v>-0.28995700000000002</c:v>
                </c:pt>
                <c:pt idx="31">
                  <c:v>-0.28995700000000002</c:v>
                </c:pt>
                <c:pt idx="32">
                  <c:v>-0.28995700000000002</c:v>
                </c:pt>
                <c:pt idx="33">
                  <c:v>-0.28995700000000002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'FT74'!$AA$4:$AD$4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'FT74'!$AB$6:$AB$100</c:f>
              <c:numCache>
                <c:formatCode>0.0000</c:formatCode>
                <c:ptCount val="95"/>
                <c:pt idx="0">
                  <c:v>-1.9959999999999978E-3</c:v>
                </c:pt>
                <c:pt idx="1">
                  <c:v>-2.1660000000000013E-3</c:v>
                </c:pt>
                <c:pt idx="2">
                  <c:v>-2.0459999999999923E-3</c:v>
                </c:pt>
                <c:pt idx="3">
                  <c:v>-2.1960000000000313E-3</c:v>
                </c:pt>
                <c:pt idx="4">
                  <c:v>-2.1460000000000368E-3</c:v>
                </c:pt>
                <c:pt idx="5">
                  <c:v>-2.2560000000000358E-3</c:v>
                </c:pt>
                <c:pt idx="6">
                  <c:v>-2.2260000000000058E-3</c:v>
                </c:pt>
                <c:pt idx="7">
                  <c:v>-2.0960000000000423E-3</c:v>
                </c:pt>
                <c:pt idx="8">
                  <c:v>-2.3259999999999947E-3</c:v>
                </c:pt>
                <c:pt idx="9">
                  <c:v>-2.2660000000000458E-3</c:v>
                </c:pt>
                <c:pt idx="10">
                  <c:v>-2.2060000000000413E-3</c:v>
                </c:pt>
                <c:pt idx="11">
                  <c:v>-2.1960000000000313E-3</c:v>
                </c:pt>
                <c:pt idx="12">
                  <c:v>-0.29020600000000002</c:v>
                </c:pt>
                <c:pt idx="13">
                  <c:v>-0.29020600000000002</c:v>
                </c:pt>
                <c:pt idx="14">
                  <c:v>-0.29020600000000002</c:v>
                </c:pt>
                <c:pt idx="15">
                  <c:v>-0.29020600000000002</c:v>
                </c:pt>
                <c:pt idx="16">
                  <c:v>-0.29020600000000002</c:v>
                </c:pt>
                <c:pt idx="17">
                  <c:v>-0.29020600000000002</c:v>
                </c:pt>
                <c:pt idx="18">
                  <c:v>-0.29020600000000002</c:v>
                </c:pt>
                <c:pt idx="19">
                  <c:v>-0.29020600000000002</c:v>
                </c:pt>
                <c:pt idx="20">
                  <c:v>-0.29020600000000002</c:v>
                </c:pt>
                <c:pt idx="21">
                  <c:v>-0.29020600000000002</c:v>
                </c:pt>
                <c:pt idx="22">
                  <c:v>-0.29020600000000002</c:v>
                </c:pt>
                <c:pt idx="23">
                  <c:v>-0.29020600000000002</c:v>
                </c:pt>
                <c:pt idx="24">
                  <c:v>-0.29020600000000002</c:v>
                </c:pt>
                <c:pt idx="25">
                  <c:v>-0.29020600000000002</c:v>
                </c:pt>
                <c:pt idx="26">
                  <c:v>-0.29020600000000002</c:v>
                </c:pt>
                <c:pt idx="27">
                  <c:v>-0.29020600000000002</c:v>
                </c:pt>
                <c:pt idx="28">
                  <c:v>-0.29020600000000002</c:v>
                </c:pt>
                <c:pt idx="29">
                  <c:v>-0.29020600000000002</c:v>
                </c:pt>
                <c:pt idx="30">
                  <c:v>-0.29020600000000002</c:v>
                </c:pt>
                <c:pt idx="31">
                  <c:v>-0.29020600000000002</c:v>
                </c:pt>
                <c:pt idx="32">
                  <c:v>-0.29020600000000002</c:v>
                </c:pt>
                <c:pt idx="33">
                  <c:v>-0.29020600000000002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'FT74'!$AE$4:$AH$4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'FT74'!$AF$6:$AF$100</c:f>
              <c:numCache>
                <c:formatCode>0.0000</c:formatCode>
                <c:ptCount val="95"/>
                <c:pt idx="0">
                  <c:v>-5.0070000000000392E-3</c:v>
                </c:pt>
                <c:pt idx="1">
                  <c:v>-5.0370000000000137E-3</c:v>
                </c:pt>
                <c:pt idx="2">
                  <c:v>-4.8770000000000202E-3</c:v>
                </c:pt>
                <c:pt idx="3">
                  <c:v>-5.0570000000000337E-3</c:v>
                </c:pt>
                <c:pt idx="4">
                  <c:v>-5.0270000000000037E-3</c:v>
                </c:pt>
                <c:pt idx="5">
                  <c:v>-4.9870000000000192E-3</c:v>
                </c:pt>
                <c:pt idx="6">
                  <c:v>-5.1470000000000127E-3</c:v>
                </c:pt>
                <c:pt idx="7">
                  <c:v>-5.0270000000000037E-3</c:v>
                </c:pt>
                <c:pt idx="8">
                  <c:v>-5.1370000000000027E-3</c:v>
                </c:pt>
                <c:pt idx="9">
                  <c:v>-5.0970000000000182E-3</c:v>
                </c:pt>
                <c:pt idx="10">
                  <c:v>-5.0970000000000182E-3</c:v>
                </c:pt>
                <c:pt idx="11">
                  <c:v>-5.0870000000000082E-3</c:v>
                </c:pt>
                <c:pt idx="12">
                  <c:v>-0.28945700000000002</c:v>
                </c:pt>
                <c:pt idx="13">
                  <c:v>-0.28945700000000002</c:v>
                </c:pt>
                <c:pt idx="14">
                  <c:v>-0.28945700000000002</c:v>
                </c:pt>
                <c:pt idx="15">
                  <c:v>-0.28945700000000002</c:v>
                </c:pt>
                <c:pt idx="16">
                  <c:v>-0.28945700000000002</c:v>
                </c:pt>
                <c:pt idx="17">
                  <c:v>-0.28945700000000002</c:v>
                </c:pt>
                <c:pt idx="18">
                  <c:v>-0.28945700000000002</c:v>
                </c:pt>
                <c:pt idx="19">
                  <c:v>-0.28945700000000002</c:v>
                </c:pt>
                <c:pt idx="20">
                  <c:v>-0.28945700000000002</c:v>
                </c:pt>
                <c:pt idx="21">
                  <c:v>-0.28945700000000002</c:v>
                </c:pt>
                <c:pt idx="22">
                  <c:v>-0.28945700000000002</c:v>
                </c:pt>
                <c:pt idx="23">
                  <c:v>-0.28945700000000002</c:v>
                </c:pt>
                <c:pt idx="24">
                  <c:v>-0.28945700000000002</c:v>
                </c:pt>
                <c:pt idx="25">
                  <c:v>-0.28945700000000002</c:v>
                </c:pt>
                <c:pt idx="26">
                  <c:v>-0.28945700000000002</c:v>
                </c:pt>
                <c:pt idx="27">
                  <c:v>-0.28945700000000002</c:v>
                </c:pt>
                <c:pt idx="28">
                  <c:v>-0.28945700000000002</c:v>
                </c:pt>
                <c:pt idx="29">
                  <c:v>-0.28945700000000002</c:v>
                </c:pt>
                <c:pt idx="30">
                  <c:v>-0.28945700000000002</c:v>
                </c:pt>
                <c:pt idx="31">
                  <c:v>-0.28945700000000002</c:v>
                </c:pt>
                <c:pt idx="32">
                  <c:v>-0.28945700000000002</c:v>
                </c:pt>
                <c:pt idx="33">
                  <c:v>-0.28945700000000002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'FT74'!$AO$4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'FT74'!$AW$4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41624"/>
        <c:axId val="333542016"/>
      </c:lineChart>
      <c:catAx>
        <c:axId val="333541624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42016"/>
        <c:crosses val="autoZero"/>
        <c:auto val="0"/>
        <c:lblAlgn val="ctr"/>
        <c:lblOffset val="100"/>
        <c:noMultiLvlLbl val="0"/>
      </c:catAx>
      <c:valAx>
        <c:axId val="333542016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41624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y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'FT74'!$W$4:$Z$4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'FT74'!$Y$6:$Y$100</c:f>
              <c:numCache>
                <c:formatCode>0.0000</c:formatCode>
                <c:ptCount val="95"/>
                <c:pt idx="0">
                  <c:v>-3.8880000000000026E-3</c:v>
                </c:pt>
                <c:pt idx="1">
                  <c:v>-3.8279999999999981E-3</c:v>
                </c:pt>
                <c:pt idx="2">
                  <c:v>-4.0979999999999905E-3</c:v>
                </c:pt>
                <c:pt idx="3">
                  <c:v>-4.2179999999999995E-3</c:v>
                </c:pt>
                <c:pt idx="4">
                  <c:v>-3.4879999999999911E-3</c:v>
                </c:pt>
                <c:pt idx="5">
                  <c:v>-3.5679999999999601E-3</c:v>
                </c:pt>
                <c:pt idx="6">
                  <c:v>-3.6180000000000101E-3</c:v>
                </c:pt>
                <c:pt idx="7">
                  <c:v>-3.4779999999999811E-3</c:v>
                </c:pt>
                <c:pt idx="8">
                  <c:v>-3.4980000000000011E-3</c:v>
                </c:pt>
                <c:pt idx="9">
                  <c:v>-3.4279999999999866E-3</c:v>
                </c:pt>
                <c:pt idx="10">
                  <c:v>-3.3579999999999721E-3</c:v>
                </c:pt>
                <c:pt idx="11">
                  <c:v>-3.5479999999999956E-3</c:v>
                </c:pt>
                <c:pt idx="12">
                  <c:v>-0.28256799999999999</c:v>
                </c:pt>
                <c:pt idx="13">
                  <c:v>-0.28256799999999999</c:v>
                </c:pt>
                <c:pt idx="14">
                  <c:v>-0.28256799999999999</c:v>
                </c:pt>
                <c:pt idx="15">
                  <c:v>-0.28256799999999999</c:v>
                </c:pt>
                <c:pt idx="16">
                  <c:v>-0.28256799999999999</c:v>
                </c:pt>
                <c:pt idx="17">
                  <c:v>-0.28256799999999999</c:v>
                </c:pt>
                <c:pt idx="18">
                  <c:v>-0.28256799999999999</c:v>
                </c:pt>
                <c:pt idx="19">
                  <c:v>-0.28256799999999999</c:v>
                </c:pt>
                <c:pt idx="20">
                  <c:v>-0.28256799999999999</c:v>
                </c:pt>
                <c:pt idx="21">
                  <c:v>-0.28256799999999999</c:v>
                </c:pt>
                <c:pt idx="22">
                  <c:v>-0.28256799999999999</c:v>
                </c:pt>
                <c:pt idx="23">
                  <c:v>-0.28256799999999999</c:v>
                </c:pt>
                <c:pt idx="24">
                  <c:v>-0.28256799999999999</c:v>
                </c:pt>
                <c:pt idx="25">
                  <c:v>-0.28256799999999999</c:v>
                </c:pt>
                <c:pt idx="26">
                  <c:v>-0.28256799999999999</c:v>
                </c:pt>
                <c:pt idx="27">
                  <c:v>-0.28256799999999999</c:v>
                </c:pt>
                <c:pt idx="28">
                  <c:v>-0.28256799999999999</c:v>
                </c:pt>
                <c:pt idx="29">
                  <c:v>-0.28256799999999999</c:v>
                </c:pt>
                <c:pt idx="30">
                  <c:v>-0.28256799999999999</c:v>
                </c:pt>
                <c:pt idx="31">
                  <c:v>-0.28256799999999999</c:v>
                </c:pt>
                <c:pt idx="32">
                  <c:v>-0.28256799999999999</c:v>
                </c:pt>
                <c:pt idx="33">
                  <c:v>-0.28256799999999999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'FT74'!$AA$4:$AD$4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'FT74'!$AC$6:$AC$100</c:f>
              <c:numCache>
                <c:formatCode>0.0000</c:formatCode>
                <c:ptCount val="95"/>
                <c:pt idx="0">
                  <c:v>-4.5930000000000137E-3</c:v>
                </c:pt>
                <c:pt idx="1">
                  <c:v>-4.9730000000000052E-3</c:v>
                </c:pt>
                <c:pt idx="2">
                  <c:v>-4.7330000000000427E-3</c:v>
                </c:pt>
                <c:pt idx="3">
                  <c:v>-4.9029999999999907E-3</c:v>
                </c:pt>
                <c:pt idx="4">
                  <c:v>-4.7429999999999972E-3</c:v>
                </c:pt>
                <c:pt idx="5">
                  <c:v>-5.0430000000000197E-3</c:v>
                </c:pt>
                <c:pt idx="6">
                  <c:v>-4.8830000000000262E-3</c:v>
                </c:pt>
                <c:pt idx="7">
                  <c:v>-4.8230000000000217E-3</c:v>
                </c:pt>
                <c:pt idx="8">
                  <c:v>-5.0330000000000097E-3</c:v>
                </c:pt>
                <c:pt idx="9">
                  <c:v>-5.0630000000000397E-3</c:v>
                </c:pt>
                <c:pt idx="10">
                  <c:v>-5.0229999999999997E-3</c:v>
                </c:pt>
                <c:pt idx="11">
                  <c:v>-4.8330000000000317E-3</c:v>
                </c:pt>
                <c:pt idx="12">
                  <c:v>-0.27907300000000002</c:v>
                </c:pt>
                <c:pt idx="13">
                  <c:v>-0.27907300000000002</c:v>
                </c:pt>
                <c:pt idx="14">
                  <c:v>-0.27907300000000002</c:v>
                </c:pt>
                <c:pt idx="15">
                  <c:v>-0.27907300000000002</c:v>
                </c:pt>
                <c:pt idx="16">
                  <c:v>-0.27907300000000002</c:v>
                </c:pt>
                <c:pt idx="17">
                  <c:v>-0.27907300000000002</c:v>
                </c:pt>
                <c:pt idx="18">
                  <c:v>-0.27907300000000002</c:v>
                </c:pt>
                <c:pt idx="19">
                  <c:v>-0.27907300000000002</c:v>
                </c:pt>
                <c:pt idx="20">
                  <c:v>-0.27907300000000002</c:v>
                </c:pt>
                <c:pt idx="21">
                  <c:v>-0.27907300000000002</c:v>
                </c:pt>
                <c:pt idx="22">
                  <c:v>-0.27907300000000002</c:v>
                </c:pt>
                <c:pt idx="23">
                  <c:v>-0.27907300000000002</c:v>
                </c:pt>
                <c:pt idx="24">
                  <c:v>-0.27907300000000002</c:v>
                </c:pt>
                <c:pt idx="25">
                  <c:v>-0.27907300000000002</c:v>
                </c:pt>
                <c:pt idx="26">
                  <c:v>-0.27907300000000002</c:v>
                </c:pt>
                <c:pt idx="27">
                  <c:v>-0.27907300000000002</c:v>
                </c:pt>
                <c:pt idx="28">
                  <c:v>-0.27907300000000002</c:v>
                </c:pt>
                <c:pt idx="29">
                  <c:v>-0.27907300000000002</c:v>
                </c:pt>
                <c:pt idx="30">
                  <c:v>-0.27907300000000002</c:v>
                </c:pt>
                <c:pt idx="31">
                  <c:v>-0.27907300000000002</c:v>
                </c:pt>
                <c:pt idx="32">
                  <c:v>-0.27907300000000002</c:v>
                </c:pt>
                <c:pt idx="33">
                  <c:v>-0.27907300000000002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'FT74'!$AE$4:$AH$4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'FT74'!$AG$6:$AG$100</c:f>
              <c:numCache>
                <c:formatCode>0.0000</c:formatCode>
                <c:ptCount val="95"/>
                <c:pt idx="0">
                  <c:v>-7.3940000000000117E-3</c:v>
                </c:pt>
                <c:pt idx="1">
                  <c:v>-7.6340000000000297E-3</c:v>
                </c:pt>
                <c:pt idx="2">
                  <c:v>-7.3540000000000272E-3</c:v>
                </c:pt>
                <c:pt idx="3">
                  <c:v>-7.6640000000000041E-3</c:v>
                </c:pt>
                <c:pt idx="4">
                  <c:v>-7.4239999999999862E-3</c:v>
                </c:pt>
                <c:pt idx="5">
                  <c:v>-7.4540000000000162E-3</c:v>
                </c:pt>
                <c:pt idx="6">
                  <c:v>-7.5439999999999952E-3</c:v>
                </c:pt>
                <c:pt idx="7">
                  <c:v>-7.5339999999999852E-3</c:v>
                </c:pt>
                <c:pt idx="8">
                  <c:v>-7.7039999999999886E-3</c:v>
                </c:pt>
                <c:pt idx="9">
                  <c:v>-7.6940000000000341E-3</c:v>
                </c:pt>
                <c:pt idx="10">
                  <c:v>-7.7840000000000131E-3</c:v>
                </c:pt>
                <c:pt idx="11">
                  <c:v>-7.6140000000000096E-3</c:v>
                </c:pt>
                <c:pt idx="12">
                  <c:v>-0.27837400000000001</c:v>
                </c:pt>
                <c:pt idx="13">
                  <c:v>-0.27837400000000001</c:v>
                </c:pt>
                <c:pt idx="14">
                  <c:v>-0.27837400000000001</c:v>
                </c:pt>
                <c:pt idx="15">
                  <c:v>-0.27837400000000001</c:v>
                </c:pt>
                <c:pt idx="16">
                  <c:v>-0.27837400000000001</c:v>
                </c:pt>
                <c:pt idx="17">
                  <c:v>-0.27837400000000001</c:v>
                </c:pt>
                <c:pt idx="18">
                  <c:v>-0.27837400000000001</c:v>
                </c:pt>
                <c:pt idx="19">
                  <c:v>-0.27837400000000001</c:v>
                </c:pt>
                <c:pt idx="20">
                  <c:v>-0.27837400000000001</c:v>
                </c:pt>
                <c:pt idx="21">
                  <c:v>-0.27837400000000001</c:v>
                </c:pt>
                <c:pt idx="22">
                  <c:v>-0.27837400000000001</c:v>
                </c:pt>
                <c:pt idx="23">
                  <c:v>-0.27837400000000001</c:v>
                </c:pt>
                <c:pt idx="24">
                  <c:v>-0.27837400000000001</c:v>
                </c:pt>
                <c:pt idx="25">
                  <c:v>-0.27837400000000001</c:v>
                </c:pt>
                <c:pt idx="26">
                  <c:v>-0.27837400000000001</c:v>
                </c:pt>
                <c:pt idx="27">
                  <c:v>-0.27837400000000001</c:v>
                </c:pt>
                <c:pt idx="28">
                  <c:v>-0.27837400000000001</c:v>
                </c:pt>
                <c:pt idx="29">
                  <c:v>-0.27837400000000001</c:v>
                </c:pt>
                <c:pt idx="30">
                  <c:v>-0.27837400000000001</c:v>
                </c:pt>
                <c:pt idx="31">
                  <c:v>-0.27837400000000001</c:v>
                </c:pt>
                <c:pt idx="32">
                  <c:v>-0.27837400000000001</c:v>
                </c:pt>
                <c:pt idx="33">
                  <c:v>-0.27837400000000001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'FT74'!$AO$4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'FT74'!$AW$4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'FT74'!$F$6:$F$100</c:f>
              <c:strCache>
                <c:ptCount val="12"/>
                <c:pt idx="0">
                  <c:v>2021/02/16</c:v>
                </c:pt>
                <c:pt idx="1">
                  <c:v>2021/02/17</c:v>
                </c:pt>
                <c:pt idx="2">
                  <c:v>2021/02/17</c:v>
                </c:pt>
                <c:pt idx="3">
                  <c:v>2021/02/17</c:v>
                </c:pt>
                <c:pt idx="4">
                  <c:v>2021/02/18</c:v>
                </c:pt>
                <c:pt idx="5">
                  <c:v>2021/02/19</c:v>
                </c:pt>
                <c:pt idx="6">
                  <c:v>2021/02/20</c:v>
                </c:pt>
                <c:pt idx="7">
                  <c:v>2021/02/21</c:v>
                </c:pt>
                <c:pt idx="8">
                  <c:v>2021/02/22</c:v>
                </c:pt>
                <c:pt idx="9">
                  <c:v>2021/02/23</c:v>
                </c:pt>
                <c:pt idx="10">
                  <c:v>2021/02/24</c:v>
                </c:pt>
                <c:pt idx="11">
                  <c:v>2021/02/25</c:v>
                </c:pt>
              </c:strCache>
            </c:strRef>
          </c:cat>
          <c:val>
            <c:numRef>
              <c:f>'FT74'!$AT$6:$AT$100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60048"/>
        <c:axId val="333558480"/>
      </c:lineChart>
      <c:catAx>
        <c:axId val="333560048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58480"/>
        <c:crosses val="autoZero"/>
        <c:auto val="0"/>
        <c:lblAlgn val="ctr"/>
        <c:lblOffset val="100"/>
        <c:noMultiLvlLbl val="0"/>
      </c:catAx>
      <c:valAx>
        <c:axId val="333558480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60048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光束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'FT76'!$W$4:$Z$4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'FT76'!$Z$6:$Z$100</c:f>
              <c:numCache>
                <c:formatCode>0.00%</c:formatCode>
                <c:ptCount val="95"/>
                <c:pt idx="0">
                  <c:v>7.428846819903967E-3</c:v>
                </c:pt>
                <c:pt idx="1">
                  <c:v>7.1681625491417655E-3</c:v>
                </c:pt>
                <c:pt idx="2">
                  <c:v>6.0964605471194311E-3</c:v>
                </c:pt>
                <c:pt idx="3">
                  <c:v>7.5447064957980814E-3</c:v>
                </c:pt>
                <c:pt idx="4">
                  <c:v>5.9806008712253167E-3</c:v>
                </c:pt>
                <c:pt idx="5">
                  <c:v>-1</c:v>
                </c:pt>
                <c:pt idx="6">
                  <c:v>1.0209479041367153E-2</c:v>
                </c:pt>
                <c:pt idx="7">
                  <c:v>8.8770927685828394E-3</c:v>
                </c:pt>
                <c:pt idx="8">
                  <c:v>8.906057687556368E-3</c:v>
                </c:pt>
                <c:pt idx="9">
                  <c:v>4.1268460569165999E-3</c:v>
                </c:pt>
                <c:pt idx="10">
                  <c:v>4.9668287071500394E-3</c:v>
                </c:pt>
                <c:pt idx="11">
                  <c:v>4.3006355707579935E-3</c:v>
                </c:pt>
                <c:pt idx="12">
                  <c:v>6.5598992506967768E-3</c:v>
                </c:pt>
                <c:pt idx="13">
                  <c:v>6.8205835214587562E-3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'FT76'!$AA$4:$AD$4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'FT76'!$AD$6:$AD$100</c:f>
              <c:numCache>
                <c:formatCode>0.00%</c:formatCode>
                <c:ptCount val="95"/>
                <c:pt idx="0">
                  <c:v>1.0196393174855434E-2</c:v>
                </c:pt>
                <c:pt idx="1">
                  <c:v>9.8788393690962817E-3</c:v>
                </c:pt>
                <c:pt idx="2">
                  <c:v>8.3488073958941644E-3</c:v>
                </c:pt>
                <c:pt idx="3">
                  <c:v>1.0254130230447744E-2</c:v>
                </c:pt>
                <c:pt idx="4">
                  <c:v>8.8973094240232253E-3</c:v>
                </c:pt>
                <c:pt idx="5">
                  <c:v>9.1282576463935783E-3</c:v>
                </c:pt>
                <c:pt idx="6">
                  <c:v>1.3343062704648689E-2</c:v>
                </c:pt>
                <c:pt idx="7">
                  <c:v>1.1322265758909822E-2</c:v>
                </c:pt>
                <c:pt idx="8">
                  <c:v>1.1264528703317289E-2</c:v>
                </c:pt>
                <c:pt idx="9">
                  <c:v>7.5982256731910169E-3</c:v>
                </c:pt>
                <c:pt idx="10">
                  <c:v>7.5982256731910169E-3</c:v>
                </c:pt>
                <c:pt idx="11">
                  <c:v>8.1467277013200778E-3</c:v>
                </c:pt>
                <c:pt idx="12">
                  <c:v>9.4746799799487746E-3</c:v>
                </c:pt>
                <c:pt idx="13">
                  <c:v>9.907707896892548E-3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'FT76'!$AE$4:$AH$4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'FT76'!$AH$6:$AH$100</c:f>
              <c:numCache>
                <c:formatCode>0.00%</c:formatCode>
                <c:ptCount val="95"/>
                <c:pt idx="0">
                  <c:v>-3.0514605289351127E-2</c:v>
                </c:pt>
                <c:pt idx="1">
                  <c:v>-3.1268617262503184E-2</c:v>
                </c:pt>
                <c:pt idx="2">
                  <c:v>-3.2544637524760778E-2</c:v>
                </c:pt>
                <c:pt idx="3">
                  <c:v>-3.1210616341491582E-2</c:v>
                </c:pt>
                <c:pt idx="4">
                  <c:v>-3.1471620486044238E-2</c:v>
                </c:pt>
                <c:pt idx="5">
                  <c:v>-1</c:v>
                </c:pt>
                <c:pt idx="6">
                  <c:v>-2.7672560159777593E-2</c:v>
                </c:pt>
                <c:pt idx="7">
                  <c:v>-2.8484573053941475E-2</c:v>
                </c:pt>
                <c:pt idx="8">
                  <c:v>-2.9151583645576129E-2</c:v>
                </c:pt>
                <c:pt idx="9">
                  <c:v>-3.2892643050831061E-2</c:v>
                </c:pt>
                <c:pt idx="10">
                  <c:v>-3.3008644892854377E-2</c:v>
                </c:pt>
                <c:pt idx="11">
                  <c:v>-3.3559653642465492E-2</c:v>
                </c:pt>
                <c:pt idx="12">
                  <c:v>-3.1210616341491582E-2</c:v>
                </c:pt>
                <c:pt idx="13">
                  <c:v>-3.0485604828845325E-2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'FT76'!$AO$4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'FT76'!$AO$6:$AO$100</c:f>
              <c:numCache>
                <c:formatCode>0.00%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'FT76'!$AP$6:$AP$100</c:f>
              <c:numCache>
                <c:formatCode>0.00%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'FT76'!$AW$4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'FT76'!$AW$6:$AW$100</c:f>
              <c:numCache>
                <c:formatCode>0.00%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'FT76'!$AX$6:$AX$100</c:f>
              <c:numCache>
                <c:formatCode>0.00%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59656"/>
        <c:axId val="333531824"/>
      </c:lineChart>
      <c:catAx>
        <c:axId val="333559656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31824"/>
        <c:crosses val="autoZero"/>
        <c:auto val="0"/>
        <c:lblAlgn val="ctr"/>
        <c:lblOffset val="100"/>
        <c:noMultiLvlLbl val="0"/>
      </c:catAx>
      <c:valAx>
        <c:axId val="333531824"/>
        <c:scaling>
          <c:orientation val="minMax"/>
          <c:max val="3.0000000000000006E-2"/>
          <c:min val="-3.0000000000000006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59656"/>
        <c:crosses val="autoZero"/>
        <c:crossBetween val="between"/>
        <c:majorUnit val="1.0000000000000002E-2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VF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'FT76'!$W$4:$Z$4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'FT76'!$F$6:$F$96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'FT76'!$W$6:$W$100</c:f>
              <c:numCache>
                <c:formatCode>0.000</c:formatCode>
                <c:ptCount val="95"/>
                <c:pt idx="0">
                  <c:v>-6.6600000000001103E-3</c:v>
                </c:pt>
                <c:pt idx="1">
                  <c:v>-7.6600000000000001E-3</c:v>
                </c:pt>
                <c:pt idx="2">
                  <c:v>-4.6599999999998865E-3</c:v>
                </c:pt>
                <c:pt idx="3">
                  <c:v>-6.6600000000001103E-3</c:v>
                </c:pt>
                <c:pt idx="4">
                  <c:v>-6.6600000000001103E-3</c:v>
                </c:pt>
                <c:pt idx="5">
                  <c:v>-4.6599999999998865E-3</c:v>
                </c:pt>
                <c:pt idx="6">
                  <c:v>-1.6600000000002169E-3</c:v>
                </c:pt>
                <c:pt idx="7">
                  <c:v>-5.6600000000002204E-3</c:v>
                </c:pt>
                <c:pt idx="8">
                  <c:v>-4.6599999999998865E-3</c:v>
                </c:pt>
                <c:pt idx="9">
                  <c:v>-7.6600000000000001E-3</c:v>
                </c:pt>
                <c:pt idx="10">
                  <c:v>-7.6600000000000001E-3</c:v>
                </c:pt>
                <c:pt idx="11">
                  <c:v>-6.6600000000001103E-3</c:v>
                </c:pt>
                <c:pt idx="12">
                  <c:v>-3.6599999999999966E-3</c:v>
                </c:pt>
                <c:pt idx="13">
                  <c:v>-3.6599999999999966E-3</c:v>
                </c:pt>
                <c:pt idx="14">
                  <c:v>-2.8656600000000001</c:v>
                </c:pt>
                <c:pt idx="15">
                  <c:v>-2.8656600000000001</c:v>
                </c:pt>
                <c:pt idx="16">
                  <c:v>-2.8656600000000001</c:v>
                </c:pt>
                <c:pt idx="17">
                  <c:v>-2.8656600000000001</c:v>
                </c:pt>
                <c:pt idx="18">
                  <c:v>-2.8656600000000001</c:v>
                </c:pt>
                <c:pt idx="19">
                  <c:v>-2.8656600000000001</c:v>
                </c:pt>
                <c:pt idx="20">
                  <c:v>-2.8656600000000001</c:v>
                </c:pt>
                <c:pt idx="21">
                  <c:v>-2.8656600000000001</c:v>
                </c:pt>
                <c:pt idx="22">
                  <c:v>-2.8656600000000001</c:v>
                </c:pt>
                <c:pt idx="23">
                  <c:v>-2.8656600000000001</c:v>
                </c:pt>
                <c:pt idx="24">
                  <c:v>-2.8656600000000001</c:v>
                </c:pt>
                <c:pt idx="25">
                  <c:v>-2.8656600000000001</c:v>
                </c:pt>
                <c:pt idx="26">
                  <c:v>-2.8656600000000001</c:v>
                </c:pt>
                <c:pt idx="27">
                  <c:v>-2.8656600000000001</c:v>
                </c:pt>
                <c:pt idx="28">
                  <c:v>-2.8656600000000001</c:v>
                </c:pt>
                <c:pt idx="29">
                  <c:v>-2.8656600000000001</c:v>
                </c:pt>
                <c:pt idx="30">
                  <c:v>-2.8656600000000001</c:v>
                </c:pt>
                <c:pt idx="31">
                  <c:v>-2.8656600000000001</c:v>
                </c:pt>
                <c:pt idx="32">
                  <c:v>-2.8656600000000001</c:v>
                </c:pt>
                <c:pt idx="33">
                  <c:v>-2.8656600000000001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'FT76'!$AA$4:$AD$4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'FT76'!$F$6:$F$96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'FT76'!$AA$6:$AA$100</c:f>
              <c:numCache>
                <c:formatCode>0.000</c:formatCode>
                <c:ptCount val="95"/>
                <c:pt idx="0">
                  <c:v>-7.4299999999998256E-3</c:v>
                </c:pt>
                <c:pt idx="1">
                  <c:v>-8.4300000000001596E-3</c:v>
                </c:pt>
                <c:pt idx="2">
                  <c:v>-5.4300000000000459E-3</c:v>
                </c:pt>
                <c:pt idx="3">
                  <c:v>-7.4299999999998256E-3</c:v>
                </c:pt>
                <c:pt idx="4">
                  <c:v>-7.4299999999998256E-3</c:v>
                </c:pt>
                <c:pt idx="5">
                  <c:v>-5.4300000000000459E-3</c:v>
                </c:pt>
                <c:pt idx="6">
                  <c:v>-3.4300000000002662E-3</c:v>
                </c:pt>
                <c:pt idx="7">
                  <c:v>-6.4299999999999358E-3</c:v>
                </c:pt>
                <c:pt idx="8">
                  <c:v>-5.4300000000000459E-3</c:v>
                </c:pt>
                <c:pt idx="9">
                  <c:v>-9.4300000000000495E-3</c:v>
                </c:pt>
                <c:pt idx="10">
                  <c:v>-8.4300000000001596E-3</c:v>
                </c:pt>
                <c:pt idx="11">
                  <c:v>-7.4299999999998256E-3</c:v>
                </c:pt>
                <c:pt idx="12">
                  <c:v>-4.430000000000156E-3</c:v>
                </c:pt>
                <c:pt idx="13">
                  <c:v>-4.430000000000156E-3</c:v>
                </c:pt>
                <c:pt idx="14">
                  <c:v>-2.88043</c:v>
                </c:pt>
                <c:pt idx="15">
                  <c:v>-2.88043</c:v>
                </c:pt>
                <c:pt idx="16">
                  <c:v>-2.88043</c:v>
                </c:pt>
                <c:pt idx="17">
                  <c:v>-2.88043</c:v>
                </c:pt>
                <c:pt idx="18">
                  <c:v>-2.88043</c:v>
                </c:pt>
                <c:pt idx="19">
                  <c:v>-2.88043</c:v>
                </c:pt>
                <c:pt idx="20">
                  <c:v>-2.88043</c:v>
                </c:pt>
                <c:pt idx="21">
                  <c:v>-2.88043</c:v>
                </c:pt>
                <c:pt idx="22">
                  <c:v>-2.88043</c:v>
                </c:pt>
                <c:pt idx="23">
                  <c:v>-2.88043</c:v>
                </c:pt>
                <c:pt idx="24">
                  <c:v>-2.88043</c:v>
                </c:pt>
                <c:pt idx="25">
                  <c:v>-2.88043</c:v>
                </c:pt>
                <c:pt idx="26">
                  <c:v>-2.88043</c:v>
                </c:pt>
                <c:pt idx="27">
                  <c:v>-2.88043</c:v>
                </c:pt>
                <c:pt idx="28">
                  <c:v>-2.88043</c:v>
                </c:pt>
                <c:pt idx="29">
                  <c:v>-2.88043</c:v>
                </c:pt>
                <c:pt idx="30">
                  <c:v>-2.88043</c:v>
                </c:pt>
                <c:pt idx="31">
                  <c:v>-2.88043</c:v>
                </c:pt>
                <c:pt idx="32">
                  <c:v>-2.88043</c:v>
                </c:pt>
                <c:pt idx="33">
                  <c:v>-2.88043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'FT76'!$AE$4:$AH$4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'FT76'!$F$6:$F$96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'FT76'!$AE$6:$AE$100</c:f>
              <c:numCache>
                <c:formatCode>0.000</c:formatCode>
                <c:ptCount val="95"/>
                <c:pt idx="0">
                  <c:v>-2.3899999999996702E-3</c:v>
                </c:pt>
                <c:pt idx="1">
                  <c:v>-4.389999999999894E-3</c:v>
                </c:pt>
                <c:pt idx="2">
                  <c:v>-3.8999999999989043E-4</c:v>
                </c:pt>
                <c:pt idx="3">
                  <c:v>-1.3899999999997803E-3</c:v>
                </c:pt>
                <c:pt idx="4">
                  <c:v>-2.3899999999996702E-3</c:v>
                </c:pt>
                <c:pt idx="5">
                  <c:v>-3.8999999999989043E-4</c:v>
                </c:pt>
                <c:pt idx="6">
                  <c:v>2.6100000000002233E-3</c:v>
                </c:pt>
                <c:pt idx="7">
                  <c:v>-1.3899999999997803E-3</c:v>
                </c:pt>
                <c:pt idx="8">
                  <c:v>-3.8999999999989043E-4</c:v>
                </c:pt>
                <c:pt idx="9">
                  <c:v>-4.389999999999894E-3</c:v>
                </c:pt>
                <c:pt idx="10">
                  <c:v>-3.3900000000000041E-3</c:v>
                </c:pt>
                <c:pt idx="11">
                  <c:v>-1.3899999999997803E-3</c:v>
                </c:pt>
                <c:pt idx="12">
                  <c:v>6.0999999999999943E-4</c:v>
                </c:pt>
                <c:pt idx="13">
                  <c:v>6.0999999999999943E-4</c:v>
                </c:pt>
                <c:pt idx="14">
                  <c:v>-2.8633899999999999</c:v>
                </c:pt>
                <c:pt idx="15">
                  <c:v>-2.8633899999999999</c:v>
                </c:pt>
                <c:pt idx="16">
                  <c:v>-2.8633899999999999</c:v>
                </c:pt>
                <c:pt idx="17">
                  <c:v>-2.8633899999999999</c:v>
                </c:pt>
                <c:pt idx="18">
                  <c:v>-2.8633899999999999</c:v>
                </c:pt>
                <c:pt idx="19">
                  <c:v>-2.8633899999999999</c:v>
                </c:pt>
                <c:pt idx="20">
                  <c:v>-2.8633899999999999</c:v>
                </c:pt>
                <c:pt idx="21">
                  <c:v>-2.8633899999999999</c:v>
                </c:pt>
                <c:pt idx="22">
                  <c:v>-2.8633899999999999</c:v>
                </c:pt>
                <c:pt idx="23">
                  <c:v>-2.8633899999999999</c:v>
                </c:pt>
                <c:pt idx="24">
                  <c:v>-2.8633899999999999</c:v>
                </c:pt>
                <c:pt idx="25">
                  <c:v>-2.8633899999999999</c:v>
                </c:pt>
                <c:pt idx="26">
                  <c:v>-2.8633899999999999</c:v>
                </c:pt>
                <c:pt idx="27">
                  <c:v>-2.8633899999999999</c:v>
                </c:pt>
                <c:pt idx="28">
                  <c:v>-2.8633899999999999</c:v>
                </c:pt>
                <c:pt idx="29">
                  <c:v>-2.8633899999999999</c:v>
                </c:pt>
                <c:pt idx="30">
                  <c:v>-2.8633899999999999</c:v>
                </c:pt>
                <c:pt idx="31">
                  <c:v>-2.8633899999999999</c:v>
                </c:pt>
                <c:pt idx="32">
                  <c:v>-2.8633899999999999</c:v>
                </c:pt>
                <c:pt idx="33">
                  <c:v>-2.8633899999999999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'FT76'!$AO$4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'FT76'!$F$6:$F$96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'FT76'!$AI$6:$AI$100</c:f>
              <c:numCache>
                <c:formatCode>General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'FT76'!$F$6:$F$96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'FT76'!$AJ$6:$AJ$100</c:f>
              <c:numCache>
                <c:formatCode>General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'FT76'!$AW$4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'FT76'!$F$6:$F$96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'FT76'!$AQ$6:$AQ$100</c:f>
              <c:numCache>
                <c:formatCode>General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'FT76'!$F$6:$F$96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'FT76'!$AR$6:$AR$100</c:f>
              <c:numCache>
                <c:formatCode>General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37312"/>
        <c:axId val="333533000"/>
      </c:lineChart>
      <c:catAx>
        <c:axId val="333537312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33000"/>
        <c:crosses val="autoZero"/>
        <c:auto val="0"/>
        <c:lblAlgn val="ctr"/>
        <c:lblOffset val="100"/>
        <c:noMultiLvlLbl val="0"/>
      </c:catAx>
      <c:valAx>
        <c:axId val="333533000"/>
        <c:scaling>
          <c:orientation val="minMax"/>
        </c:scaling>
        <c:delete val="0"/>
        <c:axPos val="l"/>
        <c:numFmt formatCode="#,##0.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3731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X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'FT76'!$W$4:$Z$4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'FT76'!$X$6:$X$100</c:f>
              <c:numCache>
                <c:formatCode>0.0000</c:formatCode>
                <c:ptCount val="95"/>
                <c:pt idx="0">
                  <c:v>-1.6019999999999923E-3</c:v>
                </c:pt>
                <c:pt idx="1">
                  <c:v>-1.6220000000000123E-3</c:v>
                </c:pt>
                <c:pt idx="2">
                  <c:v>-1.5720000000000178E-3</c:v>
                </c:pt>
                <c:pt idx="3">
                  <c:v>-1.6519999999999868E-3</c:v>
                </c:pt>
                <c:pt idx="4">
                  <c:v>-1.6920000000000268E-3</c:v>
                </c:pt>
                <c:pt idx="5">
                  <c:v>-0.34143200000000001</c:v>
                </c:pt>
                <c:pt idx="6">
                  <c:v>-1.5920000000000378E-3</c:v>
                </c:pt>
                <c:pt idx="7">
                  <c:v>-1.6220000000000123E-3</c:v>
                </c:pt>
                <c:pt idx="8">
                  <c:v>-1.5720000000000178E-3</c:v>
                </c:pt>
                <c:pt idx="9">
                  <c:v>-1.8620000000000303E-3</c:v>
                </c:pt>
                <c:pt idx="10">
                  <c:v>-1.7820000000000058E-3</c:v>
                </c:pt>
                <c:pt idx="11">
                  <c:v>-1.6619999999999968E-3</c:v>
                </c:pt>
                <c:pt idx="12">
                  <c:v>-1.4620000000000188E-3</c:v>
                </c:pt>
                <c:pt idx="13">
                  <c:v>-1.6420000000000323E-3</c:v>
                </c:pt>
                <c:pt idx="14">
                  <c:v>-0.34143200000000001</c:v>
                </c:pt>
                <c:pt idx="15">
                  <c:v>-0.34143200000000001</c:v>
                </c:pt>
                <c:pt idx="16">
                  <c:v>-0.34143200000000001</c:v>
                </c:pt>
                <c:pt idx="17">
                  <c:v>-0.34143200000000001</c:v>
                </c:pt>
                <c:pt idx="18">
                  <c:v>-0.34143200000000001</c:v>
                </c:pt>
                <c:pt idx="19">
                  <c:v>-0.34143200000000001</c:v>
                </c:pt>
                <c:pt idx="20">
                  <c:v>-0.34143200000000001</c:v>
                </c:pt>
                <c:pt idx="21">
                  <c:v>-0.34143200000000001</c:v>
                </c:pt>
                <c:pt idx="22">
                  <c:v>-0.34143200000000001</c:v>
                </c:pt>
                <c:pt idx="23">
                  <c:v>-0.34143200000000001</c:v>
                </c:pt>
                <c:pt idx="24">
                  <c:v>-0.34143200000000001</c:v>
                </c:pt>
                <c:pt idx="25">
                  <c:v>-0.34143200000000001</c:v>
                </c:pt>
                <c:pt idx="26">
                  <c:v>-0.34143200000000001</c:v>
                </c:pt>
                <c:pt idx="27">
                  <c:v>-0.34143200000000001</c:v>
                </c:pt>
                <c:pt idx="28">
                  <c:v>-0.34143200000000001</c:v>
                </c:pt>
                <c:pt idx="29">
                  <c:v>-0.34143200000000001</c:v>
                </c:pt>
                <c:pt idx="30">
                  <c:v>-0.34143200000000001</c:v>
                </c:pt>
                <c:pt idx="31">
                  <c:v>-0.34143200000000001</c:v>
                </c:pt>
                <c:pt idx="32">
                  <c:v>-0.34143200000000001</c:v>
                </c:pt>
                <c:pt idx="33">
                  <c:v>-0.34143200000000001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'FT76'!$AA$4:$AD$4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'FT76'!$AB$6:$AB$100</c:f>
              <c:numCache>
                <c:formatCode>0.0000</c:formatCode>
                <c:ptCount val="95"/>
                <c:pt idx="0">
                  <c:v>-1.0602E-2</c:v>
                </c:pt>
                <c:pt idx="1">
                  <c:v>-1.0672000000000015E-2</c:v>
                </c:pt>
                <c:pt idx="2">
                  <c:v>-1.0532000000000041E-2</c:v>
                </c:pt>
                <c:pt idx="3">
                  <c:v>-1.0722000000000009E-2</c:v>
                </c:pt>
                <c:pt idx="4">
                  <c:v>-1.0732000000000019E-2</c:v>
                </c:pt>
                <c:pt idx="5">
                  <c:v>-1.063200000000003E-2</c:v>
                </c:pt>
                <c:pt idx="6">
                  <c:v>-1.0772000000000004E-2</c:v>
                </c:pt>
                <c:pt idx="7">
                  <c:v>-1.0732000000000019E-2</c:v>
                </c:pt>
                <c:pt idx="8">
                  <c:v>-1.0702000000000045E-2</c:v>
                </c:pt>
                <c:pt idx="9">
                  <c:v>-1.063200000000003E-2</c:v>
                </c:pt>
                <c:pt idx="10">
                  <c:v>-1.0722000000000009E-2</c:v>
                </c:pt>
                <c:pt idx="11">
                  <c:v>-1.0732000000000019E-2</c:v>
                </c:pt>
                <c:pt idx="12">
                  <c:v>-1.062200000000002E-2</c:v>
                </c:pt>
                <c:pt idx="13">
                  <c:v>-1.062200000000002E-2</c:v>
                </c:pt>
                <c:pt idx="14">
                  <c:v>-0.34127200000000002</c:v>
                </c:pt>
                <c:pt idx="15">
                  <c:v>-0.34127200000000002</c:v>
                </c:pt>
                <c:pt idx="16">
                  <c:v>-0.34127200000000002</c:v>
                </c:pt>
                <c:pt idx="17">
                  <c:v>-0.34127200000000002</c:v>
                </c:pt>
                <c:pt idx="18">
                  <c:v>-0.34127200000000002</c:v>
                </c:pt>
                <c:pt idx="19">
                  <c:v>-0.34127200000000002</c:v>
                </c:pt>
                <c:pt idx="20">
                  <c:v>-0.34127200000000002</c:v>
                </c:pt>
                <c:pt idx="21">
                  <c:v>-0.34127200000000002</c:v>
                </c:pt>
                <c:pt idx="22">
                  <c:v>-0.34127200000000002</c:v>
                </c:pt>
                <c:pt idx="23">
                  <c:v>-0.34127200000000002</c:v>
                </c:pt>
                <c:pt idx="24">
                  <c:v>-0.34127200000000002</c:v>
                </c:pt>
                <c:pt idx="25">
                  <c:v>-0.34127200000000002</c:v>
                </c:pt>
                <c:pt idx="26">
                  <c:v>-0.34127200000000002</c:v>
                </c:pt>
                <c:pt idx="27">
                  <c:v>-0.34127200000000002</c:v>
                </c:pt>
                <c:pt idx="28">
                  <c:v>-0.34127200000000002</c:v>
                </c:pt>
                <c:pt idx="29">
                  <c:v>-0.34127200000000002</c:v>
                </c:pt>
                <c:pt idx="30">
                  <c:v>-0.34127200000000002</c:v>
                </c:pt>
                <c:pt idx="31">
                  <c:v>-0.34127200000000002</c:v>
                </c:pt>
                <c:pt idx="32">
                  <c:v>-0.34127200000000002</c:v>
                </c:pt>
                <c:pt idx="33">
                  <c:v>-0.34127200000000002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'FT76'!$AE$4:$AH$4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'FT76'!$AF$6:$AF$100</c:f>
              <c:numCache>
                <c:formatCode>0.0000</c:formatCode>
                <c:ptCount val="95"/>
                <c:pt idx="0">
                  <c:v>-3.442400000000001E-2</c:v>
                </c:pt>
                <c:pt idx="1">
                  <c:v>-3.4523999999999999E-2</c:v>
                </c:pt>
                <c:pt idx="2">
                  <c:v>-3.4364000000000006E-2</c:v>
                </c:pt>
                <c:pt idx="3">
                  <c:v>-3.4513999999999989E-2</c:v>
                </c:pt>
                <c:pt idx="4">
                  <c:v>-3.4534000000000009E-2</c:v>
                </c:pt>
                <c:pt idx="5">
                  <c:v>-0.34223399999999998</c:v>
                </c:pt>
                <c:pt idx="6">
                  <c:v>-3.4353999999999996E-2</c:v>
                </c:pt>
                <c:pt idx="7">
                  <c:v>-3.4353999999999996E-2</c:v>
                </c:pt>
                <c:pt idx="8">
                  <c:v>-3.4433999999999965E-2</c:v>
                </c:pt>
                <c:pt idx="9">
                  <c:v>-3.4543999999999964E-2</c:v>
                </c:pt>
                <c:pt idx="10">
                  <c:v>-3.4463999999999995E-2</c:v>
                </c:pt>
                <c:pt idx="11">
                  <c:v>-3.440399999999999E-2</c:v>
                </c:pt>
                <c:pt idx="12">
                  <c:v>-3.4364000000000006E-2</c:v>
                </c:pt>
                <c:pt idx="13">
                  <c:v>-3.4263999999999961E-2</c:v>
                </c:pt>
                <c:pt idx="14">
                  <c:v>-0.34223399999999998</c:v>
                </c:pt>
                <c:pt idx="15">
                  <c:v>-0.34223399999999998</c:v>
                </c:pt>
                <c:pt idx="16">
                  <c:v>-0.34223399999999998</c:v>
                </c:pt>
                <c:pt idx="17">
                  <c:v>-0.34223399999999998</c:v>
                </c:pt>
                <c:pt idx="18">
                  <c:v>-0.34223399999999998</c:v>
                </c:pt>
                <c:pt idx="19">
                  <c:v>-0.34223399999999998</c:v>
                </c:pt>
                <c:pt idx="20">
                  <c:v>-0.34223399999999998</c:v>
                </c:pt>
                <c:pt idx="21">
                  <c:v>-0.34223399999999998</c:v>
                </c:pt>
                <c:pt idx="22">
                  <c:v>-0.34223399999999998</c:v>
                </c:pt>
                <c:pt idx="23">
                  <c:v>-0.34223399999999998</c:v>
                </c:pt>
                <c:pt idx="24">
                  <c:v>-0.34223399999999998</c:v>
                </c:pt>
                <c:pt idx="25">
                  <c:v>-0.34223399999999998</c:v>
                </c:pt>
                <c:pt idx="26">
                  <c:v>-0.34223399999999998</c:v>
                </c:pt>
                <c:pt idx="27">
                  <c:v>-0.34223399999999998</c:v>
                </c:pt>
                <c:pt idx="28">
                  <c:v>-0.34223399999999998</c:v>
                </c:pt>
                <c:pt idx="29">
                  <c:v>-0.34223399999999998</c:v>
                </c:pt>
                <c:pt idx="30">
                  <c:v>-0.34223399999999998</c:v>
                </c:pt>
                <c:pt idx="31">
                  <c:v>-0.34223399999999998</c:v>
                </c:pt>
                <c:pt idx="32">
                  <c:v>-0.34223399999999998</c:v>
                </c:pt>
                <c:pt idx="33">
                  <c:v>-0.34223399999999998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'FT76'!$AO$4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'FT76'!$AW$4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37704"/>
        <c:axId val="333536920"/>
      </c:lineChart>
      <c:catAx>
        <c:axId val="333537704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36920"/>
        <c:crosses val="autoZero"/>
        <c:auto val="0"/>
        <c:lblAlgn val="ctr"/>
        <c:lblOffset val="100"/>
        <c:noMultiLvlLbl val="0"/>
      </c:catAx>
      <c:valAx>
        <c:axId val="333536920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37704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y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'FT76'!$W$4:$Z$4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'FT76'!$Y$6:$Y$100</c:f>
              <c:numCache>
                <c:formatCode>0.0000</c:formatCode>
                <c:ptCount val="95"/>
                <c:pt idx="0">
                  <c:v>-4.2310000000000403E-3</c:v>
                </c:pt>
                <c:pt idx="1">
                  <c:v>-4.4109999999999983E-3</c:v>
                </c:pt>
                <c:pt idx="2">
                  <c:v>-4.2610000000000148E-3</c:v>
                </c:pt>
                <c:pt idx="3">
                  <c:v>-4.2610000000000148E-3</c:v>
                </c:pt>
                <c:pt idx="4">
                  <c:v>-4.3310000000000293E-3</c:v>
                </c:pt>
                <c:pt idx="5">
                  <c:v>-0.35612100000000002</c:v>
                </c:pt>
                <c:pt idx="6">
                  <c:v>-4.2409999999999948E-3</c:v>
                </c:pt>
                <c:pt idx="7">
                  <c:v>-4.2710000000000248E-3</c:v>
                </c:pt>
                <c:pt idx="8">
                  <c:v>-4.2610000000000148E-3</c:v>
                </c:pt>
                <c:pt idx="9">
                  <c:v>-4.4610000000000483E-3</c:v>
                </c:pt>
                <c:pt idx="10">
                  <c:v>-4.3310000000000293E-3</c:v>
                </c:pt>
                <c:pt idx="11">
                  <c:v>-4.3310000000000293E-3</c:v>
                </c:pt>
                <c:pt idx="12">
                  <c:v>-4.1910000000000003E-3</c:v>
                </c:pt>
                <c:pt idx="13">
                  <c:v>-4.2310000000000403E-3</c:v>
                </c:pt>
                <c:pt idx="14">
                  <c:v>-0.35612100000000002</c:v>
                </c:pt>
                <c:pt idx="15">
                  <c:v>-0.35612100000000002</c:v>
                </c:pt>
                <c:pt idx="16">
                  <c:v>-0.35612100000000002</c:v>
                </c:pt>
                <c:pt idx="17">
                  <c:v>-0.35612100000000002</c:v>
                </c:pt>
                <c:pt idx="18">
                  <c:v>-0.35612100000000002</c:v>
                </c:pt>
                <c:pt idx="19">
                  <c:v>-0.35612100000000002</c:v>
                </c:pt>
                <c:pt idx="20">
                  <c:v>-0.35612100000000002</c:v>
                </c:pt>
                <c:pt idx="21">
                  <c:v>-0.35612100000000002</c:v>
                </c:pt>
                <c:pt idx="22">
                  <c:v>-0.35612100000000002</c:v>
                </c:pt>
                <c:pt idx="23">
                  <c:v>-0.35612100000000002</c:v>
                </c:pt>
                <c:pt idx="24">
                  <c:v>-0.35612100000000002</c:v>
                </c:pt>
                <c:pt idx="25">
                  <c:v>-0.35612100000000002</c:v>
                </c:pt>
                <c:pt idx="26">
                  <c:v>-0.35612100000000002</c:v>
                </c:pt>
                <c:pt idx="27">
                  <c:v>-0.35612100000000002</c:v>
                </c:pt>
                <c:pt idx="28">
                  <c:v>-0.35612100000000002</c:v>
                </c:pt>
                <c:pt idx="29">
                  <c:v>-0.35612100000000002</c:v>
                </c:pt>
                <c:pt idx="30">
                  <c:v>-0.35612100000000002</c:v>
                </c:pt>
                <c:pt idx="31">
                  <c:v>-0.35612100000000002</c:v>
                </c:pt>
                <c:pt idx="32">
                  <c:v>-0.35612100000000002</c:v>
                </c:pt>
                <c:pt idx="33">
                  <c:v>-0.35612100000000002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'FT76'!$AA$4:$AD$4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'FT76'!$AC$6:$AC$100</c:f>
              <c:numCache>
                <c:formatCode>0.0000</c:formatCode>
                <c:ptCount val="95"/>
                <c:pt idx="0">
                  <c:v>-4.9480000000000079E-3</c:v>
                </c:pt>
                <c:pt idx="1">
                  <c:v>-5.0280000000000324E-3</c:v>
                </c:pt>
                <c:pt idx="2">
                  <c:v>-4.8679999999999835E-3</c:v>
                </c:pt>
                <c:pt idx="3">
                  <c:v>-5.0180000000000224E-3</c:v>
                </c:pt>
                <c:pt idx="4">
                  <c:v>-5.0479999999999969E-3</c:v>
                </c:pt>
                <c:pt idx="5">
                  <c:v>-5.1280000000000214E-3</c:v>
                </c:pt>
                <c:pt idx="6">
                  <c:v>-5.0879999999999814E-3</c:v>
                </c:pt>
                <c:pt idx="7">
                  <c:v>-5.1180000000000114E-3</c:v>
                </c:pt>
                <c:pt idx="8">
                  <c:v>-5.0479999999999969E-3</c:v>
                </c:pt>
                <c:pt idx="9">
                  <c:v>-5.1080000000000014E-3</c:v>
                </c:pt>
                <c:pt idx="10">
                  <c:v>-5.1280000000000214E-3</c:v>
                </c:pt>
                <c:pt idx="11">
                  <c:v>-4.9279999999999879E-3</c:v>
                </c:pt>
                <c:pt idx="12">
                  <c:v>-4.9680000000000279E-3</c:v>
                </c:pt>
                <c:pt idx="13">
                  <c:v>-4.9580000000000179E-3</c:v>
                </c:pt>
                <c:pt idx="14">
                  <c:v>-0.35446800000000001</c:v>
                </c:pt>
                <c:pt idx="15">
                  <c:v>-0.35446800000000001</c:v>
                </c:pt>
                <c:pt idx="16">
                  <c:v>-0.35446800000000001</c:v>
                </c:pt>
                <c:pt idx="17">
                  <c:v>-0.35446800000000001</c:v>
                </c:pt>
                <c:pt idx="18">
                  <c:v>-0.35446800000000001</c:v>
                </c:pt>
                <c:pt idx="19">
                  <c:v>-0.35446800000000001</c:v>
                </c:pt>
                <c:pt idx="20">
                  <c:v>-0.35446800000000001</c:v>
                </c:pt>
                <c:pt idx="21">
                  <c:v>-0.35446800000000001</c:v>
                </c:pt>
                <c:pt idx="22">
                  <c:v>-0.35446800000000001</c:v>
                </c:pt>
                <c:pt idx="23">
                  <c:v>-0.35446800000000001</c:v>
                </c:pt>
                <c:pt idx="24">
                  <c:v>-0.35446800000000001</c:v>
                </c:pt>
                <c:pt idx="25">
                  <c:v>-0.35446800000000001</c:v>
                </c:pt>
                <c:pt idx="26">
                  <c:v>-0.35446800000000001</c:v>
                </c:pt>
                <c:pt idx="27">
                  <c:v>-0.35446800000000001</c:v>
                </c:pt>
                <c:pt idx="28">
                  <c:v>-0.35446800000000001</c:v>
                </c:pt>
                <c:pt idx="29">
                  <c:v>-0.35446800000000001</c:v>
                </c:pt>
                <c:pt idx="30">
                  <c:v>-0.35446800000000001</c:v>
                </c:pt>
                <c:pt idx="31">
                  <c:v>-0.35446800000000001</c:v>
                </c:pt>
                <c:pt idx="32">
                  <c:v>-0.35446800000000001</c:v>
                </c:pt>
                <c:pt idx="33">
                  <c:v>-0.35446800000000001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'FT76'!$AE$4:$AH$4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'FT76'!$AG$6:$AG$100</c:f>
              <c:numCache>
                <c:formatCode>0.0000</c:formatCode>
                <c:ptCount val="95"/>
                <c:pt idx="0">
                  <c:v>-3.4262000000000015E-2</c:v>
                </c:pt>
                <c:pt idx="1">
                  <c:v>-3.4431999999999963E-2</c:v>
                </c:pt>
                <c:pt idx="2">
                  <c:v>-3.4271999999999969E-2</c:v>
                </c:pt>
                <c:pt idx="3">
                  <c:v>-3.4301999999999999E-2</c:v>
                </c:pt>
                <c:pt idx="4">
                  <c:v>-3.4331999999999974E-2</c:v>
                </c:pt>
                <c:pt idx="5">
                  <c:v>-0.35628199999999999</c:v>
                </c:pt>
                <c:pt idx="6">
                  <c:v>-3.4321999999999964E-2</c:v>
                </c:pt>
                <c:pt idx="7">
                  <c:v>-3.418199999999999E-2</c:v>
                </c:pt>
                <c:pt idx="8">
                  <c:v>-3.4331999999999974E-2</c:v>
                </c:pt>
                <c:pt idx="9">
                  <c:v>-3.4312000000000009E-2</c:v>
                </c:pt>
                <c:pt idx="10">
                  <c:v>-3.4482000000000013E-2</c:v>
                </c:pt>
                <c:pt idx="11">
                  <c:v>-3.4362000000000004E-2</c:v>
                </c:pt>
                <c:pt idx="12">
                  <c:v>-3.4231999999999985E-2</c:v>
                </c:pt>
                <c:pt idx="13">
                  <c:v>-3.4092000000000011E-2</c:v>
                </c:pt>
                <c:pt idx="14">
                  <c:v>-0.35628199999999999</c:v>
                </c:pt>
                <c:pt idx="15">
                  <c:v>-0.35628199999999999</c:v>
                </c:pt>
                <c:pt idx="16">
                  <c:v>-0.35628199999999999</c:v>
                </c:pt>
                <c:pt idx="17">
                  <c:v>-0.35628199999999999</c:v>
                </c:pt>
                <c:pt idx="18">
                  <c:v>-0.35628199999999999</c:v>
                </c:pt>
                <c:pt idx="19">
                  <c:v>-0.35628199999999999</c:v>
                </c:pt>
                <c:pt idx="20">
                  <c:v>-0.35628199999999999</c:v>
                </c:pt>
                <c:pt idx="21">
                  <c:v>-0.35628199999999999</c:v>
                </c:pt>
                <c:pt idx="22">
                  <c:v>-0.35628199999999999</c:v>
                </c:pt>
                <c:pt idx="23">
                  <c:v>-0.35628199999999999</c:v>
                </c:pt>
                <c:pt idx="24">
                  <c:v>-0.35628199999999999</c:v>
                </c:pt>
                <c:pt idx="25">
                  <c:v>-0.35628199999999999</c:v>
                </c:pt>
                <c:pt idx="26">
                  <c:v>-0.35628199999999999</c:v>
                </c:pt>
                <c:pt idx="27">
                  <c:v>-0.35628199999999999</c:v>
                </c:pt>
                <c:pt idx="28">
                  <c:v>-0.35628199999999999</c:v>
                </c:pt>
                <c:pt idx="29">
                  <c:v>-0.35628199999999999</c:v>
                </c:pt>
                <c:pt idx="30">
                  <c:v>-0.35628199999999999</c:v>
                </c:pt>
                <c:pt idx="31">
                  <c:v>-0.35628199999999999</c:v>
                </c:pt>
                <c:pt idx="32">
                  <c:v>-0.35628199999999999</c:v>
                </c:pt>
                <c:pt idx="33">
                  <c:v>-0.35628199999999999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'FT76'!$AO$4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'FT76'!$AW$4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'FT76'!$F$6:$F$100</c:f>
              <c:strCache>
                <c:ptCount val="14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  <c:pt idx="12">
                  <c:v>2021/02/26</c:v>
                </c:pt>
                <c:pt idx="13">
                  <c:v>2021/02/26</c:v>
                </c:pt>
              </c:strCache>
            </c:strRef>
          </c:cat>
          <c:val>
            <c:numRef>
              <c:f>'FT76'!$AT$6:$AT$100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528688"/>
        <c:axId val="333529080"/>
      </c:lineChart>
      <c:catAx>
        <c:axId val="333528688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29080"/>
        <c:crosses val="autoZero"/>
        <c:auto val="0"/>
        <c:lblAlgn val="ctr"/>
        <c:lblOffset val="100"/>
        <c:noMultiLvlLbl val="0"/>
      </c:catAx>
      <c:valAx>
        <c:axId val="333529080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3528688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光束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'FTA4'!$W$4:$Z$4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'FTA4'!$Z$6:$Z$100</c:f>
              <c:numCache>
                <c:formatCode>0.00%</c:formatCode>
                <c:ptCount val="95"/>
                <c:pt idx="0">
                  <c:v>4.010394368954584E-2</c:v>
                </c:pt>
                <c:pt idx="1">
                  <c:v>3.7886673494588852E-2</c:v>
                </c:pt>
                <c:pt idx="2">
                  <c:v>3.9783023003433504E-2</c:v>
                </c:pt>
                <c:pt idx="3">
                  <c:v>4.0804134277426796E-2</c:v>
                </c:pt>
                <c:pt idx="4">
                  <c:v>3.7128133691050946E-2</c:v>
                </c:pt>
                <c:pt idx="5">
                  <c:v>3.5115085750892838E-2</c:v>
                </c:pt>
                <c:pt idx="6">
                  <c:v>3.7915848102417327E-2</c:v>
                </c:pt>
                <c:pt idx="7">
                  <c:v>3.5377657221348224E-2</c:v>
                </c:pt>
                <c:pt idx="8">
                  <c:v>3.5436006437004952E-2</c:v>
                </c:pt>
                <c:pt idx="9">
                  <c:v>3.5027561927407636E-2</c:v>
                </c:pt>
                <c:pt idx="10">
                  <c:v>3.6340419279684788E-2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'FTA4'!$AA$4:$AD$4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'FTA4'!$AD$6:$AD$100</c:f>
              <c:numCache>
                <c:formatCode>0.00%</c:formatCode>
                <c:ptCount val="95"/>
                <c:pt idx="0">
                  <c:v>4.1852306575394849E-2</c:v>
                </c:pt>
                <c:pt idx="1">
                  <c:v>4.0633630118084962E-2</c:v>
                </c:pt>
                <c:pt idx="2">
                  <c:v>4.1446081089624887E-2</c:v>
                </c:pt>
                <c:pt idx="3">
                  <c:v>4.2461644804049792E-2</c:v>
                </c:pt>
                <c:pt idx="4">
                  <c:v>3.8515454370855906E-2</c:v>
                </c:pt>
                <c:pt idx="5">
                  <c:v>3.8399389946350393E-2</c:v>
                </c:pt>
                <c:pt idx="6">
                  <c:v>3.9850195252671528E-2</c:v>
                </c:pt>
                <c:pt idx="7">
                  <c:v>3.8283325521844658E-2</c:v>
                </c:pt>
                <c:pt idx="8">
                  <c:v>3.802218056670692E-2</c:v>
                </c:pt>
                <c:pt idx="9">
                  <c:v>3.7296777913546242E-2</c:v>
                </c:pt>
                <c:pt idx="10">
                  <c:v>3.8254309415718168E-2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'FTA4'!$AE$4:$AH$4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'FTA4'!$AH$6:$AH$100</c:f>
              <c:numCache>
                <c:formatCode>0.00%</c:formatCode>
                <c:ptCount val="95"/>
                <c:pt idx="0">
                  <c:v>4.2622708855061475E-2</c:v>
                </c:pt>
                <c:pt idx="1">
                  <c:v>4.0732688048089827E-2</c:v>
                </c:pt>
                <c:pt idx="2">
                  <c:v>4.2186550207298668E-2</c:v>
                </c:pt>
                <c:pt idx="3">
                  <c:v>4.3087944746008189E-2</c:v>
                </c:pt>
                <c:pt idx="4">
                  <c:v>3.9860370752564434E-2</c:v>
                </c:pt>
                <c:pt idx="5">
                  <c:v>3.8522817566092327E-2</c:v>
                </c:pt>
                <c:pt idx="6">
                  <c:v>4.0296529400327241E-2</c:v>
                </c:pt>
                <c:pt idx="7">
                  <c:v>3.8173890647882125E-2</c:v>
                </c:pt>
                <c:pt idx="8">
                  <c:v>3.8377431350171465E-2</c:v>
                </c:pt>
                <c:pt idx="9">
                  <c:v>3.8144813404697997E-2</c:v>
                </c:pt>
                <c:pt idx="10">
                  <c:v>3.7592345784198677E-2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'FTA4'!$AO$4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'FTA4'!$AO$6:$AO$100</c:f>
              <c:numCache>
                <c:formatCode>0.00%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'FTA4'!$AP$6:$AP$100</c:f>
              <c:numCache>
                <c:formatCode>0.00%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'FTA4'!$AW$4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'FTA4'!$AW$6:$AW$100</c:f>
              <c:numCache>
                <c:formatCode>0.00%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'FTA4'!$AX$6:$AX$100</c:f>
              <c:numCache>
                <c:formatCode>0.00%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813256"/>
        <c:axId val="335818352"/>
      </c:lineChart>
      <c:catAx>
        <c:axId val="335813256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18352"/>
        <c:crosses val="autoZero"/>
        <c:auto val="0"/>
        <c:lblAlgn val="ctr"/>
        <c:lblOffset val="100"/>
        <c:noMultiLvlLbl val="0"/>
      </c:catAx>
      <c:valAx>
        <c:axId val="335818352"/>
        <c:scaling>
          <c:orientation val="minMax"/>
          <c:max val="3.0000000000000006E-2"/>
          <c:min val="-3.0000000000000006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13256"/>
        <c:crosses val="autoZero"/>
        <c:crossBetween val="between"/>
        <c:majorUnit val="1.0000000000000002E-2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VF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'FTA4'!$W$4:$Z$4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'FTA4'!$F$6:$F$96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'FTA4'!$W$6:$W$100</c:f>
              <c:numCache>
                <c:formatCode>0.000</c:formatCode>
                <c:ptCount val="95"/>
                <c:pt idx="0">
                  <c:v>-2.1030000000000104E-2</c:v>
                </c:pt>
                <c:pt idx="1">
                  <c:v>-2.2029999999999994E-2</c:v>
                </c:pt>
                <c:pt idx="2">
                  <c:v>-2.1030000000000104E-2</c:v>
                </c:pt>
                <c:pt idx="3">
                  <c:v>-2.002999999999977E-2</c:v>
                </c:pt>
                <c:pt idx="4">
                  <c:v>-2.2029999999999994E-2</c:v>
                </c:pt>
                <c:pt idx="5">
                  <c:v>-2.2029999999999994E-2</c:v>
                </c:pt>
                <c:pt idx="6">
                  <c:v>-2.002999999999977E-2</c:v>
                </c:pt>
                <c:pt idx="7">
                  <c:v>-2.2029999999999994E-2</c:v>
                </c:pt>
                <c:pt idx="8">
                  <c:v>-2.1030000000000104E-2</c:v>
                </c:pt>
                <c:pt idx="9">
                  <c:v>-2.2029999999999994E-2</c:v>
                </c:pt>
                <c:pt idx="10">
                  <c:v>-2.1030000000000104E-2</c:v>
                </c:pt>
                <c:pt idx="11">
                  <c:v>-2.86103</c:v>
                </c:pt>
                <c:pt idx="12">
                  <c:v>-2.86103</c:v>
                </c:pt>
                <c:pt idx="13">
                  <c:v>-2.86103</c:v>
                </c:pt>
                <c:pt idx="14">
                  <c:v>-2.86103</c:v>
                </c:pt>
                <c:pt idx="15">
                  <c:v>-2.86103</c:v>
                </c:pt>
                <c:pt idx="16">
                  <c:v>-2.86103</c:v>
                </c:pt>
                <c:pt idx="17">
                  <c:v>-2.86103</c:v>
                </c:pt>
                <c:pt idx="18">
                  <c:v>-2.86103</c:v>
                </c:pt>
                <c:pt idx="19">
                  <c:v>-2.86103</c:v>
                </c:pt>
                <c:pt idx="20">
                  <c:v>-2.86103</c:v>
                </c:pt>
                <c:pt idx="21">
                  <c:v>-2.86103</c:v>
                </c:pt>
                <c:pt idx="22">
                  <c:v>-2.86103</c:v>
                </c:pt>
                <c:pt idx="23">
                  <c:v>-2.86103</c:v>
                </c:pt>
                <c:pt idx="24">
                  <c:v>-2.86103</c:v>
                </c:pt>
                <c:pt idx="25">
                  <c:v>-2.86103</c:v>
                </c:pt>
                <c:pt idx="26">
                  <c:v>-2.86103</c:v>
                </c:pt>
                <c:pt idx="27">
                  <c:v>-2.86103</c:v>
                </c:pt>
                <c:pt idx="28">
                  <c:v>-2.86103</c:v>
                </c:pt>
                <c:pt idx="29">
                  <c:v>-2.86103</c:v>
                </c:pt>
                <c:pt idx="30">
                  <c:v>-2.86103</c:v>
                </c:pt>
                <c:pt idx="31">
                  <c:v>-2.86103</c:v>
                </c:pt>
                <c:pt idx="32">
                  <c:v>-2.86103</c:v>
                </c:pt>
                <c:pt idx="33">
                  <c:v>-2.86103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'FTA4'!$AA$4:$AD$4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'FTA4'!$F$6:$F$96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'FTA4'!$AA$6:$AA$100</c:f>
              <c:numCache>
                <c:formatCode>0.000</c:formatCode>
                <c:ptCount val="95"/>
                <c:pt idx="0">
                  <c:v>-4.1719999999999757E-2</c:v>
                </c:pt>
                <c:pt idx="1">
                  <c:v>-4.2720000000000091E-2</c:v>
                </c:pt>
                <c:pt idx="2">
                  <c:v>-4.2720000000000091E-2</c:v>
                </c:pt>
                <c:pt idx="3">
                  <c:v>-4.0719999999999867E-2</c:v>
                </c:pt>
                <c:pt idx="4">
                  <c:v>-4.3719999999999981E-2</c:v>
                </c:pt>
                <c:pt idx="5">
                  <c:v>-4.2720000000000091E-2</c:v>
                </c:pt>
                <c:pt idx="6">
                  <c:v>-4.2720000000000091E-2</c:v>
                </c:pt>
                <c:pt idx="7">
                  <c:v>-4.2720000000000091E-2</c:v>
                </c:pt>
                <c:pt idx="8">
                  <c:v>-4.3719999999999981E-2</c:v>
                </c:pt>
                <c:pt idx="9">
                  <c:v>-4.3719999999999981E-2</c:v>
                </c:pt>
                <c:pt idx="10">
                  <c:v>-4.1719999999999757E-2</c:v>
                </c:pt>
                <c:pt idx="11">
                  <c:v>-2.8787199999999999</c:v>
                </c:pt>
                <c:pt idx="12">
                  <c:v>-2.8787199999999999</c:v>
                </c:pt>
                <c:pt idx="13">
                  <c:v>-2.8787199999999999</c:v>
                </c:pt>
                <c:pt idx="14">
                  <c:v>-2.8787199999999999</c:v>
                </c:pt>
                <c:pt idx="15">
                  <c:v>-2.8787199999999999</c:v>
                </c:pt>
                <c:pt idx="16">
                  <c:v>-2.8787199999999999</c:v>
                </c:pt>
                <c:pt idx="17">
                  <c:v>-2.8787199999999999</c:v>
                </c:pt>
                <c:pt idx="18">
                  <c:v>-2.8787199999999999</c:v>
                </c:pt>
                <c:pt idx="19">
                  <c:v>-2.8787199999999999</c:v>
                </c:pt>
                <c:pt idx="20">
                  <c:v>-2.8787199999999999</c:v>
                </c:pt>
                <c:pt idx="21">
                  <c:v>-2.8787199999999999</c:v>
                </c:pt>
                <c:pt idx="22">
                  <c:v>-2.8787199999999999</c:v>
                </c:pt>
                <c:pt idx="23">
                  <c:v>-2.8787199999999999</c:v>
                </c:pt>
                <c:pt idx="24">
                  <c:v>-2.8787199999999999</c:v>
                </c:pt>
                <c:pt idx="25">
                  <c:v>-2.8787199999999999</c:v>
                </c:pt>
                <c:pt idx="26">
                  <c:v>-2.8787199999999999</c:v>
                </c:pt>
                <c:pt idx="27">
                  <c:v>-2.8787199999999999</c:v>
                </c:pt>
                <c:pt idx="28">
                  <c:v>-2.8787199999999999</c:v>
                </c:pt>
                <c:pt idx="29">
                  <c:v>-2.8787199999999999</c:v>
                </c:pt>
                <c:pt idx="30">
                  <c:v>-2.8787199999999999</c:v>
                </c:pt>
                <c:pt idx="31">
                  <c:v>-2.8787199999999999</c:v>
                </c:pt>
                <c:pt idx="32">
                  <c:v>-2.8787199999999999</c:v>
                </c:pt>
                <c:pt idx="33">
                  <c:v>-2.8787199999999999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'FTA4'!$AE$4:$AH$4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'FTA4'!$F$6:$F$96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'FTA4'!$AE$6:$AE$100</c:f>
              <c:numCache>
                <c:formatCode>0.000</c:formatCode>
                <c:ptCount val="95"/>
                <c:pt idx="0">
                  <c:v>-2.6700000000001722E-3</c:v>
                </c:pt>
                <c:pt idx="1">
                  <c:v>-2.6700000000001722E-3</c:v>
                </c:pt>
                <c:pt idx="2">
                  <c:v>-2.6700000000001722E-3</c:v>
                </c:pt>
                <c:pt idx="3">
                  <c:v>-6.6999999999994841E-4</c:v>
                </c:pt>
                <c:pt idx="4">
                  <c:v>-3.6700000000000621E-3</c:v>
                </c:pt>
                <c:pt idx="5">
                  <c:v>-4.669999999999952E-3</c:v>
                </c:pt>
                <c:pt idx="6">
                  <c:v>-2.6700000000001722E-3</c:v>
                </c:pt>
                <c:pt idx="7">
                  <c:v>-4.669999999999952E-3</c:v>
                </c:pt>
                <c:pt idx="8">
                  <c:v>-3.6700000000000621E-3</c:v>
                </c:pt>
                <c:pt idx="9">
                  <c:v>-3.6700000000000621E-3</c:v>
                </c:pt>
                <c:pt idx="10">
                  <c:v>-1.6699999999998383E-3</c:v>
                </c:pt>
                <c:pt idx="11">
                  <c:v>-2.87967</c:v>
                </c:pt>
                <c:pt idx="12">
                  <c:v>-2.87967</c:v>
                </c:pt>
                <c:pt idx="13">
                  <c:v>-2.87967</c:v>
                </c:pt>
                <c:pt idx="14">
                  <c:v>-2.87967</c:v>
                </c:pt>
                <c:pt idx="15">
                  <c:v>-2.87967</c:v>
                </c:pt>
                <c:pt idx="16">
                  <c:v>-2.87967</c:v>
                </c:pt>
                <c:pt idx="17">
                  <c:v>-2.87967</c:v>
                </c:pt>
                <c:pt idx="18">
                  <c:v>-2.87967</c:v>
                </c:pt>
                <c:pt idx="19">
                  <c:v>-2.87967</c:v>
                </c:pt>
                <c:pt idx="20">
                  <c:v>-2.87967</c:v>
                </c:pt>
                <c:pt idx="21">
                  <c:v>-2.87967</c:v>
                </c:pt>
                <c:pt idx="22">
                  <c:v>-2.87967</c:v>
                </c:pt>
                <c:pt idx="23">
                  <c:v>-2.87967</c:v>
                </c:pt>
                <c:pt idx="24">
                  <c:v>-2.87967</c:v>
                </c:pt>
                <c:pt idx="25">
                  <c:v>-2.87967</c:v>
                </c:pt>
                <c:pt idx="26">
                  <c:v>-2.87967</c:v>
                </c:pt>
                <c:pt idx="27">
                  <c:v>-2.87967</c:v>
                </c:pt>
                <c:pt idx="28">
                  <c:v>-2.87967</c:v>
                </c:pt>
                <c:pt idx="29">
                  <c:v>-2.87967</c:v>
                </c:pt>
                <c:pt idx="30">
                  <c:v>-2.87967</c:v>
                </c:pt>
                <c:pt idx="31">
                  <c:v>-2.87967</c:v>
                </c:pt>
                <c:pt idx="32">
                  <c:v>-2.87967</c:v>
                </c:pt>
                <c:pt idx="33">
                  <c:v>-2.87967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'FTA4'!$AO$4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'FTA4'!$F$6:$F$96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'FTA4'!$AI$6:$AI$100</c:f>
              <c:numCache>
                <c:formatCode>General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'FTA4'!$F$6:$F$96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'FTA4'!$AJ$6:$AJ$100</c:f>
              <c:numCache>
                <c:formatCode>General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'FTA4'!$AW$4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'FTA4'!$F$6:$F$96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'FTA4'!$AQ$6:$AQ$100</c:f>
              <c:numCache>
                <c:formatCode>General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'FTA4'!$F$6:$F$96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'FTA4'!$AR$6:$AR$100</c:f>
              <c:numCache>
                <c:formatCode>General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818744"/>
        <c:axId val="335811688"/>
      </c:lineChart>
      <c:catAx>
        <c:axId val="335818744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11688"/>
        <c:crosses val="autoZero"/>
        <c:auto val="0"/>
        <c:lblAlgn val="ctr"/>
        <c:lblOffset val="100"/>
        <c:noMultiLvlLbl val="0"/>
      </c:catAx>
      <c:valAx>
        <c:axId val="335811688"/>
        <c:scaling>
          <c:orientation val="minMax"/>
        </c:scaling>
        <c:delete val="0"/>
        <c:axPos val="l"/>
        <c:numFmt formatCode="#,##0.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1874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X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'FTA4'!$W$4:$Z$4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'FTA4'!$X$6:$X$100</c:f>
              <c:numCache>
                <c:formatCode>0.0000</c:formatCode>
                <c:ptCount val="95"/>
                <c:pt idx="0">
                  <c:v>-1.5379999999999838E-3</c:v>
                </c:pt>
                <c:pt idx="1">
                  <c:v>-1.6079999999999983E-3</c:v>
                </c:pt>
                <c:pt idx="2">
                  <c:v>-1.5179999999999638E-3</c:v>
                </c:pt>
                <c:pt idx="3">
                  <c:v>-1.5479999999999938E-3</c:v>
                </c:pt>
                <c:pt idx="4">
                  <c:v>-1.6179999999999528E-3</c:v>
                </c:pt>
                <c:pt idx="5">
                  <c:v>-1.6079999999999983E-3</c:v>
                </c:pt>
                <c:pt idx="6">
                  <c:v>-1.5479999999999938E-3</c:v>
                </c:pt>
                <c:pt idx="7">
                  <c:v>-1.5379999999999838E-3</c:v>
                </c:pt>
                <c:pt idx="8">
                  <c:v>-1.6179999999999528E-3</c:v>
                </c:pt>
                <c:pt idx="9">
                  <c:v>-1.5279999999999738E-3</c:v>
                </c:pt>
                <c:pt idx="10">
                  <c:v>-1.5179999999999638E-3</c:v>
                </c:pt>
                <c:pt idx="11">
                  <c:v>-0.34194799999999997</c:v>
                </c:pt>
                <c:pt idx="12">
                  <c:v>-0.34194799999999997</c:v>
                </c:pt>
                <c:pt idx="13">
                  <c:v>-0.34194799999999997</c:v>
                </c:pt>
                <c:pt idx="14">
                  <c:v>-0.34194799999999997</c:v>
                </c:pt>
                <c:pt idx="15">
                  <c:v>-0.34194799999999997</c:v>
                </c:pt>
                <c:pt idx="16">
                  <c:v>-0.34194799999999997</c:v>
                </c:pt>
                <c:pt idx="17">
                  <c:v>-0.34194799999999997</c:v>
                </c:pt>
                <c:pt idx="18">
                  <c:v>-0.34194799999999997</c:v>
                </c:pt>
                <c:pt idx="19">
                  <c:v>-0.34194799999999997</c:v>
                </c:pt>
                <c:pt idx="20">
                  <c:v>-0.34194799999999997</c:v>
                </c:pt>
                <c:pt idx="21">
                  <c:v>-0.34194799999999997</c:v>
                </c:pt>
                <c:pt idx="22">
                  <c:v>-0.34194799999999997</c:v>
                </c:pt>
                <c:pt idx="23">
                  <c:v>-0.34194799999999997</c:v>
                </c:pt>
                <c:pt idx="24">
                  <c:v>-0.34194799999999997</c:v>
                </c:pt>
                <c:pt idx="25">
                  <c:v>-0.34194799999999997</c:v>
                </c:pt>
                <c:pt idx="26">
                  <c:v>-0.34194799999999997</c:v>
                </c:pt>
                <c:pt idx="27">
                  <c:v>-0.34194799999999997</c:v>
                </c:pt>
                <c:pt idx="28">
                  <c:v>-0.34194799999999997</c:v>
                </c:pt>
                <c:pt idx="29">
                  <c:v>-0.34194799999999997</c:v>
                </c:pt>
                <c:pt idx="30">
                  <c:v>-0.34194799999999997</c:v>
                </c:pt>
                <c:pt idx="31">
                  <c:v>-0.34194799999999997</c:v>
                </c:pt>
                <c:pt idx="32">
                  <c:v>-0.34194799999999997</c:v>
                </c:pt>
                <c:pt idx="33">
                  <c:v>-0.34194799999999997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'FTA4'!$AA$4:$AD$4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'FTA4'!$AB$6:$AB$100</c:f>
              <c:numCache>
                <c:formatCode>0.0000</c:formatCode>
                <c:ptCount val="95"/>
                <c:pt idx="0">
                  <c:v>-2.5463999999999987E-2</c:v>
                </c:pt>
                <c:pt idx="1">
                  <c:v>-2.5493999999999961E-2</c:v>
                </c:pt>
                <c:pt idx="2">
                  <c:v>-2.5403999999999982E-2</c:v>
                </c:pt>
                <c:pt idx="3">
                  <c:v>-2.5424000000000002E-2</c:v>
                </c:pt>
                <c:pt idx="4">
                  <c:v>-2.5513999999999981E-2</c:v>
                </c:pt>
                <c:pt idx="5">
                  <c:v>-2.5563999999999976E-2</c:v>
                </c:pt>
                <c:pt idx="6">
                  <c:v>-2.5463999999999987E-2</c:v>
                </c:pt>
                <c:pt idx="7">
                  <c:v>-2.5453999999999977E-2</c:v>
                </c:pt>
                <c:pt idx="8">
                  <c:v>-2.5424000000000002E-2</c:v>
                </c:pt>
                <c:pt idx="9">
                  <c:v>-2.5503999999999971E-2</c:v>
                </c:pt>
                <c:pt idx="10">
                  <c:v>-2.5424000000000002E-2</c:v>
                </c:pt>
                <c:pt idx="11">
                  <c:v>-0.34179399999999999</c:v>
                </c:pt>
                <c:pt idx="12">
                  <c:v>-0.34179399999999999</c:v>
                </c:pt>
                <c:pt idx="13">
                  <c:v>-0.34179399999999999</c:v>
                </c:pt>
                <c:pt idx="14">
                  <c:v>-0.34179399999999999</c:v>
                </c:pt>
                <c:pt idx="15">
                  <c:v>-0.34179399999999999</c:v>
                </c:pt>
                <c:pt idx="16">
                  <c:v>-0.34179399999999999</c:v>
                </c:pt>
                <c:pt idx="17">
                  <c:v>-0.34179399999999999</c:v>
                </c:pt>
                <c:pt idx="18">
                  <c:v>-0.34179399999999999</c:v>
                </c:pt>
                <c:pt idx="19">
                  <c:v>-0.34179399999999999</c:v>
                </c:pt>
                <c:pt idx="20">
                  <c:v>-0.34179399999999999</c:v>
                </c:pt>
                <c:pt idx="21">
                  <c:v>-0.34179399999999999</c:v>
                </c:pt>
                <c:pt idx="22">
                  <c:v>-0.34179399999999999</c:v>
                </c:pt>
                <c:pt idx="23">
                  <c:v>-0.34179399999999999</c:v>
                </c:pt>
                <c:pt idx="24">
                  <c:v>-0.34179399999999999</c:v>
                </c:pt>
                <c:pt idx="25">
                  <c:v>-0.34179399999999999</c:v>
                </c:pt>
                <c:pt idx="26">
                  <c:v>-0.34179399999999999</c:v>
                </c:pt>
                <c:pt idx="27">
                  <c:v>-0.34179399999999999</c:v>
                </c:pt>
                <c:pt idx="28">
                  <c:v>-0.34179399999999999</c:v>
                </c:pt>
                <c:pt idx="29">
                  <c:v>-0.34179399999999999</c:v>
                </c:pt>
                <c:pt idx="30">
                  <c:v>-0.34179399999999999</c:v>
                </c:pt>
                <c:pt idx="31">
                  <c:v>-0.34179399999999999</c:v>
                </c:pt>
                <c:pt idx="32">
                  <c:v>-0.34179399999999999</c:v>
                </c:pt>
                <c:pt idx="33">
                  <c:v>-0.34179399999999999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'FTA4'!$AE$4:$AH$4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'FTA4'!$AF$6:$AF$100</c:f>
              <c:numCache>
                <c:formatCode>0.0000</c:formatCode>
                <c:ptCount val="95"/>
                <c:pt idx="0">
                  <c:v>-3.2013000000000014E-2</c:v>
                </c:pt>
                <c:pt idx="1">
                  <c:v>-3.2153000000000043E-2</c:v>
                </c:pt>
                <c:pt idx="2">
                  <c:v>-3.2063000000000008E-2</c:v>
                </c:pt>
                <c:pt idx="3">
                  <c:v>-3.2073000000000018E-2</c:v>
                </c:pt>
                <c:pt idx="4">
                  <c:v>-3.2103000000000048E-2</c:v>
                </c:pt>
                <c:pt idx="5">
                  <c:v>-3.2023000000000024E-2</c:v>
                </c:pt>
                <c:pt idx="6">
                  <c:v>-3.1973000000000029E-2</c:v>
                </c:pt>
                <c:pt idx="7">
                  <c:v>-3.2113000000000003E-2</c:v>
                </c:pt>
                <c:pt idx="8">
                  <c:v>-3.2083000000000028E-2</c:v>
                </c:pt>
                <c:pt idx="9">
                  <c:v>-3.2093000000000038E-2</c:v>
                </c:pt>
                <c:pt idx="10">
                  <c:v>-3.1942999999999999E-2</c:v>
                </c:pt>
                <c:pt idx="11">
                  <c:v>-0.34108300000000003</c:v>
                </c:pt>
                <c:pt idx="12">
                  <c:v>-0.34108300000000003</c:v>
                </c:pt>
                <c:pt idx="13">
                  <c:v>-0.34108300000000003</c:v>
                </c:pt>
                <c:pt idx="14">
                  <c:v>-0.34108300000000003</c:v>
                </c:pt>
                <c:pt idx="15">
                  <c:v>-0.34108300000000003</c:v>
                </c:pt>
                <c:pt idx="16">
                  <c:v>-0.34108300000000003</c:v>
                </c:pt>
                <c:pt idx="17">
                  <c:v>-0.34108300000000003</c:v>
                </c:pt>
                <c:pt idx="18">
                  <c:v>-0.34108300000000003</c:v>
                </c:pt>
                <c:pt idx="19">
                  <c:v>-0.34108300000000003</c:v>
                </c:pt>
                <c:pt idx="20">
                  <c:v>-0.34108300000000003</c:v>
                </c:pt>
                <c:pt idx="21">
                  <c:v>-0.34108300000000003</c:v>
                </c:pt>
                <c:pt idx="22">
                  <c:v>-0.34108300000000003</c:v>
                </c:pt>
                <c:pt idx="23">
                  <c:v>-0.34108300000000003</c:v>
                </c:pt>
                <c:pt idx="24">
                  <c:v>-0.34108300000000003</c:v>
                </c:pt>
                <c:pt idx="25">
                  <c:v>-0.34108300000000003</c:v>
                </c:pt>
                <c:pt idx="26">
                  <c:v>-0.34108300000000003</c:v>
                </c:pt>
                <c:pt idx="27">
                  <c:v>-0.34108300000000003</c:v>
                </c:pt>
                <c:pt idx="28">
                  <c:v>-0.34108300000000003</c:v>
                </c:pt>
                <c:pt idx="29">
                  <c:v>-0.34108300000000003</c:v>
                </c:pt>
                <c:pt idx="30">
                  <c:v>-0.34108300000000003</c:v>
                </c:pt>
                <c:pt idx="31">
                  <c:v>-0.34108300000000003</c:v>
                </c:pt>
                <c:pt idx="32">
                  <c:v>-0.34108300000000003</c:v>
                </c:pt>
                <c:pt idx="33">
                  <c:v>-0.34108300000000003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'FTA4'!$AO$4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'FTA4'!$AW$4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815608"/>
        <c:axId val="335817960"/>
      </c:lineChart>
      <c:catAx>
        <c:axId val="335815608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17960"/>
        <c:crosses val="autoZero"/>
        <c:auto val="0"/>
        <c:lblAlgn val="ctr"/>
        <c:lblOffset val="100"/>
        <c:noMultiLvlLbl val="0"/>
      </c:catAx>
      <c:valAx>
        <c:axId val="335817960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15608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y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'FTA4'!$W$4:$Z$4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'FTA4'!$Y$6:$Y$100</c:f>
              <c:numCache>
                <c:formatCode>0.0000</c:formatCode>
                <c:ptCount val="95"/>
                <c:pt idx="0">
                  <c:v>6.6199999999999593E-4</c:v>
                </c:pt>
                <c:pt idx="1">
                  <c:v>5.9199999999998143E-4</c:v>
                </c:pt>
                <c:pt idx="2">
                  <c:v>6.8200000000001593E-4</c:v>
                </c:pt>
                <c:pt idx="3">
                  <c:v>6.9200000000002593E-4</c:v>
                </c:pt>
                <c:pt idx="4">
                  <c:v>6.1200000000000143E-4</c:v>
                </c:pt>
                <c:pt idx="5">
                  <c:v>4.0200000000001346E-4</c:v>
                </c:pt>
                <c:pt idx="6">
                  <c:v>5.2200000000002245E-4</c:v>
                </c:pt>
                <c:pt idx="7">
                  <c:v>5.7200000000001694E-4</c:v>
                </c:pt>
                <c:pt idx="8">
                  <c:v>6.3200000000002143E-4</c:v>
                </c:pt>
                <c:pt idx="9">
                  <c:v>7.0199999999998042E-4</c:v>
                </c:pt>
                <c:pt idx="10">
                  <c:v>6.8200000000001593E-4</c:v>
                </c:pt>
                <c:pt idx="11">
                  <c:v>-0.35478799999999999</c:v>
                </c:pt>
                <c:pt idx="12">
                  <c:v>-0.35478799999999999</c:v>
                </c:pt>
                <c:pt idx="13">
                  <c:v>-0.35478799999999999</c:v>
                </c:pt>
                <c:pt idx="14">
                  <c:v>-0.35478799999999999</c:v>
                </c:pt>
                <c:pt idx="15">
                  <c:v>-0.35478799999999999</c:v>
                </c:pt>
                <c:pt idx="16">
                  <c:v>-0.35478799999999999</c:v>
                </c:pt>
                <c:pt idx="17">
                  <c:v>-0.35478799999999999</c:v>
                </c:pt>
                <c:pt idx="18">
                  <c:v>-0.35478799999999999</c:v>
                </c:pt>
                <c:pt idx="19">
                  <c:v>-0.35478799999999999</c:v>
                </c:pt>
                <c:pt idx="20">
                  <c:v>-0.35478799999999999</c:v>
                </c:pt>
                <c:pt idx="21">
                  <c:v>-0.35478799999999999</c:v>
                </c:pt>
                <c:pt idx="22">
                  <c:v>-0.35478799999999999</c:v>
                </c:pt>
                <c:pt idx="23">
                  <c:v>-0.35478799999999999</c:v>
                </c:pt>
                <c:pt idx="24">
                  <c:v>-0.35478799999999999</c:v>
                </c:pt>
                <c:pt idx="25">
                  <c:v>-0.35478799999999999</c:v>
                </c:pt>
                <c:pt idx="26">
                  <c:v>-0.35478799999999999</c:v>
                </c:pt>
                <c:pt idx="27">
                  <c:v>-0.35478799999999999</c:v>
                </c:pt>
                <c:pt idx="28">
                  <c:v>-0.35478799999999999</c:v>
                </c:pt>
                <c:pt idx="29">
                  <c:v>-0.35478799999999999</c:v>
                </c:pt>
                <c:pt idx="30">
                  <c:v>-0.35478799999999999</c:v>
                </c:pt>
                <c:pt idx="31">
                  <c:v>-0.35478799999999999</c:v>
                </c:pt>
                <c:pt idx="32">
                  <c:v>-0.35478799999999999</c:v>
                </c:pt>
                <c:pt idx="33">
                  <c:v>-0.35478799999999999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'FTA4'!$AA$4:$AD$4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'FTA4'!$AC$6:$AC$100</c:f>
              <c:numCache>
                <c:formatCode>0.0000</c:formatCode>
                <c:ptCount val="95"/>
                <c:pt idx="0">
                  <c:v>-2.2243999999999986E-2</c:v>
                </c:pt>
                <c:pt idx="1">
                  <c:v>-2.229399999999998E-2</c:v>
                </c:pt>
                <c:pt idx="2">
                  <c:v>-2.2183999999999982E-2</c:v>
                </c:pt>
                <c:pt idx="3">
                  <c:v>-2.2193999999999992E-2</c:v>
                </c:pt>
                <c:pt idx="4">
                  <c:v>-2.2363999999999995E-2</c:v>
                </c:pt>
                <c:pt idx="5">
                  <c:v>-2.228399999999997E-2</c:v>
                </c:pt>
                <c:pt idx="6">
                  <c:v>-2.2274000000000016E-2</c:v>
                </c:pt>
                <c:pt idx="7">
                  <c:v>-2.2264000000000006E-2</c:v>
                </c:pt>
                <c:pt idx="8">
                  <c:v>-2.2253999999999996E-2</c:v>
                </c:pt>
                <c:pt idx="9">
                  <c:v>-2.2314000000000001E-2</c:v>
                </c:pt>
                <c:pt idx="10">
                  <c:v>-2.2204000000000002E-2</c:v>
                </c:pt>
                <c:pt idx="11">
                  <c:v>-0.35528399999999999</c:v>
                </c:pt>
                <c:pt idx="12">
                  <c:v>-0.35528399999999999</c:v>
                </c:pt>
                <c:pt idx="13">
                  <c:v>-0.35528399999999999</c:v>
                </c:pt>
                <c:pt idx="14">
                  <c:v>-0.35528399999999999</c:v>
                </c:pt>
                <c:pt idx="15">
                  <c:v>-0.35528399999999999</c:v>
                </c:pt>
                <c:pt idx="16">
                  <c:v>-0.35528399999999999</c:v>
                </c:pt>
                <c:pt idx="17">
                  <c:v>-0.35528399999999999</c:v>
                </c:pt>
                <c:pt idx="18">
                  <c:v>-0.35528399999999999</c:v>
                </c:pt>
                <c:pt idx="19">
                  <c:v>-0.35528399999999999</c:v>
                </c:pt>
                <c:pt idx="20">
                  <c:v>-0.35528399999999999</c:v>
                </c:pt>
                <c:pt idx="21">
                  <c:v>-0.35528399999999999</c:v>
                </c:pt>
                <c:pt idx="22">
                  <c:v>-0.35528399999999999</c:v>
                </c:pt>
                <c:pt idx="23">
                  <c:v>-0.35528399999999999</c:v>
                </c:pt>
                <c:pt idx="24">
                  <c:v>-0.35528399999999999</c:v>
                </c:pt>
                <c:pt idx="25">
                  <c:v>-0.35528399999999999</c:v>
                </c:pt>
                <c:pt idx="26">
                  <c:v>-0.35528399999999999</c:v>
                </c:pt>
                <c:pt idx="27">
                  <c:v>-0.35528399999999999</c:v>
                </c:pt>
                <c:pt idx="28">
                  <c:v>-0.35528399999999999</c:v>
                </c:pt>
                <c:pt idx="29">
                  <c:v>-0.35528399999999999</c:v>
                </c:pt>
                <c:pt idx="30">
                  <c:v>-0.35528399999999999</c:v>
                </c:pt>
                <c:pt idx="31">
                  <c:v>-0.35528399999999999</c:v>
                </c:pt>
                <c:pt idx="32">
                  <c:v>-0.35528399999999999</c:v>
                </c:pt>
                <c:pt idx="33">
                  <c:v>-0.35528399999999999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'FTA4'!$AE$4:$AH$4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'FTA4'!$AG$6:$AG$100</c:f>
              <c:numCache>
                <c:formatCode>0.0000</c:formatCode>
                <c:ptCount val="95"/>
                <c:pt idx="0">
                  <c:v>-3.0292000000000041E-2</c:v>
                </c:pt>
                <c:pt idx="1">
                  <c:v>-3.0352000000000046E-2</c:v>
                </c:pt>
                <c:pt idx="2">
                  <c:v>-3.0252000000000001E-2</c:v>
                </c:pt>
                <c:pt idx="3">
                  <c:v>-3.0352000000000046E-2</c:v>
                </c:pt>
                <c:pt idx="4">
                  <c:v>-3.0452000000000035E-2</c:v>
                </c:pt>
                <c:pt idx="5">
                  <c:v>-3.0312000000000006E-2</c:v>
                </c:pt>
                <c:pt idx="6">
                  <c:v>-3.0312000000000006E-2</c:v>
                </c:pt>
                <c:pt idx="7">
                  <c:v>-3.0332000000000026E-2</c:v>
                </c:pt>
                <c:pt idx="8">
                  <c:v>-3.038200000000002E-2</c:v>
                </c:pt>
                <c:pt idx="9">
                  <c:v>-3.0302000000000051E-2</c:v>
                </c:pt>
                <c:pt idx="10">
                  <c:v>-3.0282000000000031E-2</c:v>
                </c:pt>
                <c:pt idx="11">
                  <c:v>-0.35443200000000002</c:v>
                </c:pt>
                <c:pt idx="12">
                  <c:v>-0.35443200000000002</c:v>
                </c:pt>
                <c:pt idx="13">
                  <c:v>-0.35443200000000002</c:v>
                </c:pt>
                <c:pt idx="14">
                  <c:v>-0.35443200000000002</c:v>
                </c:pt>
                <c:pt idx="15">
                  <c:v>-0.35443200000000002</c:v>
                </c:pt>
                <c:pt idx="16">
                  <c:v>-0.35443200000000002</c:v>
                </c:pt>
                <c:pt idx="17">
                  <c:v>-0.35443200000000002</c:v>
                </c:pt>
                <c:pt idx="18">
                  <c:v>-0.35443200000000002</c:v>
                </c:pt>
                <c:pt idx="19">
                  <c:v>-0.35443200000000002</c:v>
                </c:pt>
                <c:pt idx="20">
                  <c:v>-0.35443200000000002</c:v>
                </c:pt>
                <c:pt idx="21">
                  <c:v>-0.35443200000000002</c:v>
                </c:pt>
                <c:pt idx="22">
                  <c:v>-0.35443200000000002</c:v>
                </c:pt>
                <c:pt idx="23">
                  <c:v>-0.35443200000000002</c:v>
                </c:pt>
                <c:pt idx="24">
                  <c:v>-0.35443200000000002</c:v>
                </c:pt>
                <c:pt idx="25">
                  <c:v>-0.35443200000000002</c:v>
                </c:pt>
                <c:pt idx="26">
                  <c:v>-0.35443200000000002</c:v>
                </c:pt>
                <c:pt idx="27">
                  <c:v>-0.35443200000000002</c:v>
                </c:pt>
                <c:pt idx="28">
                  <c:v>-0.35443200000000002</c:v>
                </c:pt>
                <c:pt idx="29">
                  <c:v>-0.35443200000000002</c:v>
                </c:pt>
                <c:pt idx="30">
                  <c:v>-0.35443200000000002</c:v>
                </c:pt>
                <c:pt idx="31">
                  <c:v>-0.35443200000000002</c:v>
                </c:pt>
                <c:pt idx="32">
                  <c:v>-0.35443200000000002</c:v>
                </c:pt>
                <c:pt idx="33">
                  <c:v>-0.35443200000000002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'FTA4'!$AO$4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'FTA4'!$AW$4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'FTA4'!$F$6:$F$100</c:f>
              <c:strCache>
                <c:ptCount val="11"/>
                <c:pt idx="0">
                  <c:v>2021/02/16</c:v>
                </c:pt>
                <c:pt idx="1">
                  <c:v>2021/02/17</c:v>
                </c:pt>
                <c:pt idx="2">
                  <c:v>2021/02/18</c:v>
                </c:pt>
                <c:pt idx="3">
                  <c:v>2021/02/19</c:v>
                </c:pt>
                <c:pt idx="4">
                  <c:v>2021/02/20</c:v>
                </c:pt>
                <c:pt idx="5">
                  <c:v>2021/02/21</c:v>
                </c:pt>
                <c:pt idx="6">
                  <c:v>2021/02/22</c:v>
                </c:pt>
                <c:pt idx="7">
                  <c:v>2021/02/23</c:v>
                </c:pt>
                <c:pt idx="8">
                  <c:v>2021/02/24</c:v>
                </c:pt>
                <c:pt idx="9">
                  <c:v>2021/02/25</c:v>
                </c:pt>
                <c:pt idx="10">
                  <c:v>2021/02/26</c:v>
                </c:pt>
              </c:strCache>
            </c:strRef>
          </c:cat>
          <c:val>
            <c:numRef>
              <c:f>'FTA4'!$AT$6:$AT$100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826192"/>
        <c:axId val="335830504"/>
      </c:lineChart>
      <c:catAx>
        <c:axId val="335826192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30504"/>
        <c:crosses val="autoZero"/>
        <c:auto val="0"/>
        <c:lblAlgn val="ctr"/>
        <c:lblOffset val="100"/>
        <c:noMultiLvlLbl val="0"/>
      </c:catAx>
      <c:valAx>
        <c:axId val="335830504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26192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</a:rPr>
              <a:t>光束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'FTD9'!$W$4:$Z$4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'FTD9'!$Z$6:$Z$100</c:f>
              <c:numCache>
                <c:formatCode>0.00%</c:formatCode>
                <c:ptCount val="95"/>
                <c:pt idx="0">
                  <c:v>-8.4569554868099139E-3</c:v>
                </c:pt>
                <c:pt idx="1">
                  <c:v>-1.127725027111337E-2</c:v>
                </c:pt>
                <c:pt idx="2">
                  <c:v>-1.4041697633945693E-2</c:v>
                </c:pt>
                <c:pt idx="3">
                  <c:v>-1.0886318320813992E-2</c:v>
                </c:pt>
                <c:pt idx="4">
                  <c:v>-1.1919495618034071E-2</c:v>
                </c:pt>
                <c:pt idx="5">
                  <c:v>-1.5493730592200938E-2</c:v>
                </c:pt>
                <c:pt idx="6">
                  <c:v>-1.2896825493782682E-2</c:v>
                </c:pt>
                <c:pt idx="7">
                  <c:v>-1.2003266750241104E-2</c:v>
                </c:pt>
                <c:pt idx="8">
                  <c:v>-1.1919495618034071E-2</c:v>
                </c:pt>
                <c:pt idx="9">
                  <c:v>-1.116555542817077E-2</c:v>
                </c:pt>
                <c:pt idx="10">
                  <c:v>-1.3231910022610927E-2</c:v>
                </c:pt>
                <c:pt idx="11">
                  <c:v>-1.5633349145879105E-2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'FTD9'!$AA$4:$AD$4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'FTD9'!$AD$6:$AD$100</c:f>
              <c:numCache>
                <c:formatCode>0.00%</c:formatCode>
                <c:ptCount val="95"/>
                <c:pt idx="0">
                  <c:v>-1.1431709020935155E-2</c:v>
                </c:pt>
                <c:pt idx="1">
                  <c:v>-1.4659979927615807E-2</c:v>
                </c:pt>
                <c:pt idx="2">
                  <c:v>-1.7198449358509893E-2</c:v>
                </c:pt>
                <c:pt idx="3">
                  <c:v>-1.3721849920546259E-2</c:v>
                </c:pt>
                <c:pt idx="4">
                  <c:v>-1.4935900517930367E-2</c:v>
                </c:pt>
                <c:pt idx="5">
                  <c:v>-1.7143265240446959E-2</c:v>
                </c:pt>
                <c:pt idx="6">
                  <c:v>-1.7501962007856031E-2</c:v>
                </c:pt>
                <c:pt idx="7">
                  <c:v>-1.5956806702094206E-2</c:v>
                </c:pt>
                <c:pt idx="8">
                  <c:v>-1.5129044931150526E-2</c:v>
                </c:pt>
                <c:pt idx="9">
                  <c:v>-1.4687571986647163E-2</c:v>
                </c:pt>
                <c:pt idx="10">
                  <c:v>-1.6232727292408766E-2</c:v>
                </c:pt>
                <c:pt idx="11">
                  <c:v>-1.8412499955893891E-2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'FTD9'!$AE$4:$AH$4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'FTD9'!$AH$6:$AH$100</c:f>
              <c:numCache>
                <c:formatCode>0.00%</c:formatCode>
                <c:ptCount val="95"/>
                <c:pt idx="0">
                  <c:v>-1.5395732743394008E-3</c:v>
                </c:pt>
                <c:pt idx="1">
                  <c:v>-4.197136328775608E-3</c:v>
                </c:pt>
                <c:pt idx="2">
                  <c:v>-7.4141863420404963E-3</c:v>
                </c:pt>
                <c:pt idx="3">
                  <c:v>-3.4418289343568498E-3</c:v>
                </c:pt>
                <c:pt idx="4">
                  <c:v>-5.0923154629015643E-3</c:v>
                </c:pt>
                <c:pt idx="5">
                  <c:v>-7.3582376461576171E-3</c:v>
                </c:pt>
                <c:pt idx="6">
                  <c:v>-5.2042128546672117E-3</c:v>
                </c:pt>
                <c:pt idx="7">
                  <c:v>-4.4489054602484535E-3</c:v>
                </c:pt>
                <c:pt idx="8">
                  <c:v>-4.2810593725998158E-3</c:v>
                </c:pt>
                <c:pt idx="9">
                  <c:v>-3.8054954575955646E-3</c:v>
                </c:pt>
                <c:pt idx="10">
                  <c:v>-5.95952024908597E-3</c:v>
                </c:pt>
                <c:pt idx="11">
                  <c:v>-7.2463402543919697E-3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'FTD9'!$AO$4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'FTD9'!$AO$6:$AO$100</c:f>
              <c:numCache>
                <c:formatCode>0.00%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'FTD9'!$AP$6:$AP$100</c:f>
              <c:numCache>
                <c:formatCode>0.00%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'FTD9'!$AW$4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'FTD9'!$AW$6:$AW$100</c:f>
              <c:numCache>
                <c:formatCode>0.00%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'FTD9'!$AX$6:$AX$100</c:f>
              <c:numCache>
                <c:formatCode>0.00%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830112"/>
        <c:axId val="335830896"/>
      </c:lineChart>
      <c:catAx>
        <c:axId val="335830112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30896"/>
        <c:crosses val="autoZero"/>
        <c:auto val="0"/>
        <c:lblAlgn val="ctr"/>
        <c:lblOffset val="100"/>
        <c:noMultiLvlLbl val="0"/>
      </c:catAx>
      <c:valAx>
        <c:axId val="335830896"/>
        <c:scaling>
          <c:orientation val="minMax"/>
          <c:max val="3.0000000000000006E-2"/>
          <c:min val="-3.0000000000000006E-2"/>
        </c:scaling>
        <c:delete val="0"/>
        <c:axPos val="l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30112"/>
        <c:crosses val="autoZero"/>
        <c:crossBetween val="between"/>
        <c:majorUnit val="1.0000000000000002E-2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VF</a:t>
            </a: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'FTD9'!$W$4:$Z$4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'FTD9'!$F$6:$F$96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'FTD9'!$W$6:$W$100</c:f>
              <c:numCache>
                <c:formatCode>0.000</c:formatCode>
                <c:ptCount val="95"/>
                <c:pt idx="0">
                  <c:v>9.6000000000007191E-4</c:v>
                </c:pt>
                <c:pt idx="1">
                  <c:v>-1.0399999999997078E-3</c:v>
                </c:pt>
                <c:pt idx="2">
                  <c:v>-1.0399999999997078E-3</c:v>
                </c:pt>
                <c:pt idx="3">
                  <c:v>-3.9999999999817959E-5</c:v>
                </c:pt>
                <c:pt idx="4">
                  <c:v>9.6000000000007191E-4</c:v>
                </c:pt>
                <c:pt idx="5">
                  <c:v>-1.0399999999997078E-3</c:v>
                </c:pt>
                <c:pt idx="6">
                  <c:v>-3.9999999999817959E-5</c:v>
                </c:pt>
                <c:pt idx="7">
                  <c:v>-3.9999999999817959E-5</c:v>
                </c:pt>
                <c:pt idx="8">
                  <c:v>-1.0399999999997078E-3</c:v>
                </c:pt>
                <c:pt idx="9">
                  <c:v>-3.9999999999817959E-5</c:v>
                </c:pt>
                <c:pt idx="10">
                  <c:v>-1.0399999999997078E-3</c:v>
                </c:pt>
                <c:pt idx="11">
                  <c:v>-3.9999999999817959E-5</c:v>
                </c:pt>
                <c:pt idx="12">
                  <c:v>-2.8420399999999999</c:v>
                </c:pt>
                <c:pt idx="13">
                  <c:v>-2.8420399999999999</c:v>
                </c:pt>
                <c:pt idx="14">
                  <c:v>-2.8420399999999999</c:v>
                </c:pt>
                <c:pt idx="15">
                  <c:v>-2.8420399999999999</c:v>
                </c:pt>
                <c:pt idx="16">
                  <c:v>-2.8420399999999999</c:v>
                </c:pt>
                <c:pt idx="17">
                  <c:v>-2.8420399999999999</c:v>
                </c:pt>
                <c:pt idx="18">
                  <c:v>-2.8420399999999999</c:v>
                </c:pt>
                <c:pt idx="19">
                  <c:v>-2.8420399999999999</c:v>
                </c:pt>
                <c:pt idx="20">
                  <c:v>-2.8420399999999999</c:v>
                </c:pt>
                <c:pt idx="21">
                  <c:v>-2.8420399999999999</c:v>
                </c:pt>
                <c:pt idx="22">
                  <c:v>-2.8420399999999999</c:v>
                </c:pt>
                <c:pt idx="23">
                  <c:v>-2.8420399999999999</c:v>
                </c:pt>
                <c:pt idx="24">
                  <c:v>-2.8420399999999999</c:v>
                </c:pt>
                <c:pt idx="25">
                  <c:v>-2.8420399999999999</c:v>
                </c:pt>
                <c:pt idx="26">
                  <c:v>-2.8420399999999999</c:v>
                </c:pt>
                <c:pt idx="27">
                  <c:v>-2.8420399999999999</c:v>
                </c:pt>
                <c:pt idx="28">
                  <c:v>-2.8420399999999999</c:v>
                </c:pt>
                <c:pt idx="29">
                  <c:v>-2.8420399999999999</c:v>
                </c:pt>
                <c:pt idx="30">
                  <c:v>-2.8420399999999999</c:v>
                </c:pt>
                <c:pt idx="31">
                  <c:v>-2.8420399999999999</c:v>
                </c:pt>
                <c:pt idx="32">
                  <c:v>-2.8420399999999999</c:v>
                </c:pt>
                <c:pt idx="33">
                  <c:v>-2.8420399999999999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'FTD9'!$AA$4:$AD$4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'FTD9'!$F$6:$F$96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'FTD9'!$AA$6:$AA$100</c:f>
              <c:numCache>
                <c:formatCode>0.000</c:formatCode>
                <c:ptCount val="95"/>
                <c:pt idx="0">
                  <c:v>1.1620000000000186E-2</c:v>
                </c:pt>
                <c:pt idx="1">
                  <c:v>9.620000000000406E-3</c:v>
                </c:pt>
                <c:pt idx="2">
                  <c:v>1.0620000000000296E-2</c:v>
                </c:pt>
                <c:pt idx="3">
                  <c:v>1.1620000000000186E-2</c:v>
                </c:pt>
                <c:pt idx="4">
                  <c:v>1.1620000000000186E-2</c:v>
                </c:pt>
                <c:pt idx="5">
                  <c:v>9.620000000000406E-3</c:v>
                </c:pt>
                <c:pt idx="6">
                  <c:v>1.0620000000000296E-2</c:v>
                </c:pt>
                <c:pt idx="7">
                  <c:v>1.0620000000000296E-2</c:v>
                </c:pt>
                <c:pt idx="8">
                  <c:v>1.0620000000000296E-2</c:v>
                </c:pt>
                <c:pt idx="9">
                  <c:v>1.0620000000000296E-2</c:v>
                </c:pt>
                <c:pt idx="10">
                  <c:v>1.0620000000000296E-2</c:v>
                </c:pt>
                <c:pt idx="11">
                  <c:v>1.0620000000000296E-2</c:v>
                </c:pt>
                <c:pt idx="12">
                  <c:v>-2.8273799999999998</c:v>
                </c:pt>
                <c:pt idx="13">
                  <c:v>-2.8273799999999998</c:v>
                </c:pt>
                <c:pt idx="14">
                  <c:v>-2.8273799999999998</c:v>
                </c:pt>
                <c:pt idx="15">
                  <c:v>-2.8273799999999998</c:v>
                </c:pt>
                <c:pt idx="16">
                  <c:v>-2.8273799999999998</c:v>
                </c:pt>
                <c:pt idx="17">
                  <c:v>-2.8273799999999998</c:v>
                </c:pt>
                <c:pt idx="18">
                  <c:v>-2.8273799999999998</c:v>
                </c:pt>
                <c:pt idx="19">
                  <c:v>-2.8273799999999998</c:v>
                </c:pt>
                <c:pt idx="20">
                  <c:v>-2.8273799999999998</c:v>
                </c:pt>
                <c:pt idx="21">
                  <c:v>-2.8273799999999998</c:v>
                </c:pt>
                <c:pt idx="22">
                  <c:v>-2.8273799999999998</c:v>
                </c:pt>
                <c:pt idx="23">
                  <c:v>-2.8273799999999998</c:v>
                </c:pt>
                <c:pt idx="24">
                  <c:v>-2.8273799999999998</c:v>
                </c:pt>
                <c:pt idx="25">
                  <c:v>-2.8273799999999998</c:v>
                </c:pt>
                <c:pt idx="26">
                  <c:v>-2.8273799999999998</c:v>
                </c:pt>
                <c:pt idx="27">
                  <c:v>-2.8273799999999998</c:v>
                </c:pt>
                <c:pt idx="28">
                  <c:v>-2.8273799999999998</c:v>
                </c:pt>
                <c:pt idx="29">
                  <c:v>-2.8273799999999998</c:v>
                </c:pt>
                <c:pt idx="30">
                  <c:v>-2.8273799999999998</c:v>
                </c:pt>
                <c:pt idx="31">
                  <c:v>-2.8273799999999998</c:v>
                </c:pt>
                <c:pt idx="32">
                  <c:v>-2.8273799999999998</c:v>
                </c:pt>
                <c:pt idx="33">
                  <c:v>-2.8273799999999998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'FTD9'!$AE$4:$AH$4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'FTD9'!$F$6:$F$96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'FTD9'!$AE$6:$AE$100</c:f>
              <c:numCache>
                <c:formatCode>0.000</c:formatCode>
                <c:ptCount val="95"/>
                <c:pt idx="0">
                  <c:v>3.7819999999999965E-2</c:v>
                </c:pt>
                <c:pt idx="1">
                  <c:v>3.4820000000000295E-2</c:v>
                </c:pt>
                <c:pt idx="2">
                  <c:v>3.4820000000000295E-2</c:v>
                </c:pt>
                <c:pt idx="3">
                  <c:v>3.7819999999999965E-2</c:v>
                </c:pt>
                <c:pt idx="4">
                  <c:v>3.6820000000000075E-2</c:v>
                </c:pt>
                <c:pt idx="5">
                  <c:v>3.3819999999999961E-2</c:v>
                </c:pt>
                <c:pt idx="6">
                  <c:v>3.6820000000000075E-2</c:v>
                </c:pt>
                <c:pt idx="7">
                  <c:v>3.5820000000000185E-2</c:v>
                </c:pt>
                <c:pt idx="8">
                  <c:v>3.4820000000000295E-2</c:v>
                </c:pt>
                <c:pt idx="9">
                  <c:v>3.6820000000000075E-2</c:v>
                </c:pt>
                <c:pt idx="10">
                  <c:v>3.3819999999999961E-2</c:v>
                </c:pt>
                <c:pt idx="11">
                  <c:v>3.5820000000000185E-2</c:v>
                </c:pt>
                <c:pt idx="12">
                  <c:v>-2.8431799999999998</c:v>
                </c:pt>
                <c:pt idx="13">
                  <c:v>-2.8431799999999998</c:v>
                </c:pt>
                <c:pt idx="14">
                  <c:v>-2.8431799999999998</c:v>
                </c:pt>
                <c:pt idx="15">
                  <c:v>-2.8431799999999998</c:v>
                </c:pt>
                <c:pt idx="16">
                  <c:v>-2.8431799999999998</c:v>
                </c:pt>
                <c:pt idx="17">
                  <c:v>-2.8431799999999998</c:v>
                </c:pt>
                <c:pt idx="18">
                  <c:v>-2.8431799999999998</c:v>
                </c:pt>
                <c:pt idx="19">
                  <c:v>-2.8431799999999998</c:v>
                </c:pt>
                <c:pt idx="20">
                  <c:v>-2.8431799999999998</c:v>
                </c:pt>
                <c:pt idx="21">
                  <c:v>-2.8431799999999998</c:v>
                </c:pt>
                <c:pt idx="22">
                  <c:v>-2.8431799999999998</c:v>
                </c:pt>
                <c:pt idx="23">
                  <c:v>-2.8431799999999998</c:v>
                </c:pt>
                <c:pt idx="24">
                  <c:v>-2.8431799999999998</c:v>
                </c:pt>
                <c:pt idx="25">
                  <c:v>-2.8431799999999998</c:v>
                </c:pt>
                <c:pt idx="26">
                  <c:v>-2.8431799999999998</c:v>
                </c:pt>
                <c:pt idx="27">
                  <c:v>-2.8431799999999998</c:v>
                </c:pt>
                <c:pt idx="28">
                  <c:v>-2.8431799999999998</c:v>
                </c:pt>
                <c:pt idx="29">
                  <c:v>-2.8431799999999998</c:v>
                </c:pt>
                <c:pt idx="30">
                  <c:v>-2.8431799999999998</c:v>
                </c:pt>
                <c:pt idx="31">
                  <c:v>-2.8431799999999998</c:v>
                </c:pt>
                <c:pt idx="32">
                  <c:v>-2.8431799999999998</c:v>
                </c:pt>
                <c:pt idx="33">
                  <c:v>-2.8431799999999998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'FTD9'!$AO$4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'FTD9'!$F$6:$F$96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'FTD9'!$AI$6:$AI$100</c:f>
              <c:numCache>
                <c:formatCode>General</c:formatCode>
                <c:ptCount val="95"/>
                <c:pt idx="0">
                  <c:v>2.5000000000000001E-2</c:v>
                </c:pt>
                <c:pt idx="1">
                  <c:v>2.5000000000000001E-2</c:v>
                </c:pt>
                <c:pt idx="2">
                  <c:v>2.5000000000000001E-2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2.5000000000000001E-2</c:v>
                </c:pt>
                <c:pt idx="6">
                  <c:v>2.5000000000000001E-2</c:v>
                </c:pt>
                <c:pt idx="7">
                  <c:v>2.5000000000000001E-2</c:v>
                </c:pt>
                <c:pt idx="8">
                  <c:v>2.5000000000000001E-2</c:v>
                </c:pt>
                <c:pt idx="9">
                  <c:v>2.5000000000000001E-2</c:v>
                </c:pt>
                <c:pt idx="10">
                  <c:v>2.5000000000000001E-2</c:v>
                </c:pt>
                <c:pt idx="11">
                  <c:v>2.5000000000000001E-2</c:v>
                </c:pt>
                <c:pt idx="12">
                  <c:v>2.5000000000000001E-2</c:v>
                </c:pt>
                <c:pt idx="13">
                  <c:v>2.5000000000000001E-2</c:v>
                </c:pt>
                <c:pt idx="14">
                  <c:v>2.5000000000000001E-2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2.5000000000000001E-2</c:v>
                </c:pt>
                <c:pt idx="18">
                  <c:v>2.5000000000000001E-2</c:v>
                </c:pt>
                <c:pt idx="19">
                  <c:v>2.5000000000000001E-2</c:v>
                </c:pt>
                <c:pt idx="20">
                  <c:v>2.5000000000000001E-2</c:v>
                </c:pt>
                <c:pt idx="21">
                  <c:v>2.5000000000000001E-2</c:v>
                </c:pt>
                <c:pt idx="22">
                  <c:v>2.5000000000000001E-2</c:v>
                </c:pt>
                <c:pt idx="23">
                  <c:v>2.5000000000000001E-2</c:v>
                </c:pt>
                <c:pt idx="24">
                  <c:v>2.5000000000000001E-2</c:v>
                </c:pt>
                <c:pt idx="25">
                  <c:v>2.5000000000000001E-2</c:v>
                </c:pt>
                <c:pt idx="26">
                  <c:v>2.5000000000000001E-2</c:v>
                </c:pt>
                <c:pt idx="27">
                  <c:v>2.5000000000000001E-2</c:v>
                </c:pt>
                <c:pt idx="28">
                  <c:v>2.5000000000000001E-2</c:v>
                </c:pt>
                <c:pt idx="29">
                  <c:v>2.5000000000000001E-2</c:v>
                </c:pt>
                <c:pt idx="30">
                  <c:v>2.5000000000000001E-2</c:v>
                </c:pt>
                <c:pt idx="31">
                  <c:v>2.5000000000000001E-2</c:v>
                </c:pt>
                <c:pt idx="32">
                  <c:v>2.5000000000000001E-2</c:v>
                </c:pt>
                <c:pt idx="33">
                  <c:v>2.5000000000000001E-2</c:v>
                </c:pt>
                <c:pt idx="34">
                  <c:v>2.5000000000000001E-2</c:v>
                </c:pt>
                <c:pt idx="35">
                  <c:v>2.5000000000000001E-2</c:v>
                </c:pt>
                <c:pt idx="36">
                  <c:v>2.5000000000000001E-2</c:v>
                </c:pt>
                <c:pt idx="37">
                  <c:v>2.5000000000000001E-2</c:v>
                </c:pt>
                <c:pt idx="38">
                  <c:v>2.5000000000000001E-2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2.5000000000000001E-2</c:v>
                </c:pt>
                <c:pt idx="42">
                  <c:v>2.5000000000000001E-2</c:v>
                </c:pt>
                <c:pt idx="43">
                  <c:v>2.5000000000000001E-2</c:v>
                </c:pt>
                <c:pt idx="44">
                  <c:v>2.5000000000000001E-2</c:v>
                </c:pt>
                <c:pt idx="45">
                  <c:v>2.5000000000000001E-2</c:v>
                </c:pt>
                <c:pt idx="46">
                  <c:v>2.5000000000000001E-2</c:v>
                </c:pt>
                <c:pt idx="47">
                  <c:v>2.5000000000000001E-2</c:v>
                </c:pt>
                <c:pt idx="48">
                  <c:v>2.5000000000000001E-2</c:v>
                </c:pt>
                <c:pt idx="49">
                  <c:v>2.5000000000000001E-2</c:v>
                </c:pt>
                <c:pt idx="50">
                  <c:v>2.5000000000000001E-2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2.5000000000000001E-2</c:v>
                </c:pt>
                <c:pt idx="55">
                  <c:v>2.5000000000000001E-2</c:v>
                </c:pt>
                <c:pt idx="56">
                  <c:v>2.5000000000000001E-2</c:v>
                </c:pt>
                <c:pt idx="57">
                  <c:v>2.5000000000000001E-2</c:v>
                </c:pt>
                <c:pt idx="58">
                  <c:v>2.5000000000000001E-2</c:v>
                </c:pt>
                <c:pt idx="59">
                  <c:v>2.5000000000000001E-2</c:v>
                </c:pt>
                <c:pt idx="60">
                  <c:v>2.5000000000000001E-2</c:v>
                </c:pt>
                <c:pt idx="61">
                  <c:v>2.5000000000000001E-2</c:v>
                </c:pt>
                <c:pt idx="62">
                  <c:v>2.5000000000000001E-2</c:v>
                </c:pt>
                <c:pt idx="63">
                  <c:v>2.5000000000000001E-2</c:v>
                </c:pt>
                <c:pt idx="64">
                  <c:v>2.5000000000000001E-2</c:v>
                </c:pt>
                <c:pt idx="65">
                  <c:v>2.5000000000000001E-2</c:v>
                </c:pt>
                <c:pt idx="66">
                  <c:v>2.5000000000000001E-2</c:v>
                </c:pt>
                <c:pt idx="67">
                  <c:v>2.5000000000000001E-2</c:v>
                </c:pt>
                <c:pt idx="68">
                  <c:v>2.5000000000000001E-2</c:v>
                </c:pt>
                <c:pt idx="69">
                  <c:v>2.5000000000000001E-2</c:v>
                </c:pt>
                <c:pt idx="70">
                  <c:v>2.5000000000000001E-2</c:v>
                </c:pt>
                <c:pt idx="71">
                  <c:v>2.5000000000000001E-2</c:v>
                </c:pt>
                <c:pt idx="72">
                  <c:v>2.5000000000000001E-2</c:v>
                </c:pt>
                <c:pt idx="73">
                  <c:v>2.5000000000000001E-2</c:v>
                </c:pt>
                <c:pt idx="74">
                  <c:v>2.5000000000000001E-2</c:v>
                </c:pt>
                <c:pt idx="75">
                  <c:v>2.5000000000000001E-2</c:v>
                </c:pt>
                <c:pt idx="76">
                  <c:v>2.5000000000000001E-2</c:v>
                </c:pt>
                <c:pt idx="77">
                  <c:v>2.5000000000000001E-2</c:v>
                </c:pt>
                <c:pt idx="78">
                  <c:v>2.5000000000000001E-2</c:v>
                </c:pt>
                <c:pt idx="79">
                  <c:v>2.5000000000000001E-2</c:v>
                </c:pt>
                <c:pt idx="80">
                  <c:v>2.5000000000000001E-2</c:v>
                </c:pt>
                <c:pt idx="81">
                  <c:v>2.5000000000000001E-2</c:v>
                </c:pt>
                <c:pt idx="82">
                  <c:v>2.5000000000000001E-2</c:v>
                </c:pt>
                <c:pt idx="83">
                  <c:v>2.5000000000000001E-2</c:v>
                </c:pt>
                <c:pt idx="84">
                  <c:v>2.5000000000000001E-2</c:v>
                </c:pt>
                <c:pt idx="85">
                  <c:v>2.5000000000000001E-2</c:v>
                </c:pt>
                <c:pt idx="86">
                  <c:v>2.5000000000000001E-2</c:v>
                </c:pt>
                <c:pt idx="87">
                  <c:v>2.5000000000000001E-2</c:v>
                </c:pt>
                <c:pt idx="88">
                  <c:v>2.5000000000000001E-2</c:v>
                </c:pt>
                <c:pt idx="89">
                  <c:v>2.5000000000000001E-2</c:v>
                </c:pt>
                <c:pt idx="90">
                  <c:v>2.5000000000000001E-2</c:v>
                </c:pt>
                <c:pt idx="91">
                  <c:v>2.5000000000000001E-2</c:v>
                </c:pt>
                <c:pt idx="92">
                  <c:v>2.5000000000000001E-2</c:v>
                </c:pt>
                <c:pt idx="93">
                  <c:v>2.5000000000000001E-2</c:v>
                </c:pt>
                <c:pt idx="94">
                  <c:v>2.5000000000000001E-2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'FTD9'!$F$6:$F$96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'FTD9'!$AJ$6:$AJ$100</c:f>
              <c:numCache>
                <c:formatCode>General</c:formatCode>
                <c:ptCount val="95"/>
                <c:pt idx="0">
                  <c:v>-2.5000000000000001E-2</c:v>
                </c:pt>
                <c:pt idx="1">
                  <c:v>-2.5000000000000001E-2</c:v>
                </c:pt>
                <c:pt idx="2">
                  <c:v>-2.5000000000000001E-2</c:v>
                </c:pt>
                <c:pt idx="3">
                  <c:v>-2.5000000000000001E-2</c:v>
                </c:pt>
                <c:pt idx="4">
                  <c:v>-2.5000000000000001E-2</c:v>
                </c:pt>
                <c:pt idx="5">
                  <c:v>-2.5000000000000001E-2</c:v>
                </c:pt>
                <c:pt idx="6">
                  <c:v>-2.5000000000000001E-2</c:v>
                </c:pt>
                <c:pt idx="7">
                  <c:v>-2.5000000000000001E-2</c:v>
                </c:pt>
                <c:pt idx="8">
                  <c:v>-2.5000000000000001E-2</c:v>
                </c:pt>
                <c:pt idx="9">
                  <c:v>-2.5000000000000001E-2</c:v>
                </c:pt>
                <c:pt idx="10">
                  <c:v>-2.5000000000000001E-2</c:v>
                </c:pt>
                <c:pt idx="11">
                  <c:v>-2.5000000000000001E-2</c:v>
                </c:pt>
                <c:pt idx="12">
                  <c:v>-2.5000000000000001E-2</c:v>
                </c:pt>
                <c:pt idx="13">
                  <c:v>-2.5000000000000001E-2</c:v>
                </c:pt>
                <c:pt idx="14">
                  <c:v>-2.5000000000000001E-2</c:v>
                </c:pt>
                <c:pt idx="15">
                  <c:v>-2.5000000000000001E-2</c:v>
                </c:pt>
                <c:pt idx="16">
                  <c:v>-2.5000000000000001E-2</c:v>
                </c:pt>
                <c:pt idx="17">
                  <c:v>-2.5000000000000001E-2</c:v>
                </c:pt>
                <c:pt idx="18">
                  <c:v>-2.5000000000000001E-2</c:v>
                </c:pt>
                <c:pt idx="19">
                  <c:v>-2.5000000000000001E-2</c:v>
                </c:pt>
                <c:pt idx="20">
                  <c:v>-2.5000000000000001E-2</c:v>
                </c:pt>
                <c:pt idx="21">
                  <c:v>-2.5000000000000001E-2</c:v>
                </c:pt>
                <c:pt idx="22">
                  <c:v>-2.5000000000000001E-2</c:v>
                </c:pt>
                <c:pt idx="23">
                  <c:v>-2.5000000000000001E-2</c:v>
                </c:pt>
                <c:pt idx="24">
                  <c:v>-2.5000000000000001E-2</c:v>
                </c:pt>
                <c:pt idx="25">
                  <c:v>-2.5000000000000001E-2</c:v>
                </c:pt>
                <c:pt idx="26">
                  <c:v>-2.5000000000000001E-2</c:v>
                </c:pt>
                <c:pt idx="27">
                  <c:v>-2.5000000000000001E-2</c:v>
                </c:pt>
                <c:pt idx="28">
                  <c:v>-2.5000000000000001E-2</c:v>
                </c:pt>
                <c:pt idx="29">
                  <c:v>-2.5000000000000001E-2</c:v>
                </c:pt>
                <c:pt idx="30">
                  <c:v>-2.5000000000000001E-2</c:v>
                </c:pt>
                <c:pt idx="31">
                  <c:v>-2.5000000000000001E-2</c:v>
                </c:pt>
                <c:pt idx="32">
                  <c:v>-2.5000000000000001E-2</c:v>
                </c:pt>
                <c:pt idx="33">
                  <c:v>-2.5000000000000001E-2</c:v>
                </c:pt>
                <c:pt idx="34">
                  <c:v>-2.5000000000000001E-2</c:v>
                </c:pt>
                <c:pt idx="35">
                  <c:v>-2.5000000000000001E-2</c:v>
                </c:pt>
                <c:pt idx="36">
                  <c:v>-2.5000000000000001E-2</c:v>
                </c:pt>
                <c:pt idx="37">
                  <c:v>-2.5000000000000001E-2</c:v>
                </c:pt>
                <c:pt idx="38">
                  <c:v>-2.5000000000000001E-2</c:v>
                </c:pt>
                <c:pt idx="39">
                  <c:v>-2.5000000000000001E-2</c:v>
                </c:pt>
                <c:pt idx="40">
                  <c:v>-2.5000000000000001E-2</c:v>
                </c:pt>
                <c:pt idx="41">
                  <c:v>-2.5000000000000001E-2</c:v>
                </c:pt>
                <c:pt idx="42">
                  <c:v>-2.5000000000000001E-2</c:v>
                </c:pt>
                <c:pt idx="43">
                  <c:v>-2.5000000000000001E-2</c:v>
                </c:pt>
                <c:pt idx="44">
                  <c:v>-2.5000000000000001E-2</c:v>
                </c:pt>
                <c:pt idx="45">
                  <c:v>-2.5000000000000001E-2</c:v>
                </c:pt>
                <c:pt idx="46">
                  <c:v>-2.5000000000000001E-2</c:v>
                </c:pt>
                <c:pt idx="47">
                  <c:v>-2.5000000000000001E-2</c:v>
                </c:pt>
                <c:pt idx="48">
                  <c:v>-2.5000000000000001E-2</c:v>
                </c:pt>
                <c:pt idx="49">
                  <c:v>-2.5000000000000001E-2</c:v>
                </c:pt>
                <c:pt idx="50">
                  <c:v>-2.5000000000000001E-2</c:v>
                </c:pt>
                <c:pt idx="51">
                  <c:v>-2.5000000000000001E-2</c:v>
                </c:pt>
                <c:pt idx="52">
                  <c:v>-2.5000000000000001E-2</c:v>
                </c:pt>
                <c:pt idx="53">
                  <c:v>-2.5000000000000001E-2</c:v>
                </c:pt>
                <c:pt idx="54">
                  <c:v>-2.5000000000000001E-2</c:v>
                </c:pt>
                <c:pt idx="55">
                  <c:v>-2.5000000000000001E-2</c:v>
                </c:pt>
                <c:pt idx="56">
                  <c:v>-2.5000000000000001E-2</c:v>
                </c:pt>
                <c:pt idx="57">
                  <c:v>-2.5000000000000001E-2</c:v>
                </c:pt>
                <c:pt idx="58">
                  <c:v>-2.5000000000000001E-2</c:v>
                </c:pt>
                <c:pt idx="59">
                  <c:v>-2.5000000000000001E-2</c:v>
                </c:pt>
                <c:pt idx="60">
                  <c:v>-2.5000000000000001E-2</c:v>
                </c:pt>
                <c:pt idx="61">
                  <c:v>-2.5000000000000001E-2</c:v>
                </c:pt>
                <c:pt idx="62">
                  <c:v>-2.5000000000000001E-2</c:v>
                </c:pt>
                <c:pt idx="63">
                  <c:v>-2.5000000000000001E-2</c:v>
                </c:pt>
                <c:pt idx="64">
                  <c:v>-2.5000000000000001E-2</c:v>
                </c:pt>
                <c:pt idx="65">
                  <c:v>-2.5000000000000001E-2</c:v>
                </c:pt>
                <c:pt idx="66">
                  <c:v>-2.5000000000000001E-2</c:v>
                </c:pt>
                <c:pt idx="67">
                  <c:v>-2.5000000000000001E-2</c:v>
                </c:pt>
                <c:pt idx="68">
                  <c:v>-2.5000000000000001E-2</c:v>
                </c:pt>
                <c:pt idx="69">
                  <c:v>-2.5000000000000001E-2</c:v>
                </c:pt>
                <c:pt idx="70">
                  <c:v>-2.5000000000000001E-2</c:v>
                </c:pt>
                <c:pt idx="71">
                  <c:v>-2.5000000000000001E-2</c:v>
                </c:pt>
                <c:pt idx="72">
                  <c:v>-2.5000000000000001E-2</c:v>
                </c:pt>
                <c:pt idx="73">
                  <c:v>-2.5000000000000001E-2</c:v>
                </c:pt>
                <c:pt idx="74">
                  <c:v>-2.5000000000000001E-2</c:v>
                </c:pt>
                <c:pt idx="75">
                  <c:v>-2.5000000000000001E-2</c:v>
                </c:pt>
                <c:pt idx="76">
                  <c:v>-2.5000000000000001E-2</c:v>
                </c:pt>
                <c:pt idx="77">
                  <c:v>-2.5000000000000001E-2</c:v>
                </c:pt>
                <c:pt idx="78">
                  <c:v>-2.5000000000000001E-2</c:v>
                </c:pt>
                <c:pt idx="79">
                  <c:v>-2.5000000000000001E-2</c:v>
                </c:pt>
                <c:pt idx="80">
                  <c:v>-2.5000000000000001E-2</c:v>
                </c:pt>
                <c:pt idx="81">
                  <c:v>-2.5000000000000001E-2</c:v>
                </c:pt>
                <c:pt idx="82">
                  <c:v>-2.5000000000000001E-2</c:v>
                </c:pt>
                <c:pt idx="83">
                  <c:v>-2.5000000000000001E-2</c:v>
                </c:pt>
                <c:pt idx="84">
                  <c:v>-2.5000000000000001E-2</c:v>
                </c:pt>
                <c:pt idx="85">
                  <c:v>-2.5000000000000001E-2</c:v>
                </c:pt>
                <c:pt idx="86">
                  <c:v>-2.5000000000000001E-2</c:v>
                </c:pt>
                <c:pt idx="87">
                  <c:v>-2.5000000000000001E-2</c:v>
                </c:pt>
                <c:pt idx="88">
                  <c:v>-2.5000000000000001E-2</c:v>
                </c:pt>
                <c:pt idx="89">
                  <c:v>-2.5000000000000001E-2</c:v>
                </c:pt>
                <c:pt idx="90">
                  <c:v>-2.5000000000000001E-2</c:v>
                </c:pt>
                <c:pt idx="91">
                  <c:v>-2.5000000000000001E-2</c:v>
                </c:pt>
                <c:pt idx="92">
                  <c:v>-2.5000000000000001E-2</c:v>
                </c:pt>
                <c:pt idx="93">
                  <c:v>-2.5000000000000001E-2</c:v>
                </c:pt>
                <c:pt idx="94">
                  <c:v>-2.5000000000000001E-2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'FTD9'!$AW$4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'FTD9'!$F$6:$F$96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'FTD9'!$AQ$6:$AQ$100</c:f>
              <c:numCache>
                <c:formatCode>General</c:formatCode>
                <c:ptCount val="95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  <c:pt idx="30">
                  <c:v>1.4999999999999999E-2</c:v>
                </c:pt>
                <c:pt idx="31">
                  <c:v>1.4999999999999999E-2</c:v>
                </c:pt>
                <c:pt idx="32">
                  <c:v>1.4999999999999999E-2</c:v>
                </c:pt>
                <c:pt idx="33">
                  <c:v>1.4999999999999999E-2</c:v>
                </c:pt>
                <c:pt idx="34">
                  <c:v>1.4999999999999999E-2</c:v>
                </c:pt>
                <c:pt idx="35">
                  <c:v>1.4999999999999999E-2</c:v>
                </c:pt>
                <c:pt idx="36">
                  <c:v>1.4999999999999999E-2</c:v>
                </c:pt>
                <c:pt idx="37">
                  <c:v>1.4999999999999999E-2</c:v>
                </c:pt>
                <c:pt idx="38">
                  <c:v>1.4999999999999999E-2</c:v>
                </c:pt>
                <c:pt idx="39">
                  <c:v>1.4999999999999999E-2</c:v>
                </c:pt>
                <c:pt idx="40">
                  <c:v>1.4999999999999999E-2</c:v>
                </c:pt>
                <c:pt idx="41">
                  <c:v>1.4999999999999999E-2</c:v>
                </c:pt>
                <c:pt idx="42">
                  <c:v>1.4999999999999999E-2</c:v>
                </c:pt>
                <c:pt idx="43">
                  <c:v>1.4999999999999999E-2</c:v>
                </c:pt>
                <c:pt idx="44">
                  <c:v>1.4999999999999999E-2</c:v>
                </c:pt>
                <c:pt idx="45">
                  <c:v>1.4999999999999999E-2</c:v>
                </c:pt>
                <c:pt idx="46">
                  <c:v>1.4999999999999999E-2</c:v>
                </c:pt>
                <c:pt idx="47">
                  <c:v>1.4999999999999999E-2</c:v>
                </c:pt>
                <c:pt idx="48">
                  <c:v>1.4999999999999999E-2</c:v>
                </c:pt>
                <c:pt idx="49">
                  <c:v>1.4999999999999999E-2</c:v>
                </c:pt>
                <c:pt idx="50">
                  <c:v>1.4999999999999999E-2</c:v>
                </c:pt>
                <c:pt idx="51">
                  <c:v>1.4999999999999999E-2</c:v>
                </c:pt>
                <c:pt idx="52">
                  <c:v>1.4999999999999999E-2</c:v>
                </c:pt>
                <c:pt idx="53">
                  <c:v>1.4999999999999999E-2</c:v>
                </c:pt>
                <c:pt idx="54">
                  <c:v>1.4999999999999999E-2</c:v>
                </c:pt>
                <c:pt idx="55">
                  <c:v>1.4999999999999999E-2</c:v>
                </c:pt>
                <c:pt idx="56">
                  <c:v>1.4999999999999999E-2</c:v>
                </c:pt>
                <c:pt idx="57">
                  <c:v>1.4999999999999999E-2</c:v>
                </c:pt>
                <c:pt idx="58">
                  <c:v>1.4999999999999999E-2</c:v>
                </c:pt>
                <c:pt idx="59">
                  <c:v>1.4999999999999999E-2</c:v>
                </c:pt>
                <c:pt idx="60">
                  <c:v>1.4999999999999999E-2</c:v>
                </c:pt>
                <c:pt idx="61">
                  <c:v>1.4999999999999999E-2</c:v>
                </c:pt>
                <c:pt idx="62">
                  <c:v>1.4999999999999999E-2</c:v>
                </c:pt>
                <c:pt idx="63">
                  <c:v>1.4999999999999999E-2</c:v>
                </c:pt>
                <c:pt idx="64">
                  <c:v>1.4999999999999999E-2</c:v>
                </c:pt>
                <c:pt idx="65">
                  <c:v>1.4999999999999999E-2</c:v>
                </c:pt>
                <c:pt idx="66">
                  <c:v>1.4999999999999999E-2</c:v>
                </c:pt>
                <c:pt idx="67">
                  <c:v>1.4999999999999999E-2</c:v>
                </c:pt>
                <c:pt idx="68">
                  <c:v>1.4999999999999999E-2</c:v>
                </c:pt>
                <c:pt idx="69">
                  <c:v>1.4999999999999999E-2</c:v>
                </c:pt>
                <c:pt idx="70">
                  <c:v>1.4999999999999999E-2</c:v>
                </c:pt>
                <c:pt idx="71">
                  <c:v>1.4999999999999999E-2</c:v>
                </c:pt>
                <c:pt idx="72">
                  <c:v>1.4999999999999999E-2</c:v>
                </c:pt>
                <c:pt idx="73">
                  <c:v>1.4999999999999999E-2</c:v>
                </c:pt>
                <c:pt idx="74">
                  <c:v>1.4999999999999999E-2</c:v>
                </c:pt>
                <c:pt idx="75">
                  <c:v>1.4999999999999999E-2</c:v>
                </c:pt>
                <c:pt idx="76">
                  <c:v>1.4999999999999999E-2</c:v>
                </c:pt>
                <c:pt idx="77">
                  <c:v>1.4999999999999999E-2</c:v>
                </c:pt>
                <c:pt idx="78">
                  <c:v>1.4999999999999999E-2</c:v>
                </c:pt>
                <c:pt idx="79">
                  <c:v>1.4999999999999999E-2</c:v>
                </c:pt>
                <c:pt idx="80">
                  <c:v>1.4999999999999999E-2</c:v>
                </c:pt>
                <c:pt idx="81">
                  <c:v>1.4999999999999999E-2</c:v>
                </c:pt>
                <c:pt idx="82">
                  <c:v>1.4999999999999999E-2</c:v>
                </c:pt>
                <c:pt idx="83">
                  <c:v>1.4999999999999999E-2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1.4999999999999999E-2</c:v>
                </c:pt>
                <c:pt idx="87">
                  <c:v>1.4999999999999999E-2</c:v>
                </c:pt>
                <c:pt idx="88">
                  <c:v>1.4999999999999999E-2</c:v>
                </c:pt>
                <c:pt idx="89">
                  <c:v>1.4999999999999999E-2</c:v>
                </c:pt>
                <c:pt idx="90">
                  <c:v>1.4999999999999999E-2</c:v>
                </c:pt>
                <c:pt idx="91">
                  <c:v>1.4999999999999999E-2</c:v>
                </c:pt>
                <c:pt idx="92">
                  <c:v>1.4999999999999999E-2</c:v>
                </c:pt>
                <c:pt idx="93">
                  <c:v>1.4999999999999999E-2</c:v>
                </c:pt>
                <c:pt idx="94">
                  <c:v>1.4999999999999999E-2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'FTD9'!$F$6:$F$96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'FTD9'!$AR$6:$AR$100</c:f>
              <c:numCache>
                <c:formatCode>General</c:formatCode>
                <c:ptCount val="95"/>
                <c:pt idx="0">
                  <c:v>-1.4999999999999999E-2</c:v>
                </c:pt>
                <c:pt idx="1">
                  <c:v>-1.4999999999999999E-2</c:v>
                </c:pt>
                <c:pt idx="2">
                  <c:v>-1.4999999999999999E-2</c:v>
                </c:pt>
                <c:pt idx="3">
                  <c:v>-1.4999999999999999E-2</c:v>
                </c:pt>
                <c:pt idx="4">
                  <c:v>-1.4999999999999999E-2</c:v>
                </c:pt>
                <c:pt idx="5">
                  <c:v>-1.4999999999999999E-2</c:v>
                </c:pt>
                <c:pt idx="6">
                  <c:v>-1.4999999999999999E-2</c:v>
                </c:pt>
                <c:pt idx="7">
                  <c:v>-1.4999999999999999E-2</c:v>
                </c:pt>
                <c:pt idx="8">
                  <c:v>-1.4999999999999999E-2</c:v>
                </c:pt>
                <c:pt idx="9">
                  <c:v>-1.4999999999999999E-2</c:v>
                </c:pt>
                <c:pt idx="10">
                  <c:v>-1.4999999999999999E-2</c:v>
                </c:pt>
                <c:pt idx="11">
                  <c:v>-1.4999999999999999E-2</c:v>
                </c:pt>
                <c:pt idx="12">
                  <c:v>-1.4999999999999999E-2</c:v>
                </c:pt>
                <c:pt idx="13">
                  <c:v>-1.4999999999999999E-2</c:v>
                </c:pt>
                <c:pt idx="14">
                  <c:v>-1.4999999999999999E-2</c:v>
                </c:pt>
                <c:pt idx="15">
                  <c:v>-1.4999999999999999E-2</c:v>
                </c:pt>
                <c:pt idx="16">
                  <c:v>-1.4999999999999999E-2</c:v>
                </c:pt>
                <c:pt idx="17">
                  <c:v>-1.4999999999999999E-2</c:v>
                </c:pt>
                <c:pt idx="18">
                  <c:v>-1.4999999999999999E-2</c:v>
                </c:pt>
                <c:pt idx="19">
                  <c:v>-1.4999999999999999E-2</c:v>
                </c:pt>
                <c:pt idx="20">
                  <c:v>-1.4999999999999999E-2</c:v>
                </c:pt>
                <c:pt idx="21">
                  <c:v>-1.4999999999999999E-2</c:v>
                </c:pt>
                <c:pt idx="22">
                  <c:v>-1.4999999999999999E-2</c:v>
                </c:pt>
                <c:pt idx="23">
                  <c:v>-1.4999999999999999E-2</c:v>
                </c:pt>
                <c:pt idx="24">
                  <c:v>-1.4999999999999999E-2</c:v>
                </c:pt>
                <c:pt idx="25">
                  <c:v>-1.4999999999999999E-2</c:v>
                </c:pt>
                <c:pt idx="26">
                  <c:v>-1.4999999999999999E-2</c:v>
                </c:pt>
                <c:pt idx="27">
                  <c:v>-1.4999999999999999E-2</c:v>
                </c:pt>
                <c:pt idx="28">
                  <c:v>-1.4999999999999999E-2</c:v>
                </c:pt>
                <c:pt idx="29">
                  <c:v>-1.4999999999999999E-2</c:v>
                </c:pt>
                <c:pt idx="30">
                  <c:v>-1.4999999999999999E-2</c:v>
                </c:pt>
                <c:pt idx="31">
                  <c:v>-1.4999999999999999E-2</c:v>
                </c:pt>
                <c:pt idx="32">
                  <c:v>-1.4999999999999999E-2</c:v>
                </c:pt>
                <c:pt idx="33">
                  <c:v>-1.4999999999999999E-2</c:v>
                </c:pt>
                <c:pt idx="34">
                  <c:v>-1.4999999999999999E-2</c:v>
                </c:pt>
                <c:pt idx="35">
                  <c:v>-1.4999999999999999E-2</c:v>
                </c:pt>
                <c:pt idx="36">
                  <c:v>-1.4999999999999999E-2</c:v>
                </c:pt>
                <c:pt idx="37">
                  <c:v>-1.4999999999999999E-2</c:v>
                </c:pt>
                <c:pt idx="38">
                  <c:v>-1.4999999999999999E-2</c:v>
                </c:pt>
                <c:pt idx="39">
                  <c:v>-1.4999999999999999E-2</c:v>
                </c:pt>
                <c:pt idx="40">
                  <c:v>-1.4999999999999999E-2</c:v>
                </c:pt>
                <c:pt idx="41">
                  <c:v>-1.4999999999999999E-2</c:v>
                </c:pt>
                <c:pt idx="42">
                  <c:v>-1.4999999999999999E-2</c:v>
                </c:pt>
                <c:pt idx="43">
                  <c:v>-1.4999999999999999E-2</c:v>
                </c:pt>
                <c:pt idx="44">
                  <c:v>-1.4999999999999999E-2</c:v>
                </c:pt>
                <c:pt idx="45">
                  <c:v>-1.4999999999999999E-2</c:v>
                </c:pt>
                <c:pt idx="46">
                  <c:v>-1.4999999999999999E-2</c:v>
                </c:pt>
                <c:pt idx="47">
                  <c:v>-1.4999999999999999E-2</c:v>
                </c:pt>
                <c:pt idx="48">
                  <c:v>-1.4999999999999999E-2</c:v>
                </c:pt>
                <c:pt idx="49">
                  <c:v>-1.4999999999999999E-2</c:v>
                </c:pt>
                <c:pt idx="50">
                  <c:v>-1.4999999999999999E-2</c:v>
                </c:pt>
                <c:pt idx="51">
                  <c:v>-1.4999999999999999E-2</c:v>
                </c:pt>
                <c:pt idx="52">
                  <c:v>-1.4999999999999999E-2</c:v>
                </c:pt>
                <c:pt idx="53">
                  <c:v>-1.4999999999999999E-2</c:v>
                </c:pt>
                <c:pt idx="54">
                  <c:v>-1.4999999999999999E-2</c:v>
                </c:pt>
                <c:pt idx="55">
                  <c:v>-1.4999999999999999E-2</c:v>
                </c:pt>
                <c:pt idx="56">
                  <c:v>-1.4999999999999999E-2</c:v>
                </c:pt>
                <c:pt idx="57">
                  <c:v>-1.4999999999999999E-2</c:v>
                </c:pt>
                <c:pt idx="58">
                  <c:v>-1.4999999999999999E-2</c:v>
                </c:pt>
                <c:pt idx="59">
                  <c:v>-1.4999999999999999E-2</c:v>
                </c:pt>
                <c:pt idx="60">
                  <c:v>-1.4999999999999999E-2</c:v>
                </c:pt>
                <c:pt idx="61">
                  <c:v>-1.4999999999999999E-2</c:v>
                </c:pt>
                <c:pt idx="62">
                  <c:v>-1.4999999999999999E-2</c:v>
                </c:pt>
                <c:pt idx="63">
                  <c:v>-1.4999999999999999E-2</c:v>
                </c:pt>
                <c:pt idx="64">
                  <c:v>-1.4999999999999999E-2</c:v>
                </c:pt>
                <c:pt idx="65">
                  <c:v>-1.4999999999999999E-2</c:v>
                </c:pt>
                <c:pt idx="66">
                  <c:v>-1.4999999999999999E-2</c:v>
                </c:pt>
                <c:pt idx="67">
                  <c:v>-1.4999999999999999E-2</c:v>
                </c:pt>
                <c:pt idx="68">
                  <c:v>-1.4999999999999999E-2</c:v>
                </c:pt>
                <c:pt idx="69">
                  <c:v>-1.4999999999999999E-2</c:v>
                </c:pt>
                <c:pt idx="70">
                  <c:v>-1.4999999999999999E-2</c:v>
                </c:pt>
                <c:pt idx="71">
                  <c:v>-1.4999999999999999E-2</c:v>
                </c:pt>
                <c:pt idx="72">
                  <c:v>-1.4999999999999999E-2</c:v>
                </c:pt>
                <c:pt idx="73">
                  <c:v>-1.4999999999999999E-2</c:v>
                </c:pt>
                <c:pt idx="74">
                  <c:v>-1.4999999999999999E-2</c:v>
                </c:pt>
                <c:pt idx="75">
                  <c:v>-1.4999999999999999E-2</c:v>
                </c:pt>
                <c:pt idx="76">
                  <c:v>-1.4999999999999999E-2</c:v>
                </c:pt>
                <c:pt idx="77">
                  <c:v>-1.4999999999999999E-2</c:v>
                </c:pt>
                <c:pt idx="78">
                  <c:v>-1.4999999999999999E-2</c:v>
                </c:pt>
                <c:pt idx="79">
                  <c:v>-1.4999999999999999E-2</c:v>
                </c:pt>
                <c:pt idx="80">
                  <c:v>-1.4999999999999999E-2</c:v>
                </c:pt>
                <c:pt idx="81">
                  <c:v>-1.4999999999999999E-2</c:v>
                </c:pt>
                <c:pt idx="82">
                  <c:v>-1.4999999999999999E-2</c:v>
                </c:pt>
                <c:pt idx="83">
                  <c:v>-1.4999999999999999E-2</c:v>
                </c:pt>
                <c:pt idx="84">
                  <c:v>-1.4999999999999999E-2</c:v>
                </c:pt>
                <c:pt idx="85">
                  <c:v>-1.4999999999999999E-2</c:v>
                </c:pt>
                <c:pt idx="86">
                  <c:v>-1.4999999999999999E-2</c:v>
                </c:pt>
                <c:pt idx="87">
                  <c:v>-1.4999999999999999E-2</c:v>
                </c:pt>
                <c:pt idx="88">
                  <c:v>-1.4999999999999999E-2</c:v>
                </c:pt>
                <c:pt idx="89">
                  <c:v>-1.4999999999999999E-2</c:v>
                </c:pt>
                <c:pt idx="90">
                  <c:v>-1.4999999999999999E-2</c:v>
                </c:pt>
                <c:pt idx="91">
                  <c:v>-1.4999999999999999E-2</c:v>
                </c:pt>
                <c:pt idx="92">
                  <c:v>-1.4999999999999999E-2</c:v>
                </c:pt>
                <c:pt idx="93">
                  <c:v>-1.4999999999999999E-2</c:v>
                </c:pt>
                <c:pt idx="94">
                  <c:v>-1.4999999999999999E-2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803064"/>
        <c:axId val="335809336"/>
      </c:lineChart>
      <c:catAx>
        <c:axId val="335803064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09336"/>
        <c:crosses val="autoZero"/>
        <c:auto val="0"/>
        <c:lblAlgn val="ctr"/>
        <c:lblOffset val="100"/>
        <c:noMultiLvlLbl val="0"/>
      </c:catAx>
      <c:valAx>
        <c:axId val="335809336"/>
        <c:scaling>
          <c:orientation val="minMax"/>
        </c:scaling>
        <c:delete val="0"/>
        <c:axPos val="l"/>
        <c:numFmt formatCode="#,##0.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0306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X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'FTD9'!$W$4:$Z$4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'FTD9'!$X$6:$X$100</c:f>
              <c:numCache>
                <c:formatCode>0.0000</c:formatCode>
                <c:ptCount val="95"/>
                <c:pt idx="0">
                  <c:v>1.6700000000002824E-4</c:v>
                </c:pt>
                <c:pt idx="1">
                  <c:v>7.699999999999374E-5</c:v>
                </c:pt>
                <c:pt idx="2">
                  <c:v>7.0000000000347562E-6</c:v>
                </c:pt>
                <c:pt idx="3">
                  <c:v>1.0700000000002374E-4</c:v>
                </c:pt>
                <c:pt idx="4">
                  <c:v>1.4700000000000824E-4</c:v>
                </c:pt>
                <c:pt idx="5">
                  <c:v>-2.9999999999752447E-6</c:v>
                </c:pt>
                <c:pt idx="6">
                  <c:v>1.7000000000044757E-5</c:v>
                </c:pt>
                <c:pt idx="7">
                  <c:v>1.3699999999999823E-4</c:v>
                </c:pt>
                <c:pt idx="8">
                  <c:v>2.6999999999999247E-5</c:v>
                </c:pt>
                <c:pt idx="9">
                  <c:v>8.7000000000003741E-5</c:v>
                </c:pt>
                <c:pt idx="10">
                  <c:v>3.7000000000009248E-5</c:v>
                </c:pt>
                <c:pt idx="11">
                  <c:v>9.7000000000013742E-5</c:v>
                </c:pt>
                <c:pt idx="12">
                  <c:v>-0.34037299999999998</c:v>
                </c:pt>
                <c:pt idx="13">
                  <c:v>-0.34037299999999998</c:v>
                </c:pt>
                <c:pt idx="14">
                  <c:v>-0.34037299999999998</c:v>
                </c:pt>
                <c:pt idx="15">
                  <c:v>-0.34037299999999998</c:v>
                </c:pt>
                <c:pt idx="16">
                  <c:v>-0.34037299999999998</c:v>
                </c:pt>
                <c:pt idx="17">
                  <c:v>-0.34037299999999998</c:v>
                </c:pt>
                <c:pt idx="18">
                  <c:v>-0.34037299999999998</c:v>
                </c:pt>
                <c:pt idx="19">
                  <c:v>-0.34037299999999998</c:v>
                </c:pt>
                <c:pt idx="20">
                  <c:v>-0.34037299999999998</c:v>
                </c:pt>
                <c:pt idx="21">
                  <c:v>-0.34037299999999998</c:v>
                </c:pt>
                <c:pt idx="22">
                  <c:v>-0.34037299999999998</c:v>
                </c:pt>
                <c:pt idx="23">
                  <c:v>-0.34037299999999998</c:v>
                </c:pt>
                <c:pt idx="24">
                  <c:v>-0.34037299999999998</c:v>
                </c:pt>
                <c:pt idx="25">
                  <c:v>-0.34037299999999998</c:v>
                </c:pt>
                <c:pt idx="26">
                  <c:v>-0.34037299999999998</c:v>
                </c:pt>
                <c:pt idx="27">
                  <c:v>-0.34037299999999998</c:v>
                </c:pt>
                <c:pt idx="28">
                  <c:v>-0.34037299999999998</c:v>
                </c:pt>
                <c:pt idx="29">
                  <c:v>-0.34037299999999998</c:v>
                </c:pt>
                <c:pt idx="30">
                  <c:v>-0.34037299999999998</c:v>
                </c:pt>
                <c:pt idx="31">
                  <c:v>-0.34037299999999998</c:v>
                </c:pt>
                <c:pt idx="32">
                  <c:v>-0.34037299999999998</c:v>
                </c:pt>
                <c:pt idx="33">
                  <c:v>-0.34037299999999998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'FTD9'!$AA$4:$AD$4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'FTD9'!$AB$6:$AB$100</c:f>
              <c:numCache>
                <c:formatCode>0.0000</c:formatCode>
                <c:ptCount val="95"/>
                <c:pt idx="0">
                  <c:v>-2.4350000000000038E-2</c:v>
                </c:pt>
                <c:pt idx="1">
                  <c:v>-2.4359999999999993E-2</c:v>
                </c:pt>
                <c:pt idx="2">
                  <c:v>-2.4380000000000013E-2</c:v>
                </c:pt>
                <c:pt idx="3">
                  <c:v>-2.4340000000000028E-2</c:v>
                </c:pt>
                <c:pt idx="4">
                  <c:v>-2.4380000000000013E-2</c:v>
                </c:pt>
                <c:pt idx="5">
                  <c:v>-2.4400000000000033E-2</c:v>
                </c:pt>
                <c:pt idx="6">
                  <c:v>-2.4390000000000023E-2</c:v>
                </c:pt>
                <c:pt idx="7">
                  <c:v>-2.4380000000000013E-2</c:v>
                </c:pt>
                <c:pt idx="8">
                  <c:v>-2.4400000000000033E-2</c:v>
                </c:pt>
                <c:pt idx="9">
                  <c:v>-2.4320000000000008E-2</c:v>
                </c:pt>
                <c:pt idx="10">
                  <c:v>-2.4340000000000028E-2</c:v>
                </c:pt>
                <c:pt idx="11">
                  <c:v>-2.4460000000000037E-2</c:v>
                </c:pt>
                <c:pt idx="12">
                  <c:v>-0.34077000000000002</c:v>
                </c:pt>
                <c:pt idx="13">
                  <c:v>-0.34077000000000002</c:v>
                </c:pt>
                <c:pt idx="14">
                  <c:v>-0.34077000000000002</c:v>
                </c:pt>
                <c:pt idx="15">
                  <c:v>-0.34077000000000002</c:v>
                </c:pt>
                <c:pt idx="16">
                  <c:v>-0.34077000000000002</c:v>
                </c:pt>
                <c:pt idx="17">
                  <c:v>-0.34077000000000002</c:v>
                </c:pt>
                <c:pt idx="18">
                  <c:v>-0.34077000000000002</c:v>
                </c:pt>
                <c:pt idx="19">
                  <c:v>-0.34077000000000002</c:v>
                </c:pt>
                <c:pt idx="20">
                  <c:v>-0.34077000000000002</c:v>
                </c:pt>
                <c:pt idx="21">
                  <c:v>-0.34077000000000002</c:v>
                </c:pt>
                <c:pt idx="22">
                  <c:v>-0.34077000000000002</c:v>
                </c:pt>
                <c:pt idx="23">
                  <c:v>-0.34077000000000002</c:v>
                </c:pt>
                <c:pt idx="24">
                  <c:v>-0.34077000000000002</c:v>
                </c:pt>
                <c:pt idx="25">
                  <c:v>-0.34077000000000002</c:v>
                </c:pt>
                <c:pt idx="26">
                  <c:v>-0.34077000000000002</c:v>
                </c:pt>
                <c:pt idx="27">
                  <c:v>-0.34077000000000002</c:v>
                </c:pt>
                <c:pt idx="28">
                  <c:v>-0.34077000000000002</c:v>
                </c:pt>
                <c:pt idx="29">
                  <c:v>-0.34077000000000002</c:v>
                </c:pt>
                <c:pt idx="30">
                  <c:v>-0.34077000000000002</c:v>
                </c:pt>
                <c:pt idx="31">
                  <c:v>-0.34077000000000002</c:v>
                </c:pt>
                <c:pt idx="32">
                  <c:v>-0.34077000000000002</c:v>
                </c:pt>
                <c:pt idx="33">
                  <c:v>-0.34077000000000002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'FTD9'!$AE$4:$AH$4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'FTD9'!$AF$6:$AF$100</c:f>
              <c:numCache>
                <c:formatCode>0.0000</c:formatCode>
                <c:ptCount val="95"/>
                <c:pt idx="0">
                  <c:v>-3.0772999999999995E-2</c:v>
                </c:pt>
                <c:pt idx="1">
                  <c:v>-3.0872999999999984E-2</c:v>
                </c:pt>
                <c:pt idx="2">
                  <c:v>-3.0882999999999994E-2</c:v>
                </c:pt>
                <c:pt idx="3">
                  <c:v>-3.0732999999999955E-2</c:v>
                </c:pt>
                <c:pt idx="4">
                  <c:v>-3.0802999999999969E-2</c:v>
                </c:pt>
                <c:pt idx="5">
                  <c:v>-3.0822999999999989E-2</c:v>
                </c:pt>
                <c:pt idx="6">
                  <c:v>-3.0942999999999998E-2</c:v>
                </c:pt>
                <c:pt idx="7">
                  <c:v>-3.0802999999999969E-2</c:v>
                </c:pt>
                <c:pt idx="8">
                  <c:v>-3.0812999999999979E-2</c:v>
                </c:pt>
                <c:pt idx="9">
                  <c:v>-3.0852999999999964E-2</c:v>
                </c:pt>
                <c:pt idx="10">
                  <c:v>-3.0792999999999959E-2</c:v>
                </c:pt>
                <c:pt idx="11">
                  <c:v>-3.071299999999999E-2</c:v>
                </c:pt>
                <c:pt idx="12">
                  <c:v>-0.33981299999999998</c:v>
                </c:pt>
                <c:pt idx="13">
                  <c:v>-0.33981299999999998</c:v>
                </c:pt>
                <c:pt idx="14">
                  <c:v>-0.33981299999999998</c:v>
                </c:pt>
                <c:pt idx="15">
                  <c:v>-0.33981299999999998</c:v>
                </c:pt>
                <c:pt idx="16">
                  <c:v>-0.33981299999999998</c:v>
                </c:pt>
                <c:pt idx="17">
                  <c:v>-0.33981299999999998</c:v>
                </c:pt>
                <c:pt idx="18">
                  <c:v>-0.33981299999999998</c:v>
                </c:pt>
                <c:pt idx="19">
                  <c:v>-0.33981299999999998</c:v>
                </c:pt>
                <c:pt idx="20">
                  <c:v>-0.33981299999999998</c:v>
                </c:pt>
                <c:pt idx="21">
                  <c:v>-0.33981299999999998</c:v>
                </c:pt>
                <c:pt idx="22">
                  <c:v>-0.33981299999999998</c:v>
                </c:pt>
                <c:pt idx="23">
                  <c:v>-0.33981299999999998</c:v>
                </c:pt>
                <c:pt idx="24">
                  <c:v>-0.33981299999999998</c:v>
                </c:pt>
                <c:pt idx="25">
                  <c:v>-0.33981299999999998</c:v>
                </c:pt>
                <c:pt idx="26">
                  <c:v>-0.33981299999999998</c:v>
                </c:pt>
                <c:pt idx="27">
                  <c:v>-0.33981299999999998</c:v>
                </c:pt>
                <c:pt idx="28">
                  <c:v>-0.33981299999999998</c:v>
                </c:pt>
                <c:pt idx="29">
                  <c:v>-0.33981299999999998</c:v>
                </c:pt>
                <c:pt idx="30">
                  <c:v>-0.33981299999999998</c:v>
                </c:pt>
                <c:pt idx="31">
                  <c:v>-0.33981299999999998</c:v>
                </c:pt>
                <c:pt idx="32">
                  <c:v>-0.33981299999999998</c:v>
                </c:pt>
                <c:pt idx="33">
                  <c:v>-0.33981299999999998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'FTD9'!$AO$4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'FTD9'!$AW$4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803456"/>
        <c:axId val="335805808"/>
      </c:lineChart>
      <c:catAx>
        <c:axId val="335803456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05808"/>
        <c:crosses val="autoZero"/>
        <c:auto val="0"/>
        <c:lblAlgn val="ctr"/>
        <c:lblOffset val="100"/>
        <c:noMultiLvlLbl val="0"/>
      </c:catAx>
      <c:valAx>
        <c:axId val="335805808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03456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</a:rPr>
              <a:t>y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</a:endParaRPr>
          </a:p>
        </c:rich>
      </c:tx>
      <c:layout>
        <c:manualLayout>
          <c:xMode val="edge"/>
          <c:yMode val="edge"/>
          <c:x val="0.45239348206474189"/>
          <c:y val="2.3666132366976615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'FTD9'!$W$4:$Z$4</c:f>
              <c:strCache>
                <c:ptCount val="1"/>
                <c:pt idx="0">
                  <c:v>G1</c:v>
                </c:pt>
              </c:strCache>
            </c:strRef>
          </c:tx>
          <c:marker>
            <c:symbol val="circle"/>
            <c:size val="5"/>
          </c:marker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'FTD9'!$Y$6:$Y$100</c:f>
              <c:numCache>
                <c:formatCode>0.0000</c:formatCode>
                <c:ptCount val="95"/>
                <c:pt idx="0">
                  <c:v>-7.3000000000045251E-5</c:v>
                </c:pt>
                <c:pt idx="1">
                  <c:v>-1.8300000000004424E-4</c:v>
                </c:pt>
                <c:pt idx="2">
                  <c:v>-2.2300000000002873E-4</c:v>
                </c:pt>
                <c:pt idx="3">
                  <c:v>-3.6300000000000221E-4</c:v>
                </c:pt>
                <c:pt idx="4">
                  <c:v>-1.5300000000001424E-4</c:v>
                </c:pt>
                <c:pt idx="5">
                  <c:v>-3.9300000000003221E-4</c:v>
                </c:pt>
                <c:pt idx="6">
                  <c:v>-2.2300000000002873E-4</c:v>
                </c:pt>
                <c:pt idx="7">
                  <c:v>-2.4300000000004873E-4</c:v>
                </c:pt>
                <c:pt idx="8">
                  <c:v>-1.8300000000004424E-4</c:v>
                </c:pt>
                <c:pt idx="9">
                  <c:v>-1.0300000000001974E-4</c:v>
                </c:pt>
                <c:pt idx="10">
                  <c:v>-2.7300000000002322E-4</c:v>
                </c:pt>
                <c:pt idx="11">
                  <c:v>-2.1300000000001873E-4</c:v>
                </c:pt>
                <c:pt idx="12">
                  <c:v>-0.35573300000000002</c:v>
                </c:pt>
                <c:pt idx="13">
                  <c:v>-0.35573300000000002</c:v>
                </c:pt>
                <c:pt idx="14">
                  <c:v>-0.35573300000000002</c:v>
                </c:pt>
                <c:pt idx="15">
                  <c:v>-0.35573300000000002</c:v>
                </c:pt>
                <c:pt idx="16">
                  <c:v>-0.35573300000000002</c:v>
                </c:pt>
                <c:pt idx="17">
                  <c:v>-0.35573300000000002</c:v>
                </c:pt>
                <c:pt idx="18">
                  <c:v>-0.35573300000000002</c:v>
                </c:pt>
                <c:pt idx="19">
                  <c:v>-0.35573300000000002</c:v>
                </c:pt>
                <c:pt idx="20">
                  <c:v>-0.35573300000000002</c:v>
                </c:pt>
                <c:pt idx="21">
                  <c:v>-0.35573300000000002</c:v>
                </c:pt>
                <c:pt idx="22">
                  <c:v>-0.35573300000000002</c:v>
                </c:pt>
                <c:pt idx="23">
                  <c:v>-0.35573300000000002</c:v>
                </c:pt>
                <c:pt idx="24">
                  <c:v>-0.35573300000000002</c:v>
                </c:pt>
                <c:pt idx="25">
                  <c:v>-0.35573300000000002</c:v>
                </c:pt>
                <c:pt idx="26">
                  <c:v>-0.35573300000000002</c:v>
                </c:pt>
                <c:pt idx="27">
                  <c:v>-0.35573300000000002</c:v>
                </c:pt>
                <c:pt idx="28">
                  <c:v>-0.35573300000000002</c:v>
                </c:pt>
                <c:pt idx="29">
                  <c:v>-0.35573300000000002</c:v>
                </c:pt>
                <c:pt idx="30">
                  <c:v>-0.35573300000000002</c:v>
                </c:pt>
                <c:pt idx="31">
                  <c:v>-0.35573300000000002</c:v>
                </c:pt>
                <c:pt idx="32">
                  <c:v>-0.35573300000000002</c:v>
                </c:pt>
                <c:pt idx="33">
                  <c:v>-0.35573300000000002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'FTD9'!$AA$4:$AD$4</c:f>
              <c:strCache>
                <c:ptCount val="1"/>
                <c:pt idx="0">
                  <c:v>G2</c:v>
                </c:pt>
              </c:strCache>
            </c:strRef>
          </c:tx>
          <c:marker>
            <c:symbol val="square"/>
            <c:size val="5"/>
          </c:marker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'FTD9'!$AC$6:$AC$100</c:f>
              <c:numCache>
                <c:formatCode>0.0000</c:formatCode>
                <c:ptCount val="95"/>
                <c:pt idx="0">
                  <c:v>-2.2145999999999999E-2</c:v>
                </c:pt>
                <c:pt idx="1">
                  <c:v>-2.2276000000000018E-2</c:v>
                </c:pt>
                <c:pt idx="2">
                  <c:v>-2.2185999999999984E-2</c:v>
                </c:pt>
                <c:pt idx="3">
                  <c:v>-2.2216000000000014E-2</c:v>
                </c:pt>
                <c:pt idx="4">
                  <c:v>-2.2235999999999978E-2</c:v>
                </c:pt>
                <c:pt idx="5">
                  <c:v>-2.2255999999999998E-2</c:v>
                </c:pt>
                <c:pt idx="6">
                  <c:v>-2.2336000000000023E-2</c:v>
                </c:pt>
                <c:pt idx="7">
                  <c:v>-2.2245999999999988E-2</c:v>
                </c:pt>
                <c:pt idx="8">
                  <c:v>-2.2376000000000007E-2</c:v>
                </c:pt>
                <c:pt idx="9">
                  <c:v>-2.2286000000000028E-2</c:v>
                </c:pt>
                <c:pt idx="10">
                  <c:v>-2.2266000000000008E-2</c:v>
                </c:pt>
                <c:pt idx="11">
                  <c:v>-2.2316000000000003E-2</c:v>
                </c:pt>
                <c:pt idx="12">
                  <c:v>-0.35535600000000001</c:v>
                </c:pt>
                <c:pt idx="13">
                  <c:v>-0.35535600000000001</c:v>
                </c:pt>
                <c:pt idx="14">
                  <c:v>-0.35535600000000001</c:v>
                </c:pt>
                <c:pt idx="15">
                  <c:v>-0.35535600000000001</c:v>
                </c:pt>
                <c:pt idx="16">
                  <c:v>-0.35535600000000001</c:v>
                </c:pt>
                <c:pt idx="17">
                  <c:v>-0.35535600000000001</c:v>
                </c:pt>
                <c:pt idx="18">
                  <c:v>-0.35535600000000001</c:v>
                </c:pt>
                <c:pt idx="19">
                  <c:v>-0.35535600000000001</c:v>
                </c:pt>
                <c:pt idx="20">
                  <c:v>-0.35535600000000001</c:v>
                </c:pt>
                <c:pt idx="21">
                  <c:v>-0.35535600000000001</c:v>
                </c:pt>
                <c:pt idx="22">
                  <c:v>-0.35535600000000001</c:v>
                </c:pt>
                <c:pt idx="23">
                  <c:v>-0.35535600000000001</c:v>
                </c:pt>
                <c:pt idx="24">
                  <c:v>-0.35535600000000001</c:v>
                </c:pt>
                <c:pt idx="25">
                  <c:v>-0.35535600000000001</c:v>
                </c:pt>
                <c:pt idx="26">
                  <c:v>-0.35535600000000001</c:v>
                </c:pt>
                <c:pt idx="27">
                  <c:v>-0.35535600000000001</c:v>
                </c:pt>
                <c:pt idx="28">
                  <c:v>-0.35535600000000001</c:v>
                </c:pt>
                <c:pt idx="29">
                  <c:v>-0.35535600000000001</c:v>
                </c:pt>
                <c:pt idx="30">
                  <c:v>-0.35535600000000001</c:v>
                </c:pt>
                <c:pt idx="31">
                  <c:v>-0.35535600000000001</c:v>
                </c:pt>
                <c:pt idx="32">
                  <c:v>-0.35535600000000001</c:v>
                </c:pt>
                <c:pt idx="33">
                  <c:v>-0.35535600000000001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'FTD9'!$AE$4:$AH$4</c:f>
              <c:strCache>
                <c:ptCount val="1"/>
                <c:pt idx="0">
                  <c:v>G3</c:v>
                </c:pt>
              </c:strCache>
            </c:strRef>
          </c:tx>
          <c:marker>
            <c:symbol val="triangle"/>
            <c:size val="5"/>
          </c:marker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'FTD9'!$AG$6:$AG$100</c:f>
              <c:numCache>
                <c:formatCode>0.0000</c:formatCode>
                <c:ptCount val="95"/>
                <c:pt idx="0">
                  <c:v>-2.9642999999999975E-2</c:v>
                </c:pt>
                <c:pt idx="1">
                  <c:v>-2.9783000000000004E-2</c:v>
                </c:pt>
                <c:pt idx="2">
                  <c:v>-2.9902999999999957E-2</c:v>
                </c:pt>
                <c:pt idx="3">
                  <c:v>-2.9642999999999975E-2</c:v>
                </c:pt>
                <c:pt idx="4">
                  <c:v>-2.957299999999996E-2</c:v>
                </c:pt>
                <c:pt idx="5">
                  <c:v>-2.9792999999999958E-2</c:v>
                </c:pt>
                <c:pt idx="6">
                  <c:v>-2.9842999999999953E-2</c:v>
                </c:pt>
                <c:pt idx="7">
                  <c:v>-2.9642999999999975E-2</c:v>
                </c:pt>
                <c:pt idx="8">
                  <c:v>-2.9673000000000005E-2</c:v>
                </c:pt>
                <c:pt idx="9">
                  <c:v>-2.9682999999999959E-2</c:v>
                </c:pt>
                <c:pt idx="10">
                  <c:v>-2.9732999999999954E-2</c:v>
                </c:pt>
                <c:pt idx="11">
                  <c:v>-2.958299999999997E-2</c:v>
                </c:pt>
                <c:pt idx="12">
                  <c:v>-0.35358299999999998</c:v>
                </c:pt>
                <c:pt idx="13">
                  <c:v>-0.35358299999999998</c:v>
                </c:pt>
                <c:pt idx="14">
                  <c:v>-0.35358299999999998</c:v>
                </c:pt>
                <c:pt idx="15">
                  <c:v>-0.35358299999999998</c:v>
                </c:pt>
                <c:pt idx="16">
                  <c:v>-0.35358299999999998</c:v>
                </c:pt>
                <c:pt idx="17">
                  <c:v>-0.35358299999999998</c:v>
                </c:pt>
                <c:pt idx="18">
                  <c:v>-0.35358299999999998</c:v>
                </c:pt>
                <c:pt idx="19">
                  <c:v>-0.35358299999999998</c:v>
                </c:pt>
                <c:pt idx="20">
                  <c:v>-0.35358299999999998</c:v>
                </c:pt>
                <c:pt idx="21">
                  <c:v>-0.35358299999999998</c:v>
                </c:pt>
                <c:pt idx="22">
                  <c:v>-0.35358299999999998</c:v>
                </c:pt>
                <c:pt idx="23">
                  <c:v>-0.35358299999999998</c:v>
                </c:pt>
                <c:pt idx="24">
                  <c:v>-0.35358299999999998</c:v>
                </c:pt>
                <c:pt idx="25">
                  <c:v>-0.35358299999999998</c:v>
                </c:pt>
                <c:pt idx="26">
                  <c:v>-0.35358299999999998</c:v>
                </c:pt>
                <c:pt idx="27">
                  <c:v>-0.35358299999999998</c:v>
                </c:pt>
                <c:pt idx="28">
                  <c:v>-0.35358299999999998</c:v>
                </c:pt>
                <c:pt idx="29">
                  <c:v>-0.35358299999999998</c:v>
                </c:pt>
                <c:pt idx="30">
                  <c:v>-0.35358299999999998</c:v>
                </c:pt>
                <c:pt idx="31">
                  <c:v>-0.35358299999999998</c:v>
                </c:pt>
                <c:pt idx="32">
                  <c:v>-0.35358299999999998</c:v>
                </c:pt>
                <c:pt idx="33">
                  <c:v>-0.35358299999999998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'FTD9'!$AO$4</c:f>
              <c:strCache>
                <c:ptCount val="1"/>
                <c:pt idx="0">
                  <c:v>規格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'FTD9'!$AK$6:$AK$100</c:f>
              <c:numCache>
                <c:formatCode>General</c:formatCode>
                <c:ptCount val="95"/>
                <c:pt idx="0">
                  <c:v>1.5E-3</c:v>
                </c:pt>
                <c:pt idx="1">
                  <c:v>1.5E-3</c:v>
                </c:pt>
                <c:pt idx="2">
                  <c:v>1.5E-3</c:v>
                </c:pt>
                <c:pt idx="3">
                  <c:v>1.5E-3</c:v>
                </c:pt>
                <c:pt idx="4">
                  <c:v>1.5E-3</c:v>
                </c:pt>
                <c:pt idx="5">
                  <c:v>1.5E-3</c:v>
                </c:pt>
                <c:pt idx="6">
                  <c:v>1.5E-3</c:v>
                </c:pt>
                <c:pt idx="7">
                  <c:v>1.5E-3</c:v>
                </c:pt>
                <c:pt idx="8">
                  <c:v>1.5E-3</c:v>
                </c:pt>
                <c:pt idx="9">
                  <c:v>1.5E-3</c:v>
                </c:pt>
                <c:pt idx="10">
                  <c:v>1.5E-3</c:v>
                </c:pt>
                <c:pt idx="11">
                  <c:v>1.5E-3</c:v>
                </c:pt>
                <c:pt idx="12">
                  <c:v>1.5E-3</c:v>
                </c:pt>
                <c:pt idx="13">
                  <c:v>1.5E-3</c:v>
                </c:pt>
                <c:pt idx="14">
                  <c:v>1.5E-3</c:v>
                </c:pt>
                <c:pt idx="15">
                  <c:v>1.5E-3</c:v>
                </c:pt>
                <c:pt idx="16">
                  <c:v>1.5E-3</c:v>
                </c:pt>
                <c:pt idx="17">
                  <c:v>1.5E-3</c:v>
                </c:pt>
                <c:pt idx="18">
                  <c:v>1.5E-3</c:v>
                </c:pt>
                <c:pt idx="19">
                  <c:v>1.5E-3</c:v>
                </c:pt>
                <c:pt idx="20">
                  <c:v>1.5E-3</c:v>
                </c:pt>
                <c:pt idx="21">
                  <c:v>1.5E-3</c:v>
                </c:pt>
                <c:pt idx="22">
                  <c:v>1.5E-3</c:v>
                </c:pt>
                <c:pt idx="23">
                  <c:v>1.5E-3</c:v>
                </c:pt>
                <c:pt idx="24">
                  <c:v>1.5E-3</c:v>
                </c:pt>
                <c:pt idx="25">
                  <c:v>1.5E-3</c:v>
                </c:pt>
                <c:pt idx="26">
                  <c:v>1.5E-3</c:v>
                </c:pt>
                <c:pt idx="27">
                  <c:v>1.5E-3</c:v>
                </c:pt>
                <c:pt idx="28">
                  <c:v>1.5E-3</c:v>
                </c:pt>
                <c:pt idx="29">
                  <c:v>1.5E-3</c:v>
                </c:pt>
                <c:pt idx="30">
                  <c:v>1.5E-3</c:v>
                </c:pt>
                <c:pt idx="31">
                  <c:v>1.5E-3</c:v>
                </c:pt>
                <c:pt idx="32">
                  <c:v>1.5E-3</c:v>
                </c:pt>
                <c:pt idx="33">
                  <c:v>1.5E-3</c:v>
                </c:pt>
                <c:pt idx="34">
                  <c:v>1.5E-3</c:v>
                </c:pt>
                <c:pt idx="35">
                  <c:v>1.5E-3</c:v>
                </c:pt>
                <c:pt idx="36">
                  <c:v>1.5E-3</c:v>
                </c:pt>
                <c:pt idx="37">
                  <c:v>1.5E-3</c:v>
                </c:pt>
                <c:pt idx="38">
                  <c:v>1.5E-3</c:v>
                </c:pt>
                <c:pt idx="39">
                  <c:v>1.5E-3</c:v>
                </c:pt>
                <c:pt idx="40">
                  <c:v>1.5E-3</c:v>
                </c:pt>
                <c:pt idx="41">
                  <c:v>1.5E-3</c:v>
                </c:pt>
                <c:pt idx="42">
                  <c:v>1.5E-3</c:v>
                </c:pt>
                <c:pt idx="43">
                  <c:v>1.5E-3</c:v>
                </c:pt>
                <c:pt idx="44">
                  <c:v>1.5E-3</c:v>
                </c:pt>
                <c:pt idx="45">
                  <c:v>1.5E-3</c:v>
                </c:pt>
                <c:pt idx="46">
                  <c:v>1.5E-3</c:v>
                </c:pt>
                <c:pt idx="47">
                  <c:v>1.5E-3</c:v>
                </c:pt>
                <c:pt idx="48">
                  <c:v>1.5E-3</c:v>
                </c:pt>
                <c:pt idx="49">
                  <c:v>1.5E-3</c:v>
                </c:pt>
                <c:pt idx="50">
                  <c:v>1.5E-3</c:v>
                </c:pt>
                <c:pt idx="51">
                  <c:v>1.5E-3</c:v>
                </c:pt>
                <c:pt idx="52">
                  <c:v>1.5E-3</c:v>
                </c:pt>
                <c:pt idx="53">
                  <c:v>1.5E-3</c:v>
                </c:pt>
                <c:pt idx="54">
                  <c:v>1.5E-3</c:v>
                </c:pt>
                <c:pt idx="55">
                  <c:v>1.5E-3</c:v>
                </c:pt>
                <c:pt idx="56">
                  <c:v>1.5E-3</c:v>
                </c:pt>
                <c:pt idx="57">
                  <c:v>1.5E-3</c:v>
                </c:pt>
                <c:pt idx="58">
                  <c:v>1.5E-3</c:v>
                </c:pt>
                <c:pt idx="59">
                  <c:v>1.5E-3</c:v>
                </c:pt>
                <c:pt idx="60">
                  <c:v>1.5E-3</c:v>
                </c:pt>
                <c:pt idx="61">
                  <c:v>1.5E-3</c:v>
                </c:pt>
                <c:pt idx="62">
                  <c:v>1.5E-3</c:v>
                </c:pt>
                <c:pt idx="63">
                  <c:v>1.5E-3</c:v>
                </c:pt>
                <c:pt idx="64">
                  <c:v>1.5E-3</c:v>
                </c:pt>
                <c:pt idx="65">
                  <c:v>1.5E-3</c:v>
                </c:pt>
                <c:pt idx="66">
                  <c:v>1.5E-3</c:v>
                </c:pt>
                <c:pt idx="67">
                  <c:v>1.5E-3</c:v>
                </c:pt>
                <c:pt idx="68">
                  <c:v>1.5E-3</c:v>
                </c:pt>
                <c:pt idx="69">
                  <c:v>1.5E-3</c:v>
                </c:pt>
                <c:pt idx="70">
                  <c:v>1.5E-3</c:v>
                </c:pt>
                <c:pt idx="71">
                  <c:v>1.5E-3</c:v>
                </c:pt>
                <c:pt idx="72">
                  <c:v>1.5E-3</c:v>
                </c:pt>
                <c:pt idx="73">
                  <c:v>1.5E-3</c:v>
                </c:pt>
                <c:pt idx="74">
                  <c:v>1.5E-3</c:v>
                </c:pt>
                <c:pt idx="75">
                  <c:v>1.5E-3</c:v>
                </c:pt>
                <c:pt idx="76">
                  <c:v>1.5E-3</c:v>
                </c:pt>
                <c:pt idx="77">
                  <c:v>1.5E-3</c:v>
                </c:pt>
                <c:pt idx="78">
                  <c:v>1.5E-3</c:v>
                </c:pt>
                <c:pt idx="79">
                  <c:v>1.5E-3</c:v>
                </c:pt>
                <c:pt idx="80">
                  <c:v>1.5E-3</c:v>
                </c:pt>
                <c:pt idx="81">
                  <c:v>1.5E-3</c:v>
                </c:pt>
                <c:pt idx="82">
                  <c:v>1.5E-3</c:v>
                </c:pt>
                <c:pt idx="83">
                  <c:v>1.5E-3</c:v>
                </c:pt>
                <c:pt idx="84">
                  <c:v>1.5E-3</c:v>
                </c:pt>
                <c:pt idx="85">
                  <c:v>1.5E-3</c:v>
                </c:pt>
                <c:pt idx="86">
                  <c:v>1.5E-3</c:v>
                </c:pt>
                <c:pt idx="87">
                  <c:v>1.5E-3</c:v>
                </c:pt>
                <c:pt idx="88">
                  <c:v>1.5E-3</c:v>
                </c:pt>
                <c:pt idx="89">
                  <c:v>1.5E-3</c:v>
                </c:pt>
                <c:pt idx="90">
                  <c:v>1.5E-3</c:v>
                </c:pt>
                <c:pt idx="91">
                  <c:v>1.5E-3</c:v>
                </c:pt>
                <c:pt idx="92">
                  <c:v>1.5E-3</c:v>
                </c:pt>
                <c:pt idx="93">
                  <c:v>1.5E-3</c:v>
                </c:pt>
                <c:pt idx="94">
                  <c:v>1.5E-3</c:v>
                </c:pt>
              </c:numCache>
            </c:numRef>
          </c:val>
          <c:smooth val="0"/>
        </c:ser>
        <c:ser>
          <c:idx val="4"/>
          <c:order val="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FF000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'FTD9'!$AL$6:$AL$100</c:f>
              <c:numCache>
                <c:formatCode>General</c:formatCode>
                <c:ptCount val="95"/>
                <c:pt idx="0">
                  <c:v>-1.5E-3</c:v>
                </c:pt>
                <c:pt idx="1">
                  <c:v>-1.5E-3</c:v>
                </c:pt>
                <c:pt idx="2">
                  <c:v>-1.5E-3</c:v>
                </c:pt>
                <c:pt idx="3">
                  <c:v>-1.5E-3</c:v>
                </c:pt>
                <c:pt idx="4">
                  <c:v>-1.5E-3</c:v>
                </c:pt>
                <c:pt idx="5">
                  <c:v>-1.5E-3</c:v>
                </c:pt>
                <c:pt idx="6">
                  <c:v>-1.5E-3</c:v>
                </c:pt>
                <c:pt idx="7">
                  <c:v>-1.5E-3</c:v>
                </c:pt>
                <c:pt idx="8">
                  <c:v>-1.5E-3</c:v>
                </c:pt>
                <c:pt idx="9">
                  <c:v>-1.5E-3</c:v>
                </c:pt>
                <c:pt idx="10">
                  <c:v>-1.5E-3</c:v>
                </c:pt>
                <c:pt idx="11">
                  <c:v>-1.5E-3</c:v>
                </c:pt>
                <c:pt idx="12">
                  <c:v>-1.5E-3</c:v>
                </c:pt>
                <c:pt idx="13">
                  <c:v>-1.5E-3</c:v>
                </c:pt>
                <c:pt idx="14">
                  <c:v>-1.5E-3</c:v>
                </c:pt>
                <c:pt idx="15">
                  <c:v>-1.5E-3</c:v>
                </c:pt>
                <c:pt idx="16">
                  <c:v>-1.5E-3</c:v>
                </c:pt>
                <c:pt idx="17">
                  <c:v>-1.5E-3</c:v>
                </c:pt>
                <c:pt idx="18">
                  <c:v>-1.5E-3</c:v>
                </c:pt>
                <c:pt idx="19">
                  <c:v>-1.5E-3</c:v>
                </c:pt>
                <c:pt idx="20">
                  <c:v>-1.5E-3</c:v>
                </c:pt>
                <c:pt idx="21">
                  <c:v>-1.5E-3</c:v>
                </c:pt>
                <c:pt idx="22">
                  <c:v>-1.5E-3</c:v>
                </c:pt>
                <c:pt idx="23">
                  <c:v>-1.5E-3</c:v>
                </c:pt>
                <c:pt idx="24">
                  <c:v>-1.5E-3</c:v>
                </c:pt>
                <c:pt idx="25">
                  <c:v>-1.5E-3</c:v>
                </c:pt>
                <c:pt idx="26">
                  <c:v>-1.5E-3</c:v>
                </c:pt>
                <c:pt idx="27">
                  <c:v>-1.5E-3</c:v>
                </c:pt>
                <c:pt idx="28">
                  <c:v>-1.5E-3</c:v>
                </c:pt>
                <c:pt idx="29">
                  <c:v>-1.5E-3</c:v>
                </c:pt>
                <c:pt idx="30">
                  <c:v>-1.5E-3</c:v>
                </c:pt>
                <c:pt idx="31">
                  <c:v>-1.5E-3</c:v>
                </c:pt>
                <c:pt idx="32">
                  <c:v>-1.5E-3</c:v>
                </c:pt>
                <c:pt idx="33">
                  <c:v>-1.5E-3</c:v>
                </c:pt>
                <c:pt idx="34">
                  <c:v>-1.5E-3</c:v>
                </c:pt>
                <c:pt idx="35">
                  <c:v>-1.5E-3</c:v>
                </c:pt>
                <c:pt idx="36">
                  <c:v>-1.5E-3</c:v>
                </c:pt>
                <c:pt idx="37">
                  <c:v>-1.5E-3</c:v>
                </c:pt>
                <c:pt idx="38">
                  <c:v>-1.5E-3</c:v>
                </c:pt>
                <c:pt idx="39">
                  <c:v>-1.5E-3</c:v>
                </c:pt>
                <c:pt idx="40">
                  <c:v>-1.5E-3</c:v>
                </c:pt>
                <c:pt idx="41">
                  <c:v>-1.5E-3</c:v>
                </c:pt>
                <c:pt idx="42">
                  <c:v>-1.5E-3</c:v>
                </c:pt>
                <c:pt idx="43">
                  <c:v>-1.5E-3</c:v>
                </c:pt>
                <c:pt idx="44">
                  <c:v>-1.5E-3</c:v>
                </c:pt>
                <c:pt idx="45">
                  <c:v>-1.5E-3</c:v>
                </c:pt>
                <c:pt idx="46">
                  <c:v>-1.5E-3</c:v>
                </c:pt>
                <c:pt idx="47">
                  <c:v>-1.5E-3</c:v>
                </c:pt>
                <c:pt idx="48">
                  <c:v>-1.5E-3</c:v>
                </c:pt>
                <c:pt idx="49">
                  <c:v>-1.5E-3</c:v>
                </c:pt>
                <c:pt idx="50">
                  <c:v>-1.5E-3</c:v>
                </c:pt>
                <c:pt idx="51">
                  <c:v>-1.5E-3</c:v>
                </c:pt>
                <c:pt idx="52">
                  <c:v>-1.5E-3</c:v>
                </c:pt>
                <c:pt idx="53">
                  <c:v>-1.5E-3</c:v>
                </c:pt>
                <c:pt idx="54">
                  <c:v>-1.5E-3</c:v>
                </c:pt>
                <c:pt idx="55">
                  <c:v>-1.5E-3</c:v>
                </c:pt>
                <c:pt idx="56">
                  <c:v>-1.5E-3</c:v>
                </c:pt>
                <c:pt idx="57">
                  <c:v>-1.5E-3</c:v>
                </c:pt>
                <c:pt idx="58">
                  <c:v>-1.5E-3</c:v>
                </c:pt>
                <c:pt idx="59">
                  <c:v>-1.5E-3</c:v>
                </c:pt>
                <c:pt idx="60">
                  <c:v>-1.5E-3</c:v>
                </c:pt>
                <c:pt idx="61">
                  <c:v>-1.5E-3</c:v>
                </c:pt>
                <c:pt idx="62">
                  <c:v>-1.5E-3</c:v>
                </c:pt>
                <c:pt idx="63">
                  <c:v>-1.5E-3</c:v>
                </c:pt>
                <c:pt idx="64">
                  <c:v>-1.5E-3</c:v>
                </c:pt>
                <c:pt idx="65">
                  <c:v>-1.5E-3</c:v>
                </c:pt>
                <c:pt idx="66">
                  <c:v>-1.5E-3</c:v>
                </c:pt>
                <c:pt idx="67">
                  <c:v>-1.5E-3</c:v>
                </c:pt>
                <c:pt idx="68">
                  <c:v>-1.5E-3</c:v>
                </c:pt>
                <c:pt idx="69">
                  <c:v>-1.5E-3</c:v>
                </c:pt>
                <c:pt idx="70">
                  <c:v>-1.5E-3</c:v>
                </c:pt>
                <c:pt idx="71">
                  <c:v>-1.5E-3</c:v>
                </c:pt>
                <c:pt idx="72">
                  <c:v>-1.5E-3</c:v>
                </c:pt>
                <c:pt idx="73">
                  <c:v>-1.5E-3</c:v>
                </c:pt>
                <c:pt idx="74">
                  <c:v>-1.5E-3</c:v>
                </c:pt>
                <c:pt idx="75">
                  <c:v>-1.5E-3</c:v>
                </c:pt>
                <c:pt idx="76">
                  <c:v>-1.5E-3</c:v>
                </c:pt>
                <c:pt idx="77">
                  <c:v>-1.5E-3</c:v>
                </c:pt>
                <c:pt idx="78">
                  <c:v>-1.5E-3</c:v>
                </c:pt>
                <c:pt idx="79">
                  <c:v>-1.5E-3</c:v>
                </c:pt>
                <c:pt idx="80">
                  <c:v>-1.5E-3</c:v>
                </c:pt>
                <c:pt idx="81">
                  <c:v>-1.5E-3</c:v>
                </c:pt>
                <c:pt idx="82">
                  <c:v>-1.5E-3</c:v>
                </c:pt>
                <c:pt idx="83">
                  <c:v>-1.5E-3</c:v>
                </c:pt>
                <c:pt idx="84">
                  <c:v>-1.5E-3</c:v>
                </c:pt>
                <c:pt idx="85">
                  <c:v>-1.5E-3</c:v>
                </c:pt>
                <c:pt idx="86">
                  <c:v>-1.5E-3</c:v>
                </c:pt>
                <c:pt idx="87">
                  <c:v>-1.5E-3</c:v>
                </c:pt>
                <c:pt idx="88">
                  <c:v>-1.5E-3</c:v>
                </c:pt>
                <c:pt idx="89">
                  <c:v>-1.5E-3</c:v>
                </c:pt>
                <c:pt idx="90">
                  <c:v>-1.5E-3</c:v>
                </c:pt>
                <c:pt idx="91">
                  <c:v>-1.5E-3</c:v>
                </c:pt>
                <c:pt idx="92">
                  <c:v>-1.5E-3</c:v>
                </c:pt>
                <c:pt idx="93">
                  <c:v>-1.5E-3</c:v>
                </c:pt>
                <c:pt idx="94">
                  <c:v>-1.5E-3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'FTD9'!$AW$4</c:f>
              <c:strCache>
                <c:ptCount val="1"/>
                <c:pt idx="0">
                  <c:v>内規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'FTD9'!$AS$6:$AS$100</c:f>
              <c:numCache>
                <c:formatCode>General</c:formatCode>
                <c:ptCount val="95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1E-3</c:v>
                </c:pt>
                <c:pt idx="21">
                  <c:v>1E-3</c:v>
                </c:pt>
                <c:pt idx="22">
                  <c:v>1E-3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1E-3</c:v>
                </c:pt>
                <c:pt idx="27">
                  <c:v>1E-3</c:v>
                </c:pt>
                <c:pt idx="28">
                  <c:v>1E-3</c:v>
                </c:pt>
                <c:pt idx="29">
                  <c:v>1E-3</c:v>
                </c:pt>
                <c:pt idx="30">
                  <c:v>1E-3</c:v>
                </c:pt>
                <c:pt idx="31">
                  <c:v>1E-3</c:v>
                </c:pt>
                <c:pt idx="32">
                  <c:v>1E-3</c:v>
                </c:pt>
                <c:pt idx="33">
                  <c:v>1E-3</c:v>
                </c:pt>
                <c:pt idx="34">
                  <c:v>1E-3</c:v>
                </c:pt>
                <c:pt idx="35">
                  <c:v>1E-3</c:v>
                </c:pt>
                <c:pt idx="36">
                  <c:v>1E-3</c:v>
                </c:pt>
                <c:pt idx="37">
                  <c:v>1E-3</c:v>
                </c:pt>
                <c:pt idx="38">
                  <c:v>1E-3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  <c:pt idx="46">
                  <c:v>1E-3</c:v>
                </c:pt>
                <c:pt idx="47">
                  <c:v>1E-3</c:v>
                </c:pt>
                <c:pt idx="48">
                  <c:v>1E-3</c:v>
                </c:pt>
                <c:pt idx="49">
                  <c:v>1E-3</c:v>
                </c:pt>
                <c:pt idx="50">
                  <c:v>1E-3</c:v>
                </c:pt>
                <c:pt idx="51">
                  <c:v>1E-3</c:v>
                </c:pt>
                <c:pt idx="52">
                  <c:v>1E-3</c:v>
                </c:pt>
                <c:pt idx="53">
                  <c:v>1E-3</c:v>
                </c:pt>
                <c:pt idx="54">
                  <c:v>1E-3</c:v>
                </c:pt>
                <c:pt idx="55">
                  <c:v>1E-3</c:v>
                </c:pt>
                <c:pt idx="56">
                  <c:v>1E-3</c:v>
                </c:pt>
                <c:pt idx="57">
                  <c:v>1E-3</c:v>
                </c:pt>
                <c:pt idx="58">
                  <c:v>1E-3</c:v>
                </c:pt>
                <c:pt idx="59">
                  <c:v>1E-3</c:v>
                </c:pt>
                <c:pt idx="60">
                  <c:v>1E-3</c:v>
                </c:pt>
                <c:pt idx="61">
                  <c:v>1E-3</c:v>
                </c:pt>
                <c:pt idx="62">
                  <c:v>1E-3</c:v>
                </c:pt>
                <c:pt idx="63">
                  <c:v>1E-3</c:v>
                </c:pt>
                <c:pt idx="64">
                  <c:v>1E-3</c:v>
                </c:pt>
                <c:pt idx="65">
                  <c:v>1E-3</c:v>
                </c:pt>
                <c:pt idx="66">
                  <c:v>1E-3</c:v>
                </c:pt>
                <c:pt idx="67">
                  <c:v>1E-3</c:v>
                </c:pt>
                <c:pt idx="68">
                  <c:v>1E-3</c:v>
                </c:pt>
                <c:pt idx="69">
                  <c:v>1E-3</c:v>
                </c:pt>
                <c:pt idx="70">
                  <c:v>1E-3</c:v>
                </c:pt>
                <c:pt idx="71">
                  <c:v>1E-3</c:v>
                </c:pt>
                <c:pt idx="72">
                  <c:v>1E-3</c:v>
                </c:pt>
                <c:pt idx="73">
                  <c:v>1E-3</c:v>
                </c:pt>
                <c:pt idx="74">
                  <c:v>1E-3</c:v>
                </c:pt>
                <c:pt idx="75">
                  <c:v>1E-3</c:v>
                </c:pt>
                <c:pt idx="76">
                  <c:v>1E-3</c:v>
                </c:pt>
                <c:pt idx="77">
                  <c:v>1E-3</c:v>
                </c:pt>
                <c:pt idx="78">
                  <c:v>1E-3</c:v>
                </c:pt>
                <c:pt idx="79">
                  <c:v>1E-3</c:v>
                </c:pt>
                <c:pt idx="80">
                  <c:v>1E-3</c:v>
                </c:pt>
                <c:pt idx="81">
                  <c:v>1E-3</c:v>
                </c:pt>
                <c:pt idx="82">
                  <c:v>1E-3</c:v>
                </c:pt>
                <c:pt idx="83">
                  <c:v>1E-3</c:v>
                </c:pt>
                <c:pt idx="84">
                  <c:v>1E-3</c:v>
                </c:pt>
                <c:pt idx="85">
                  <c:v>1E-3</c:v>
                </c:pt>
                <c:pt idx="86">
                  <c:v>1E-3</c:v>
                </c:pt>
                <c:pt idx="87">
                  <c:v>1E-3</c:v>
                </c:pt>
                <c:pt idx="88">
                  <c:v>1E-3</c:v>
                </c:pt>
                <c:pt idx="89">
                  <c:v>1E-3</c:v>
                </c:pt>
                <c:pt idx="90">
                  <c:v>1E-3</c:v>
                </c:pt>
                <c:pt idx="91">
                  <c:v>1E-3</c:v>
                </c:pt>
                <c:pt idx="92">
                  <c:v>1E-3</c:v>
                </c:pt>
                <c:pt idx="93">
                  <c:v>1E-3</c:v>
                </c:pt>
                <c:pt idx="94">
                  <c:v>1E-3</c:v>
                </c:pt>
              </c:numCache>
            </c:numRef>
          </c:val>
          <c:smooth val="0"/>
        </c:ser>
        <c:ser>
          <c:idx val="6"/>
          <c:order val="6"/>
          <c:tx>
            <c:v>内規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>
                <a:solidFill>
                  <a:srgbClr val="0070C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trendlineType val="linear"/>
            <c:forward val="0.5"/>
            <c:backward val="0.5"/>
            <c:dispRSqr val="0"/>
            <c:dispEq val="0"/>
          </c:trendline>
          <c:trendline>
            <c:spPr>
              <a:ln w="19050">
                <a:solidFill>
                  <a:srgbClr val="0070C0"/>
                </a:solidFill>
              </a:ln>
            </c:spPr>
            <c:trendlineType val="linear"/>
            <c:forward val="0.5"/>
            <c:backward val="0.5"/>
            <c:dispRSqr val="0"/>
            <c:dispEq val="0"/>
          </c:trendline>
          <c:cat>
            <c:strRef>
              <c:f>'FTD9'!$F$6:$F$100</c:f>
              <c:strCache>
                <c:ptCount val="12"/>
                <c:pt idx="0">
                  <c:v>2021/02/16</c:v>
                </c:pt>
                <c:pt idx="1">
                  <c:v>2021/02/16</c:v>
                </c:pt>
                <c:pt idx="2">
                  <c:v>2021/02/17</c:v>
                </c:pt>
                <c:pt idx="3">
                  <c:v>2021/02/18</c:v>
                </c:pt>
                <c:pt idx="4">
                  <c:v>2021/02/19</c:v>
                </c:pt>
                <c:pt idx="5">
                  <c:v>2021/02/20</c:v>
                </c:pt>
                <c:pt idx="6">
                  <c:v>2021/02/21</c:v>
                </c:pt>
                <c:pt idx="7">
                  <c:v>2021/02/22</c:v>
                </c:pt>
                <c:pt idx="8">
                  <c:v>2021/02/23</c:v>
                </c:pt>
                <c:pt idx="9">
                  <c:v>2021/02/24</c:v>
                </c:pt>
                <c:pt idx="10">
                  <c:v>2021/02/25</c:v>
                </c:pt>
                <c:pt idx="11">
                  <c:v>2021/02/26</c:v>
                </c:pt>
              </c:strCache>
            </c:strRef>
          </c:cat>
          <c:val>
            <c:numRef>
              <c:f>'FTD9'!$AT$6:$AT$100</c:f>
              <c:numCache>
                <c:formatCode>General</c:formatCode>
                <c:ptCount val="95"/>
                <c:pt idx="0">
                  <c:v>-1E-3</c:v>
                </c:pt>
                <c:pt idx="1">
                  <c:v>-1E-3</c:v>
                </c:pt>
                <c:pt idx="2">
                  <c:v>-1E-3</c:v>
                </c:pt>
                <c:pt idx="3">
                  <c:v>-1E-3</c:v>
                </c:pt>
                <c:pt idx="4">
                  <c:v>-1E-3</c:v>
                </c:pt>
                <c:pt idx="5">
                  <c:v>-1E-3</c:v>
                </c:pt>
                <c:pt idx="6">
                  <c:v>-1E-3</c:v>
                </c:pt>
                <c:pt idx="7">
                  <c:v>-1E-3</c:v>
                </c:pt>
                <c:pt idx="8">
                  <c:v>-1E-3</c:v>
                </c:pt>
                <c:pt idx="9">
                  <c:v>-1E-3</c:v>
                </c:pt>
                <c:pt idx="10">
                  <c:v>-1E-3</c:v>
                </c:pt>
                <c:pt idx="11">
                  <c:v>-1E-3</c:v>
                </c:pt>
                <c:pt idx="12">
                  <c:v>-1E-3</c:v>
                </c:pt>
                <c:pt idx="13">
                  <c:v>-1E-3</c:v>
                </c:pt>
                <c:pt idx="14">
                  <c:v>-1E-3</c:v>
                </c:pt>
                <c:pt idx="15">
                  <c:v>-1E-3</c:v>
                </c:pt>
                <c:pt idx="16">
                  <c:v>-1E-3</c:v>
                </c:pt>
                <c:pt idx="17">
                  <c:v>-1E-3</c:v>
                </c:pt>
                <c:pt idx="18">
                  <c:v>-1E-3</c:v>
                </c:pt>
                <c:pt idx="19">
                  <c:v>-1E-3</c:v>
                </c:pt>
                <c:pt idx="20">
                  <c:v>-1E-3</c:v>
                </c:pt>
                <c:pt idx="21">
                  <c:v>-1E-3</c:v>
                </c:pt>
                <c:pt idx="22">
                  <c:v>-1E-3</c:v>
                </c:pt>
                <c:pt idx="23">
                  <c:v>-1E-3</c:v>
                </c:pt>
                <c:pt idx="24">
                  <c:v>-1E-3</c:v>
                </c:pt>
                <c:pt idx="25">
                  <c:v>-1E-3</c:v>
                </c:pt>
                <c:pt idx="26">
                  <c:v>-1E-3</c:v>
                </c:pt>
                <c:pt idx="27">
                  <c:v>-1E-3</c:v>
                </c:pt>
                <c:pt idx="28">
                  <c:v>-1E-3</c:v>
                </c:pt>
                <c:pt idx="29">
                  <c:v>-1E-3</c:v>
                </c:pt>
                <c:pt idx="30">
                  <c:v>-1E-3</c:v>
                </c:pt>
                <c:pt idx="31">
                  <c:v>-1E-3</c:v>
                </c:pt>
                <c:pt idx="32">
                  <c:v>-1E-3</c:v>
                </c:pt>
                <c:pt idx="33">
                  <c:v>-1E-3</c:v>
                </c:pt>
                <c:pt idx="34">
                  <c:v>-1E-3</c:v>
                </c:pt>
                <c:pt idx="35">
                  <c:v>-1E-3</c:v>
                </c:pt>
                <c:pt idx="36">
                  <c:v>-1E-3</c:v>
                </c:pt>
                <c:pt idx="37">
                  <c:v>-1E-3</c:v>
                </c:pt>
                <c:pt idx="38">
                  <c:v>-1E-3</c:v>
                </c:pt>
                <c:pt idx="39">
                  <c:v>-1E-3</c:v>
                </c:pt>
                <c:pt idx="40">
                  <c:v>-1E-3</c:v>
                </c:pt>
                <c:pt idx="41">
                  <c:v>-1E-3</c:v>
                </c:pt>
                <c:pt idx="42">
                  <c:v>-1E-3</c:v>
                </c:pt>
                <c:pt idx="43">
                  <c:v>-1E-3</c:v>
                </c:pt>
                <c:pt idx="44">
                  <c:v>-1E-3</c:v>
                </c:pt>
                <c:pt idx="45">
                  <c:v>-1E-3</c:v>
                </c:pt>
                <c:pt idx="46">
                  <c:v>-1E-3</c:v>
                </c:pt>
                <c:pt idx="47">
                  <c:v>-1E-3</c:v>
                </c:pt>
                <c:pt idx="48">
                  <c:v>-1E-3</c:v>
                </c:pt>
                <c:pt idx="49">
                  <c:v>-1E-3</c:v>
                </c:pt>
                <c:pt idx="50">
                  <c:v>-1E-3</c:v>
                </c:pt>
                <c:pt idx="51">
                  <c:v>-1E-3</c:v>
                </c:pt>
                <c:pt idx="52">
                  <c:v>-1E-3</c:v>
                </c:pt>
                <c:pt idx="53">
                  <c:v>-1E-3</c:v>
                </c:pt>
                <c:pt idx="54">
                  <c:v>-1E-3</c:v>
                </c:pt>
                <c:pt idx="55">
                  <c:v>-1E-3</c:v>
                </c:pt>
                <c:pt idx="56">
                  <c:v>-1E-3</c:v>
                </c:pt>
                <c:pt idx="57">
                  <c:v>-1E-3</c:v>
                </c:pt>
                <c:pt idx="58">
                  <c:v>-1E-3</c:v>
                </c:pt>
                <c:pt idx="59">
                  <c:v>-1E-3</c:v>
                </c:pt>
                <c:pt idx="60">
                  <c:v>-1E-3</c:v>
                </c:pt>
                <c:pt idx="61">
                  <c:v>-1E-3</c:v>
                </c:pt>
                <c:pt idx="62">
                  <c:v>-1E-3</c:v>
                </c:pt>
                <c:pt idx="63">
                  <c:v>-1E-3</c:v>
                </c:pt>
                <c:pt idx="64">
                  <c:v>-1E-3</c:v>
                </c:pt>
                <c:pt idx="65">
                  <c:v>-1E-3</c:v>
                </c:pt>
                <c:pt idx="66">
                  <c:v>-1E-3</c:v>
                </c:pt>
                <c:pt idx="67">
                  <c:v>-1E-3</c:v>
                </c:pt>
                <c:pt idx="68">
                  <c:v>-1E-3</c:v>
                </c:pt>
                <c:pt idx="69">
                  <c:v>-1E-3</c:v>
                </c:pt>
                <c:pt idx="70">
                  <c:v>-1E-3</c:v>
                </c:pt>
                <c:pt idx="71">
                  <c:v>-1E-3</c:v>
                </c:pt>
                <c:pt idx="72">
                  <c:v>-1E-3</c:v>
                </c:pt>
                <c:pt idx="73">
                  <c:v>-1E-3</c:v>
                </c:pt>
                <c:pt idx="74">
                  <c:v>-1E-3</c:v>
                </c:pt>
                <c:pt idx="75">
                  <c:v>-1E-3</c:v>
                </c:pt>
                <c:pt idx="76">
                  <c:v>-1E-3</c:v>
                </c:pt>
                <c:pt idx="77">
                  <c:v>-1E-3</c:v>
                </c:pt>
                <c:pt idx="78">
                  <c:v>-1E-3</c:v>
                </c:pt>
                <c:pt idx="79">
                  <c:v>-1E-3</c:v>
                </c:pt>
                <c:pt idx="80">
                  <c:v>-1E-3</c:v>
                </c:pt>
                <c:pt idx="81">
                  <c:v>-1E-3</c:v>
                </c:pt>
                <c:pt idx="82">
                  <c:v>-1E-3</c:v>
                </c:pt>
                <c:pt idx="83">
                  <c:v>-1E-3</c:v>
                </c:pt>
                <c:pt idx="84">
                  <c:v>-1E-3</c:v>
                </c:pt>
                <c:pt idx="85">
                  <c:v>-1E-3</c:v>
                </c:pt>
                <c:pt idx="86">
                  <c:v>-1E-3</c:v>
                </c:pt>
                <c:pt idx="87">
                  <c:v>-1E-3</c:v>
                </c:pt>
                <c:pt idx="88">
                  <c:v>-1E-3</c:v>
                </c:pt>
                <c:pt idx="89">
                  <c:v>-1E-3</c:v>
                </c:pt>
                <c:pt idx="90">
                  <c:v>-1E-3</c:v>
                </c:pt>
                <c:pt idx="91">
                  <c:v>-1E-3</c:v>
                </c:pt>
                <c:pt idx="92">
                  <c:v>-1E-3</c:v>
                </c:pt>
                <c:pt idx="93">
                  <c:v>-1E-3</c:v>
                </c:pt>
                <c:pt idx="94">
                  <c:v>-1E-3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800712"/>
        <c:axId val="335808160"/>
      </c:lineChart>
      <c:catAx>
        <c:axId val="335800712"/>
        <c:scaling>
          <c:orientation val="minMax"/>
        </c:scaling>
        <c:delete val="0"/>
        <c:axPos val="b"/>
        <c:majorGridlines/>
        <c:numFmt formatCode="yyyy/mm/dd" sourceLinked="1"/>
        <c:majorTickMark val="out"/>
        <c:minorTickMark val="none"/>
        <c:tickLblPos val="low"/>
        <c:txPr>
          <a:bodyPr rot="-5400000" vert="horz"/>
          <a:lstStyle/>
          <a:p>
            <a:pPr>
              <a:defRPr sz="900"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08160"/>
        <c:crosses val="autoZero"/>
        <c:auto val="0"/>
        <c:lblAlgn val="ctr"/>
        <c:lblOffset val="100"/>
        <c:noMultiLvlLbl val="0"/>
      </c:catAx>
      <c:valAx>
        <c:axId val="335808160"/>
        <c:scaling>
          <c:orientation val="minMax"/>
          <c:max val="2.0000000000000005E-3"/>
          <c:min val="-2.0000000000000005E-3"/>
        </c:scaling>
        <c:delete val="0"/>
        <c:axPos val="l"/>
        <c:numFmt formatCode="#,##0.000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Meiryo UI" panose="020B0604030504040204" pitchFamily="50" charset="-128"/>
                <a:ea typeface="Meiryo UI" panose="020B0604030504040204" pitchFamily="50" charset="-128"/>
              </a:defRPr>
            </a:pPr>
            <a:endParaRPr lang="ja-JP"/>
          </a:p>
        </c:txPr>
        <c:crossAx val="335800712"/>
        <c:crosses val="autoZero"/>
        <c:crossBetween val="between"/>
        <c:majorUnit val="1.0000000000000002E-3"/>
      </c:valAx>
      <c:spPr>
        <a:ln>
          <a:solidFill>
            <a:schemeClr val="tx1"/>
          </a:solidFill>
        </a:ln>
      </c:spPr>
    </c:plotArea>
    <c:legend>
      <c:legendPos val="t"/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66085002916302138"/>
          <c:y val="2.3666132366976615E-2"/>
          <c:w val="0.33914998385575656"/>
          <c:h val="8.1147192473051827E-2"/>
        </c:manualLayout>
      </c:layout>
      <c:overlay val="0"/>
      <c:txPr>
        <a:bodyPr/>
        <a:lstStyle/>
        <a:p>
          <a:pPr>
            <a:defRPr>
              <a:latin typeface="Meiryo UI" panose="020B0604030504040204" pitchFamily="50" charset="-128"/>
              <a:ea typeface="Meiryo UI" panose="020B0604030504040204" pitchFamily="50" charset="-128"/>
            </a:defRPr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5</xdr:col>
          <xdr:colOff>104775</xdr:colOff>
          <xdr:row>1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○×判定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105</xdr:row>
      <xdr:rowOff>0</xdr:rowOff>
    </xdr:from>
    <xdr:to>
      <xdr:col>16</xdr:col>
      <xdr:colOff>571840</xdr:colOff>
      <xdr:row>124</xdr:row>
      <xdr:rowOff>58171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16</xdr:col>
      <xdr:colOff>550409</xdr:colOff>
      <xdr:row>146</xdr:row>
      <xdr:rowOff>52729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657225</xdr:colOff>
      <xdr:row>105</xdr:row>
      <xdr:rowOff>0</xdr:rowOff>
    </xdr:from>
    <xdr:to>
      <xdr:col>36</xdr:col>
      <xdr:colOff>626268</xdr:colOff>
      <xdr:row>124</xdr:row>
      <xdr:rowOff>52728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647700</xdr:colOff>
      <xdr:row>127</xdr:row>
      <xdr:rowOff>0</xdr:rowOff>
    </xdr:from>
    <xdr:to>
      <xdr:col>36</xdr:col>
      <xdr:colOff>616743</xdr:colOff>
      <xdr:row>146</xdr:row>
      <xdr:rowOff>52728</xdr:rowOff>
    </xdr:to>
    <xdr:graphicFrame macro="">
      <xdr:nvGraphicFramePr>
        <xdr:cNvPr id="12" name="グラフ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57150</xdr:rowOff>
        </xdr:from>
        <xdr:to>
          <xdr:col>8</xdr:col>
          <xdr:colOff>295275</xdr:colOff>
          <xdr:row>2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XX日分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0</xdr:row>
          <xdr:rowOff>28575</xdr:rowOff>
        </xdr:from>
        <xdr:to>
          <xdr:col>12</xdr:col>
          <xdr:colOff>190500</xdr:colOff>
          <xdr:row>2</xdr:row>
          <xdr:rowOff>28575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1day取得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609600</xdr:colOff>
          <xdr:row>0</xdr:row>
          <xdr:rowOff>38100</xdr:rowOff>
        </xdr:from>
        <xdr:to>
          <xdr:col>14</xdr:col>
          <xdr:colOff>0</xdr:colOff>
          <xdr:row>1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全シート削除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638175</xdr:colOff>
          <xdr:row>0</xdr:row>
          <xdr:rowOff>95250</xdr:rowOff>
        </xdr:from>
        <xdr:to>
          <xdr:col>19</xdr:col>
          <xdr:colOff>628650</xdr:colOff>
          <xdr:row>2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サンプル4,5削除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105</xdr:row>
      <xdr:rowOff>0</xdr:rowOff>
    </xdr:from>
    <xdr:to>
      <xdr:col>16</xdr:col>
      <xdr:colOff>571840</xdr:colOff>
      <xdr:row>124</xdr:row>
      <xdr:rowOff>58171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16</xdr:col>
      <xdr:colOff>550409</xdr:colOff>
      <xdr:row>146</xdr:row>
      <xdr:rowOff>52729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657225</xdr:colOff>
      <xdr:row>105</xdr:row>
      <xdr:rowOff>0</xdr:rowOff>
    </xdr:from>
    <xdr:to>
      <xdr:col>36</xdr:col>
      <xdr:colOff>626268</xdr:colOff>
      <xdr:row>124</xdr:row>
      <xdr:rowOff>52728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647700</xdr:colOff>
      <xdr:row>127</xdr:row>
      <xdr:rowOff>0</xdr:rowOff>
    </xdr:from>
    <xdr:to>
      <xdr:col>36</xdr:col>
      <xdr:colOff>616743</xdr:colOff>
      <xdr:row>146</xdr:row>
      <xdr:rowOff>52728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105</xdr:row>
      <xdr:rowOff>0</xdr:rowOff>
    </xdr:from>
    <xdr:to>
      <xdr:col>16</xdr:col>
      <xdr:colOff>571840</xdr:colOff>
      <xdr:row>124</xdr:row>
      <xdr:rowOff>58171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16</xdr:col>
      <xdr:colOff>550409</xdr:colOff>
      <xdr:row>146</xdr:row>
      <xdr:rowOff>52729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657225</xdr:colOff>
      <xdr:row>105</xdr:row>
      <xdr:rowOff>0</xdr:rowOff>
    </xdr:from>
    <xdr:to>
      <xdr:col>36</xdr:col>
      <xdr:colOff>626268</xdr:colOff>
      <xdr:row>124</xdr:row>
      <xdr:rowOff>52728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647700</xdr:colOff>
      <xdr:row>127</xdr:row>
      <xdr:rowOff>0</xdr:rowOff>
    </xdr:from>
    <xdr:to>
      <xdr:col>36</xdr:col>
      <xdr:colOff>616743</xdr:colOff>
      <xdr:row>146</xdr:row>
      <xdr:rowOff>52728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105</xdr:row>
      <xdr:rowOff>0</xdr:rowOff>
    </xdr:from>
    <xdr:to>
      <xdr:col>16</xdr:col>
      <xdr:colOff>571840</xdr:colOff>
      <xdr:row>124</xdr:row>
      <xdr:rowOff>58171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16</xdr:col>
      <xdr:colOff>550409</xdr:colOff>
      <xdr:row>146</xdr:row>
      <xdr:rowOff>52729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657225</xdr:colOff>
      <xdr:row>105</xdr:row>
      <xdr:rowOff>0</xdr:rowOff>
    </xdr:from>
    <xdr:to>
      <xdr:col>36</xdr:col>
      <xdr:colOff>626268</xdr:colOff>
      <xdr:row>124</xdr:row>
      <xdr:rowOff>52728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647700</xdr:colOff>
      <xdr:row>127</xdr:row>
      <xdr:rowOff>0</xdr:rowOff>
    </xdr:from>
    <xdr:to>
      <xdr:col>36</xdr:col>
      <xdr:colOff>616743</xdr:colOff>
      <xdr:row>146</xdr:row>
      <xdr:rowOff>52728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105</xdr:row>
      <xdr:rowOff>0</xdr:rowOff>
    </xdr:from>
    <xdr:to>
      <xdr:col>16</xdr:col>
      <xdr:colOff>571840</xdr:colOff>
      <xdr:row>124</xdr:row>
      <xdr:rowOff>58171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16</xdr:col>
      <xdr:colOff>550409</xdr:colOff>
      <xdr:row>146</xdr:row>
      <xdr:rowOff>52729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657225</xdr:colOff>
      <xdr:row>105</xdr:row>
      <xdr:rowOff>0</xdr:rowOff>
    </xdr:from>
    <xdr:to>
      <xdr:col>36</xdr:col>
      <xdr:colOff>626268</xdr:colOff>
      <xdr:row>124</xdr:row>
      <xdr:rowOff>52728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647700</xdr:colOff>
      <xdr:row>127</xdr:row>
      <xdr:rowOff>0</xdr:rowOff>
    </xdr:from>
    <xdr:to>
      <xdr:col>36</xdr:col>
      <xdr:colOff>616743</xdr:colOff>
      <xdr:row>146</xdr:row>
      <xdr:rowOff>52728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105</xdr:row>
      <xdr:rowOff>0</xdr:rowOff>
    </xdr:from>
    <xdr:to>
      <xdr:col>16</xdr:col>
      <xdr:colOff>571840</xdr:colOff>
      <xdr:row>124</xdr:row>
      <xdr:rowOff>58171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16</xdr:col>
      <xdr:colOff>550409</xdr:colOff>
      <xdr:row>146</xdr:row>
      <xdr:rowOff>52729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657225</xdr:colOff>
      <xdr:row>105</xdr:row>
      <xdr:rowOff>0</xdr:rowOff>
    </xdr:from>
    <xdr:to>
      <xdr:col>36</xdr:col>
      <xdr:colOff>626268</xdr:colOff>
      <xdr:row>124</xdr:row>
      <xdr:rowOff>52728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647700</xdr:colOff>
      <xdr:row>127</xdr:row>
      <xdr:rowOff>0</xdr:rowOff>
    </xdr:from>
    <xdr:to>
      <xdr:col>36</xdr:col>
      <xdr:colOff>616743</xdr:colOff>
      <xdr:row>146</xdr:row>
      <xdr:rowOff>52728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105</xdr:row>
      <xdr:rowOff>0</xdr:rowOff>
    </xdr:from>
    <xdr:to>
      <xdr:col>16</xdr:col>
      <xdr:colOff>571840</xdr:colOff>
      <xdr:row>124</xdr:row>
      <xdr:rowOff>58171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16</xdr:col>
      <xdr:colOff>550409</xdr:colOff>
      <xdr:row>146</xdr:row>
      <xdr:rowOff>52729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657225</xdr:colOff>
      <xdr:row>105</xdr:row>
      <xdr:rowOff>0</xdr:rowOff>
    </xdr:from>
    <xdr:to>
      <xdr:col>36</xdr:col>
      <xdr:colOff>626268</xdr:colOff>
      <xdr:row>124</xdr:row>
      <xdr:rowOff>52728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647700</xdr:colOff>
      <xdr:row>127</xdr:row>
      <xdr:rowOff>0</xdr:rowOff>
    </xdr:from>
    <xdr:to>
      <xdr:col>36</xdr:col>
      <xdr:colOff>616743</xdr:colOff>
      <xdr:row>146</xdr:row>
      <xdr:rowOff>52728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105</xdr:row>
      <xdr:rowOff>0</xdr:rowOff>
    </xdr:from>
    <xdr:to>
      <xdr:col>16</xdr:col>
      <xdr:colOff>571840</xdr:colOff>
      <xdr:row>124</xdr:row>
      <xdr:rowOff>58171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16</xdr:col>
      <xdr:colOff>550409</xdr:colOff>
      <xdr:row>146</xdr:row>
      <xdr:rowOff>52729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657225</xdr:colOff>
      <xdr:row>105</xdr:row>
      <xdr:rowOff>0</xdr:rowOff>
    </xdr:from>
    <xdr:to>
      <xdr:col>36</xdr:col>
      <xdr:colOff>626268</xdr:colOff>
      <xdr:row>124</xdr:row>
      <xdr:rowOff>52728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647700</xdr:colOff>
      <xdr:row>127</xdr:row>
      <xdr:rowOff>0</xdr:rowOff>
    </xdr:from>
    <xdr:to>
      <xdr:col>36</xdr:col>
      <xdr:colOff>616743</xdr:colOff>
      <xdr:row>146</xdr:row>
      <xdr:rowOff>52728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105</xdr:row>
      <xdr:rowOff>0</xdr:rowOff>
    </xdr:from>
    <xdr:to>
      <xdr:col>16</xdr:col>
      <xdr:colOff>571840</xdr:colOff>
      <xdr:row>124</xdr:row>
      <xdr:rowOff>58171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16</xdr:col>
      <xdr:colOff>550409</xdr:colOff>
      <xdr:row>146</xdr:row>
      <xdr:rowOff>52729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657225</xdr:colOff>
      <xdr:row>105</xdr:row>
      <xdr:rowOff>0</xdr:rowOff>
    </xdr:from>
    <xdr:to>
      <xdr:col>36</xdr:col>
      <xdr:colOff>626268</xdr:colOff>
      <xdr:row>124</xdr:row>
      <xdr:rowOff>52728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647700</xdr:colOff>
      <xdr:row>127</xdr:row>
      <xdr:rowOff>0</xdr:rowOff>
    </xdr:from>
    <xdr:to>
      <xdr:col>36</xdr:col>
      <xdr:colOff>616743</xdr:colOff>
      <xdr:row>146</xdr:row>
      <xdr:rowOff>52728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105</xdr:row>
      <xdr:rowOff>0</xdr:rowOff>
    </xdr:from>
    <xdr:to>
      <xdr:col>16</xdr:col>
      <xdr:colOff>571840</xdr:colOff>
      <xdr:row>124</xdr:row>
      <xdr:rowOff>58171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16</xdr:col>
      <xdr:colOff>550409</xdr:colOff>
      <xdr:row>146</xdr:row>
      <xdr:rowOff>52729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657225</xdr:colOff>
      <xdr:row>105</xdr:row>
      <xdr:rowOff>0</xdr:rowOff>
    </xdr:from>
    <xdr:to>
      <xdr:col>36</xdr:col>
      <xdr:colOff>626268</xdr:colOff>
      <xdr:row>124</xdr:row>
      <xdr:rowOff>52728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647700</xdr:colOff>
      <xdr:row>127</xdr:row>
      <xdr:rowOff>0</xdr:rowOff>
    </xdr:from>
    <xdr:to>
      <xdr:col>36</xdr:col>
      <xdr:colOff>616743</xdr:colOff>
      <xdr:row>146</xdr:row>
      <xdr:rowOff>52728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105</xdr:row>
      <xdr:rowOff>0</xdr:rowOff>
    </xdr:from>
    <xdr:to>
      <xdr:col>16</xdr:col>
      <xdr:colOff>571840</xdr:colOff>
      <xdr:row>124</xdr:row>
      <xdr:rowOff>58171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16</xdr:col>
      <xdr:colOff>550409</xdr:colOff>
      <xdr:row>146</xdr:row>
      <xdr:rowOff>52729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657225</xdr:colOff>
      <xdr:row>105</xdr:row>
      <xdr:rowOff>0</xdr:rowOff>
    </xdr:from>
    <xdr:to>
      <xdr:col>36</xdr:col>
      <xdr:colOff>626268</xdr:colOff>
      <xdr:row>124</xdr:row>
      <xdr:rowOff>52728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647700</xdr:colOff>
      <xdr:row>127</xdr:row>
      <xdr:rowOff>0</xdr:rowOff>
    </xdr:from>
    <xdr:to>
      <xdr:col>36</xdr:col>
      <xdr:colOff>616743</xdr:colOff>
      <xdr:row>146</xdr:row>
      <xdr:rowOff>52728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105</xdr:row>
      <xdr:rowOff>0</xdr:rowOff>
    </xdr:from>
    <xdr:to>
      <xdr:col>16</xdr:col>
      <xdr:colOff>571840</xdr:colOff>
      <xdr:row>124</xdr:row>
      <xdr:rowOff>58171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16</xdr:col>
      <xdr:colOff>550409</xdr:colOff>
      <xdr:row>146</xdr:row>
      <xdr:rowOff>52729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657225</xdr:colOff>
      <xdr:row>105</xdr:row>
      <xdr:rowOff>0</xdr:rowOff>
    </xdr:from>
    <xdr:to>
      <xdr:col>36</xdr:col>
      <xdr:colOff>626268</xdr:colOff>
      <xdr:row>124</xdr:row>
      <xdr:rowOff>52728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647700</xdr:colOff>
      <xdr:row>127</xdr:row>
      <xdr:rowOff>0</xdr:rowOff>
    </xdr:from>
    <xdr:to>
      <xdr:col>36</xdr:col>
      <xdr:colOff>616743</xdr:colOff>
      <xdr:row>146</xdr:row>
      <xdr:rowOff>52728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105</xdr:row>
      <xdr:rowOff>0</xdr:rowOff>
    </xdr:from>
    <xdr:to>
      <xdr:col>16</xdr:col>
      <xdr:colOff>571840</xdr:colOff>
      <xdr:row>124</xdr:row>
      <xdr:rowOff>58171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127</xdr:row>
      <xdr:rowOff>0</xdr:rowOff>
    </xdr:from>
    <xdr:to>
      <xdr:col>16</xdr:col>
      <xdr:colOff>550409</xdr:colOff>
      <xdr:row>146</xdr:row>
      <xdr:rowOff>52729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657225</xdr:colOff>
      <xdr:row>105</xdr:row>
      <xdr:rowOff>0</xdr:rowOff>
    </xdr:from>
    <xdr:to>
      <xdr:col>36</xdr:col>
      <xdr:colOff>626268</xdr:colOff>
      <xdr:row>124</xdr:row>
      <xdr:rowOff>52728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647700</xdr:colOff>
      <xdr:row>127</xdr:row>
      <xdr:rowOff>0</xdr:rowOff>
    </xdr:from>
    <xdr:to>
      <xdr:col>36</xdr:col>
      <xdr:colOff>616743</xdr:colOff>
      <xdr:row>146</xdr:row>
      <xdr:rowOff>52728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BA35"/>
  <sheetViews>
    <sheetView workbookViewId="0">
      <selection activeCell="Q18" sqref="Q18"/>
    </sheetView>
  </sheetViews>
  <sheetFormatPr defaultRowHeight="13.5"/>
  <cols>
    <col min="1" max="1" width="11.625" bestFit="1" customWidth="1"/>
    <col min="2" max="2" width="3.625" bestFit="1" customWidth="1"/>
    <col min="3" max="5" width="3.375" bestFit="1" customWidth="1"/>
    <col min="6" max="6" width="3.625" bestFit="1" customWidth="1"/>
    <col min="7" max="9" width="3.375" bestFit="1" customWidth="1"/>
    <col min="10" max="10" width="3.625" bestFit="1" customWidth="1"/>
    <col min="11" max="13" width="3.375" bestFit="1" customWidth="1"/>
    <col min="14" max="14" width="3.625" bestFit="1" customWidth="1"/>
    <col min="15" max="17" width="3.375" bestFit="1" customWidth="1"/>
    <col min="18" max="18" width="3.625" bestFit="1" customWidth="1"/>
    <col min="19" max="21" width="3.375" bestFit="1" customWidth="1"/>
    <col min="22" max="22" width="3.625" bestFit="1" customWidth="1"/>
    <col min="23" max="25" width="3.375" bestFit="1" customWidth="1"/>
    <col min="26" max="26" width="3.625" bestFit="1" customWidth="1"/>
    <col min="27" max="29" width="3.375" bestFit="1" customWidth="1"/>
    <col min="30" max="30" width="3.625" bestFit="1" customWidth="1"/>
    <col min="31" max="33" width="3.375" bestFit="1" customWidth="1"/>
    <col min="34" max="34" width="3.625" bestFit="1" customWidth="1"/>
    <col min="35" max="37" width="3.375" bestFit="1" customWidth="1"/>
    <col min="38" max="38" width="3.625" bestFit="1" customWidth="1"/>
    <col min="39" max="41" width="3.375" bestFit="1" customWidth="1"/>
    <col min="42" max="42" width="3.625" bestFit="1" customWidth="1"/>
    <col min="43" max="45" width="3.375" bestFit="1" customWidth="1"/>
    <col min="46" max="46" width="3.625" bestFit="1" customWidth="1"/>
    <col min="47" max="49" width="3.375" bestFit="1" customWidth="1"/>
    <col min="50" max="50" width="3.625" bestFit="1" customWidth="1"/>
    <col min="51" max="53" width="3.375" bestFit="1" customWidth="1"/>
  </cols>
  <sheetData>
    <row r="2" spans="1:53">
      <c r="A2" s="33" t="s">
        <v>19</v>
      </c>
    </row>
    <row r="3" spans="1:53">
      <c r="B3" s="34" t="s">
        <v>20</v>
      </c>
      <c r="C3" s="34"/>
      <c r="D3" s="34"/>
      <c r="E3" s="34"/>
      <c r="F3" s="34" t="s">
        <v>25</v>
      </c>
      <c r="G3" s="34"/>
      <c r="H3" s="34"/>
      <c r="I3" s="34"/>
      <c r="J3" s="34" t="s">
        <v>26</v>
      </c>
      <c r="K3" s="34"/>
      <c r="L3" s="34"/>
      <c r="M3" s="34"/>
      <c r="N3" s="34" t="s">
        <v>27</v>
      </c>
      <c r="O3" s="34"/>
      <c r="P3" s="34"/>
      <c r="Q3" s="34"/>
      <c r="R3" s="34" t="s">
        <v>28</v>
      </c>
      <c r="S3" s="34"/>
      <c r="T3" s="34"/>
      <c r="U3" s="34"/>
      <c r="V3" s="34" t="s">
        <v>29</v>
      </c>
      <c r="W3" s="34"/>
      <c r="X3" s="34"/>
      <c r="Y3" s="34"/>
      <c r="Z3" s="34" t="s">
        <v>30</v>
      </c>
      <c r="AA3" s="34"/>
      <c r="AB3" s="34"/>
      <c r="AC3" s="34"/>
      <c r="AD3" s="34" t="s">
        <v>31</v>
      </c>
      <c r="AE3" s="34"/>
      <c r="AF3" s="34"/>
      <c r="AG3" s="34"/>
      <c r="AH3" s="34" t="s">
        <v>32</v>
      </c>
      <c r="AI3" s="34"/>
      <c r="AJ3" s="34"/>
      <c r="AK3" s="34"/>
      <c r="AL3" s="34" t="s">
        <v>33</v>
      </c>
      <c r="AM3" s="34"/>
      <c r="AN3" s="34"/>
      <c r="AO3" s="34"/>
      <c r="AP3" s="34" t="s">
        <v>34</v>
      </c>
      <c r="AQ3" s="34"/>
      <c r="AR3" s="34"/>
      <c r="AS3" s="34"/>
      <c r="AT3" s="34" t="s">
        <v>35</v>
      </c>
      <c r="AU3" s="34"/>
      <c r="AV3" s="34"/>
      <c r="AW3" s="34"/>
      <c r="AX3" s="34" t="s">
        <v>36</v>
      </c>
      <c r="AY3" s="34"/>
      <c r="AZ3" s="34"/>
      <c r="BA3" s="34"/>
    </row>
    <row r="4" spans="1:53">
      <c r="B4" s="2" t="s">
        <v>21</v>
      </c>
      <c r="C4" s="2" t="s">
        <v>22</v>
      </c>
      <c r="D4" s="2" t="s">
        <v>23</v>
      </c>
      <c r="E4" s="2" t="s">
        <v>24</v>
      </c>
      <c r="F4" s="2" t="s">
        <v>21</v>
      </c>
      <c r="G4" s="2" t="s">
        <v>22</v>
      </c>
      <c r="H4" s="2" t="s">
        <v>23</v>
      </c>
      <c r="I4" s="2" t="s">
        <v>24</v>
      </c>
      <c r="J4" s="2" t="s">
        <v>21</v>
      </c>
      <c r="K4" s="2" t="s">
        <v>22</v>
      </c>
      <c r="L4" s="2" t="s">
        <v>23</v>
      </c>
      <c r="M4" s="2" t="s">
        <v>24</v>
      </c>
      <c r="N4" s="2" t="s">
        <v>21</v>
      </c>
      <c r="O4" s="2" t="s">
        <v>22</v>
      </c>
      <c r="P4" s="2" t="s">
        <v>23</v>
      </c>
      <c r="Q4" s="2" t="s">
        <v>24</v>
      </c>
      <c r="R4" s="2" t="s">
        <v>21</v>
      </c>
      <c r="S4" s="2" t="s">
        <v>22</v>
      </c>
      <c r="T4" s="2" t="s">
        <v>23</v>
      </c>
      <c r="U4" s="2" t="s">
        <v>24</v>
      </c>
      <c r="V4" s="2" t="s">
        <v>21</v>
      </c>
      <c r="W4" s="2" t="s">
        <v>22</v>
      </c>
      <c r="X4" s="2" t="s">
        <v>23</v>
      </c>
      <c r="Y4" s="2" t="s">
        <v>24</v>
      </c>
      <c r="Z4" s="2" t="s">
        <v>21</v>
      </c>
      <c r="AA4" s="2" t="s">
        <v>22</v>
      </c>
      <c r="AB4" s="2" t="s">
        <v>23</v>
      </c>
      <c r="AC4" s="2" t="s">
        <v>24</v>
      </c>
      <c r="AD4" s="2" t="s">
        <v>21</v>
      </c>
      <c r="AE4" s="2" t="s">
        <v>22</v>
      </c>
      <c r="AF4" s="2" t="s">
        <v>23</v>
      </c>
      <c r="AG4" s="2" t="s">
        <v>24</v>
      </c>
      <c r="AH4" s="2" t="s">
        <v>21</v>
      </c>
      <c r="AI4" s="2" t="s">
        <v>22</v>
      </c>
      <c r="AJ4" s="2" t="s">
        <v>23</v>
      </c>
      <c r="AK4" s="2" t="s">
        <v>24</v>
      </c>
      <c r="AL4" s="2" t="s">
        <v>21</v>
      </c>
      <c r="AM4" s="2" t="s">
        <v>22</v>
      </c>
      <c r="AN4" s="2" t="s">
        <v>23</v>
      </c>
      <c r="AO4" s="2" t="s">
        <v>24</v>
      </c>
      <c r="AP4" s="2" t="s">
        <v>21</v>
      </c>
      <c r="AQ4" s="2" t="s">
        <v>22</v>
      </c>
      <c r="AR4" s="2" t="s">
        <v>23</v>
      </c>
      <c r="AS4" s="2" t="s">
        <v>24</v>
      </c>
      <c r="AT4" s="2" t="s">
        <v>21</v>
      </c>
      <c r="AU4" s="2" t="s">
        <v>22</v>
      </c>
      <c r="AV4" s="2" t="s">
        <v>23</v>
      </c>
      <c r="AW4" s="2" t="s">
        <v>24</v>
      </c>
      <c r="AX4" s="2" t="s">
        <v>21</v>
      </c>
      <c r="AY4" s="2" t="s">
        <v>22</v>
      </c>
      <c r="AZ4" s="2" t="s">
        <v>23</v>
      </c>
      <c r="BA4" s="2" t="s">
        <v>24</v>
      </c>
    </row>
    <row r="5" spans="1:53">
      <c r="A5" s="17">
        <v>44146</v>
      </c>
      <c r="B5" s="28" t="s">
        <v>41</v>
      </c>
      <c r="C5" s="28" t="s">
        <v>39</v>
      </c>
      <c r="D5" s="28" t="s">
        <v>39</v>
      </c>
      <c r="E5" s="28" t="s">
        <v>42</v>
      </c>
      <c r="F5" s="28" t="s">
        <v>39</v>
      </c>
      <c r="G5" s="28" t="s">
        <v>39</v>
      </c>
      <c r="H5" s="28" t="s">
        <v>39</v>
      </c>
      <c r="I5" s="28" t="s">
        <v>39</v>
      </c>
      <c r="J5" s="28" t="s">
        <v>43</v>
      </c>
      <c r="K5" s="28" t="s">
        <v>44</v>
      </c>
      <c r="L5" s="28" t="s">
        <v>44</v>
      </c>
      <c r="M5" s="28" t="s">
        <v>39</v>
      </c>
      <c r="N5" s="28" t="s">
        <v>44</v>
      </c>
      <c r="O5" s="28" t="s">
        <v>44</v>
      </c>
      <c r="P5" s="28" t="s">
        <v>44</v>
      </c>
      <c r="Q5" s="28" t="s">
        <v>44</v>
      </c>
      <c r="R5" s="28" t="s">
        <v>44</v>
      </c>
      <c r="S5" s="28" t="s">
        <v>39</v>
      </c>
      <c r="T5" s="28" t="s">
        <v>44</v>
      </c>
      <c r="U5" s="28" t="s">
        <v>44</v>
      </c>
      <c r="V5" s="28" t="s">
        <v>43</v>
      </c>
      <c r="W5" s="28" t="s">
        <v>44</v>
      </c>
      <c r="X5" s="28" t="s">
        <v>44</v>
      </c>
      <c r="Y5" s="28" t="s">
        <v>44</v>
      </c>
      <c r="Z5" s="28" t="s">
        <v>43</v>
      </c>
      <c r="AA5" s="28" t="s">
        <v>44</v>
      </c>
      <c r="AB5" s="28" t="s">
        <v>44</v>
      </c>
      <c r="AC5" s="28" t="s">
        <v>44</v>
      </c>
      <c r="AD5" s="28" t="s">
        <v>44</v>
      </c>
      <c r="AE5" s="28" t="s">
        <v>44</v>
      </c>
      <c r="AF5" s="28" t="s">
        <v>44</v>
      </c>
      <c r="AG5" s="28" t="s">
        <v>44</v>
      </c>
      <c r="AH5" s="28" t="s">
        <v>43</v>
      </c>
      <c r="AI5" s="28" t="s">
        <v>44</v>
      </c>
      <c r="AJ5" s="28" t="s">
        <v>44</v>
      </c>
      <c r="AK5" s="28" t="s">
        <v>44</v>
      </c>
      <c r="AL5" s="28" t="s">
        <v>40</v>
      </c>
      <c r="AM5" s="28" t="s">
        <v>39</v>
      </c>
      <c r="AN5" s="28" t="s">
        <v>39</v>
      </c>
      <c r="AO5" s="28" t="s">
        <v>39</v>
      </c>
      <c r="AP5" s="28" t="s">
        <v>44</v>
      </c>
      <c r="AQ5" s="28" t="s">
        <v>44</v>
      </c>
      <c r="AR5" s="28" t="s">
        <v>44</v>
      </c>
      <c r="AS5" s="28" t="s">
        <v>44</v>
      </c>
      <c r="AT5" s="28" t="s">
        <v>43</v>
      </c>
      <c r="AU5" s="28" t="s">
        <v>44</v>
      </c>
      <c r="AV5" s="28" t="s">
        <v>44</v>
      </c>
      <c r="AW5" s="28" t="s">
        <v>44</v>
      </c>
      <c r="AX5" s="28" t="s">
        <v>44</v>
      </c>
      <c r="AY5" s="28" t="s">
        <v>44</v>
      </c>
      <c r="AZ5" s="28" t="s">
        <v>44</v>
      </c>
      <c r="BA5" s="28" t="s">
        <v>44</v>
      </c>
    </row>
    <row r="6" spans="1:53">
      <c r="A6" s="17">
        <v>44147</v>
      </c>
      <c r="B6" s="28" t="s">
        <v>44</v>
      </c>
      <c r="C6" s="28" t="s">
        <v>44</v>
      </c>
      <c r="D6" s="28" t="s">
        <v>44</v>
      </c>
      <c r="E6" s="28" t="s">
        <v>44</v>
      </c>
      <c r="F6" s="28" t="s">
        <v>39</v>
      </c>
      <c r="G6" s="28" t="s">
        <v>39</v>
      </c>
      <c r="H6" s="28" t="s">
        <v>39</v>
      </c>
      <c r="I6" s="28" t="s">
        <v>39</v>
      </c>
      <c r="J6" s="28" t="s">
        <v>43</v>
      </c>
      <c r="K6" s="28" t="s">
        <v>44</v>
      </c>
      <c r="L6" s="28" t="s">
        <v>44</v>
      </c>
      <c r="M6" s="28" t="s">
        <v>44</v>
      </c>
      <c r="N6" s="28" t="s">
        <v>44</v>
      </c>
      <c r="O6" s="28" t="s">
        <v>44</v>
      </c>
      <c r="P6" s="28" t="s">
        <v>44</v>
      </c>
      <c r="Q6" s="28" t="s">
        <v>44</v>
      </c>
      <c r="R6" s="28" t="s">
        <v>44</v>
      </c>
      <c r="S6" s="28" t="s">
        <v>44</v>
      </c>
      <c r="T6" s="28" t="s">
        <v>44</v>
      </c>
      <c r="U6" s="28" t="s">
        <v>44</v>
      </c>
      <c r="V6" s="28" t="s">
        <v>43</v>
      </c>
      <c r="W6" s="28" t="s">
        <v>44</v>
      </c>
      <c r="X6" s="28" t="s">
        <v>44</v>
      </c>
      <c r="Y6" s="28" t="s">
        <v>44</v>
      </c>
      <c r="Z6" s="28" t="s">
        <v>43</v>
      </c>
      <c r="AA6" s="28" t="s">
        <v>44</v>
      </c>
      <c r="AB6" s="28" t="s">
        <v>44</v>
      </c>
      <c r="AC6" s="28" t="s">
        <v>44</v>
      </c>
      <c r="AD6" s="28" t="s">
        <v>44</v>
      </c>
      <c r="AE6" s="28" t="s">
        <v>44</v>
      </c>
      <c r="AF6" s="28" t="s">
        <v>39</v>
      </c>
      <c r="AG6" s="28" t="s">
        <v>44</v>
      </c>
      <c r="AH6" s="28" t="s">
        <v>43</v>
      </c>
      <c r="AI6" s="28" t="s">
        <v>44</v>
      </c>
      <c r="AJ6" s="28" t="s">
        <v>44</v>
      </c>
      <c r="AK6" s="28" t="s">
        <v>44</v>
      </c>
      <c r="AL6" s="28" t="s">
        <v>40</v>
      </c>
      <c r="AM6" s="28" t="s">
        <v>39</v>
      </c>
      <c r="AN6" s="28" t="s">
        <v>39</v>
      </c>
      <c r="AO6" s="28" t="s">
        <v>39</v>
      </c>
      <c r="AP6" s="28" t="s">
        <v>44</v>
      </c>
      <c r="AQ6" s="28" t="s">
        <v>44</v>
      </c>
      <c r="AR6" s="28" t="s">
        <v>44</v>
      </c>
      <c r="AS6" s="28" t="s">
        <v>44</v>
      </c>
      <c r="AT6" s="28" t="s">
        <v>44</v>
      </c>
      <c r="AU6" s="28" t="s">
        <v>44</v>
      </c>
      <c r="AV6" s="28" t="s">
        <v>44</v>
      </c>
      <c r="AW6" s="28" t="s">
        <v>44</v>
      </c>
      <c r="AX6" s="28" t="s">
        <v>44</v>
      </c>
      <c r="AY6" s="28" t="s">
        <v>44</v>
      </c>
      <c r="AZ6" s="28" t="s">
        <v>44</v>
      </c>
      <c r="BA6" s="28" t="s">
        <v>44</v>
      </c>
    </row>
    <row r="7" spans="1:53">
      <c r="A7" s="17">
        <v>44148</v>
      </c>
      <c r="B7" s="28" t="s">
        <v>44</v>
      </c>
      <c r="C7" s="28" t="s">
        <v>44</v>
      </c>
      <c r="D7" s="28" t="s">
        <v>44</v>
      </c>
      <c r="E7" s="28" t="s">
        <v>44</v>
      </c>
      <c r="F7" s="28" t="s">
        <v>39</v>
      </c>
      <c r="G7" s="28" t="s">
        <v>39</v>
      </c>
      <c r="H7" s="28" t="s">
        <v>39</v>
      </c>
      <c r="I7" s="28" t="s">
        <v>39</v>
      </c>
      <c r="J7" s="28" t="s">
        <v>44</v>
      </c>
      <c r="K7" s="28" t="s">
        <v>44</v>
      </c>
      <c r="L7" s="28" t="s">
        <v>44</v>
      </c>
      <c r="M7" s="28" t="s">
        <v>44</v>
      </c>
      <c r="N7" s="28" t="s">
        <v>44</v>
      </c>
      <c r="O7" s="28" t="s">
        <v>44</v>
      </c>
      <c r="P7" s="28" t="s">
        <v>44</v>
      </c>
      <c r="Q7" s="28" t="s">
        <v>44</v>
      </c>
      <c r="R7" s="28" t="s">
        <v>44</v>
      </c>
      <c r="S7" s="28" t="s">
        <v>44</v>
      </c>
      <c r="T7" s="28" t="s">
        <v>44</v>
      </c>
      <c r="U7" s="28" t="s">
        <v>44</v>
      </c>
      <c r="V7" s="28" t="s">
        <v>43</v>
      </c>
      <c r="W7" s="28" t="s">
        <v>44</v>
      </c>
      <c r="X7" s="28" t="s">
        <v>44</v>
      </c>
      <c r="Y7" s="28" t="s">
        <v>44</v>
      </c>
      <c r="Z7" s="28" t="s">
        <v>43</v>
      </c>
      <c r="AA7" s="28" t="s">
        <v>44</v>
      </c>
      <c r="AB7" s="28" t="s">
        <v>44</v>
      </c>
      <c r="AC7" s="28" t="s">
        <v>44</v>
      </c>
      <c r="AD7" s="28" t="s">
        <v>44</v>
      </c>
      <c r="AE7" s="28" t="s">
        <v>44</v>
      </c>
      <c r="AF7" s="28" t="s">
        <v>44</v>
      </c>
      <c r="AG7" s="28" t="s">
        <v>44</v>
      </c>
      <c r="AH7" s="28" t="s">
        <v>43</v>
      </c>
      <c r="AI7" s="28" t="s">
        <v>44</v>
      </c>
      <c r="AJ7" s="28" t="s">
        <v>44</v>
      </c>
      <c r="AK7" s="28" t="s">
        <v>44</v>
      </c>
      <c r="AL7" s="28" t="s">
        <v>40</v>
      </c>
      <c r="AM7" s="28" t="s">
        <v>39</v>
      </c>
      <c r="AN7" s="28" t="s">
        <v>39</v>
      </c>
      <c r="AO7" s="28" t="s">
        <v>39</v>
      </c>
      <c r="AP7" s="28" t="s">
        <v>44</v>
      </c>
      <c r="AQ7" s="28" t="s">
        <v>44</v>
      </c>
      <c r="AR7" s="28" t="s">
        <v>44</v>
      </c>
      <c r="AS7" s="28" t="s">
        <v>44</v>
      </c>
      <c r="AT7" s="28" t="s">
        <v>44</v>
      </c>
      <c r="AU7" s="28" t="s">
        <v>44</v>
      </c>
      <c r="AV7" s="28" t="s">
        <v>44</v>
      </c>
      <c r="AW7" s="28" t="s">
        <v>44</v>
      </c>
      <c r="AX7" s="28" t="s">
        <v>44</v>
      </c>
      <c r="AY7" s="28" t="s">
        <v>44</v>
      </c>
      <c r="AZ7" s="28" t="s">
        <v>44</v>
      </c>
      <c r="BA7" s="28" t="s">
        <v>44</v>
      </c>
    </row>
    <row r="8" spans="1:53">
      <c r="A8" s="17">
        <v>44149</v>
      </c>
      <c r="B8" s="28" t="s">
        <v>44</v>
      </c>
      <c r="C8" s="28" t="s">
        <v>44</v>
      </c>
      <c r="D8" s="28" t="s">
        <v>44</v>
      </c>
      <c r="E8" s="28" t="s">
        <v>44</v>
      </c>
      <c r="F8" s="28" t="s">
        <v>39</v>
      </c>
      <c r="G8" s="28" t="s">
        <v>39</v>
      </c>
      <c r="H8" s="28" t="s">
        <v>39</v>
      </c>
      <c r="I8" s="28" t="s">
        <v>39</v>
      </c>
      <c r="J8" s="28" t="s">
        <v>44</v>
      </c>
      <c r="K8" s="28" t="s">
        <v>44</v>
      </c>
      <c r="L8" s="28" t="s">
        <v>44</v>
      </c>
      <c r="M8" s="28" t="s">
        <v>44</v>
      </c>
      <c r="N8" s="28" t="s">
        <v>44</v>
      </c>
      <c r="O8" s="28" t="s">
        <v>44</v>
      </c>
      <c r="P8" s="28" t="s">
        <v>44</v>
      </c>
      <c r="Q8" s="28" t="s">
        <v>44</v>
      </c>
      <c r="R8" s="28" t="s">
        <v>44</v>
      </c>
      <c r="S8" s="28" t="s">
        <v>44</v>
      </c>
      <c r="T8" s="28" t="s">
        <v>44</v>
      </c>
      <c r="U8" s="28" t="s">
        <v>44</v>
      </c>
      <c r="V8" s="28" t="s">
        <v>43</v>
      </c>
      <c r="W8" s="28" t="s">
        <v>44</v>
      </c>
      <c r="X8" s="28" t="s">
        <v>44</v>
      </c>
      <c r="Y8" s="28" t="s">
        <v>44</v>
      </c>
      <c r="Z8" s="28" t="s">
        <v>43</v>
      </c>
      <c r="AA8" s="28" t="s">
        <v>44</v>
      </c>
      <c r="AB8" s="28" t="s">
        <v>44</v>
      </c>
      <c r="AC8" s="28" t="s">
        <v>44</v>
      </c>
      <c r="AD8" s="28" t="s">
        <v>44</v>
      </c>
      <c r="AE8" s="28" t="s">
        <v>44</v>
      </c>
      <c r="AF8" s="28" t="s">
        <v>44</v>
      </c>
      <c r="AG8" s="28" t="s">
        <v>44</v>
      </c>
      <c r="AH8" s="28" t="s">
        <v>43</v>
      </c>
      <c r="AI8" s="28" t="s">
        <v>44</v>
      </c>
      <c r="AJ8" s="28" t="s">
        <v>44</v>
      </c>
      <c r="AK8" s="28" t="s">
        <v>44</v>
      </c>
      <c r="AL8" s="28" t="s">
        <v>40</v>
      </c>
      <c r="AM8" s="28" t="s">
        <v>39</v>
      </c>
      <c r="AN8" s="28" t="s">
        <v>39</v>
      </c>
      <c r="AO8" s="28" t="s">
        <v>39</v>
      </c>
      <c r="AP8" s="28" t="s">
        <v>44</v>
      </c>
      <c r="AQ8" s="28" t="s">
        <v>44</v>
      </c>
      <c r="AR8" s="28" t="s">
        <v>44</v>
      </c>
      <c r="AS8" s="28" t="s">
        <v>44</v>
      </c>
      <c r="AT8" s="28" t="s">
        <v>44</v>
      </c>
      <c r="AU8" s="28" t="s">
        <v>44</v>
      </c>
      <c r="AV8" s="28" t="s">
        <v>44</v>
      </c>
      <c r="AW8" s="28" t="s">
        <v>44</v>
      </c>
      <c r="AX8" s="28" t="s">
        <v>44</v>
      </c>
      <c r="AY8" s="28" t="s">
        <v>44</v>
      </c>
      <c r="AZ8" s="28" t="s">
        <v>44</v>
      </c>
      <c r="BA8" s="28" t="s">
        <v>44</v>
      </c>
    </row>
    <row r="9" spans="1:53">
      <c r="A9" s="17">
        <v>44150</v>
      </c>
      <c r="B9" s="28" t="s">
        <v>44</v>
      </c>
      <c r="C9" s="28" t="s">
        <v>44</v>
      </c>
      <c r="D9" s="28" t="s">
        <v>44</v>
      </c>
      <c r="E9" s="28" t="s">
        <v>44</v>
      </c>
      <c r="F9" s="28" t="s">
        <v>39</v>
      </c>
      <c r="G9" s="28" t="s">
        <v>39</v>
      </c>
      <c r="H9" s="28" t="s">
        <v>39</v>
      </c>
      <c r="I9" s="28" t="s">
        <v>39</v>
      </c>
      <c r="J9" s="28" t="s">
        <v>43</v>
      </c>
      <c r="K9" s="28" t="s">
        <v>44</v>
      </c>
      <c r="L9" s="28" t="s">
        <v>44</v>
      </c>
      <c r="M9" s="28" t="s">
        <v>44</v>
      </c>
      <c r="N9" s="28" t="s">
        <v>44</v>
      </c>
      <c r="O9" s="28" t="s">
        <v>44</v>
      </c>
      <c r="P9" s="28" t="s">
        <v>44</v>
      </c>
      <c r="Q9" s="28" t="s">
        <v>44</v>
      </c>
      <c r="R9" s="28" t="s">
        <v>44</v>
      </c>
      <c r="S9" s="28" t="s">
        <v>44</v>
      </c>
      <c r="T9" s="28" t="s">
        <v>44</v>
      </c>
      <c r="U9" s="28" t="s">
        <v>44</v>
      </c>
      <c r="V9" s="28" t="s">
        <v>43</v>
      </c>
      <c r="W9" s="28" t="s">
        <v>44</v>
      </c>
      <c r="X9" s="28" t="s">
        <v>44</v>
      </c>
      <c r="Y9" s="28" t="s">
        <v>44</v>
      </c>
      <c r="Z9" s="28" t="s">
        <v>43</v>
      </c>
      <c r="AA9" s="28" t="s">
        <v>44</v>
      </c>
      <c r="AB9" s="28" t="s">
        <v>44</v>
      </c>
      <c r="AC9" s="28" t="s">
        <v>44</v>
      </c>
      <c r="AD9" s="28" t="s">
        <v>44</v>
      </c>
      <c r="AE9" s="28" t="s">
        <v>44</v>
      </c>
      <c r="AF9" s="28" t="s">
        <v>44</v>
      </c>
      <c r="AG9" s="28" t="s">
        <v>44</v>
      </c>
      <c r="AH9" s="28" t="s">
        <v>43</v>
      </c>
      <c r="AI9" s="28" t="s">
        <v>44</v>
      </c>
      <c r="AJ9" s="28" t="s">
        <v>44</v>
      </c>
      <c r="AK9" s="28" t="s">
        <v>44</v>
      </c>
      <c r="AL9" s="28" t="s">
        <v>40</v>
      </c>
      <c r="AM9" s="28" t="s">
        <v>39</v>
      </c>
      <c r="AN9" s="28" t="s">
        <v>39</v>
      </c>
      <c r="AO9" s="28" t="s">
        <v>40</v>
      </c>
      <c r="AP9" s="28" t="s">
        <v>44</v>
      </c>
      <c r="AQ9" s="28" t="s">
        <v>44</v>
      </c>
      <c r="AR9" s="28" t="s">
        <v>44</v>
      </c>
      <c r="AS9" s="28" t="s">
        <v>44</v>
      </c>
      <c r="AT9" s="28" t="s">
        <v>44</v>
      </c>
      <c r="AU9" s="28" t="s">
        <v>44</v>
      </c>
      <c r="AV9" s="28" t="s">
        <v>44</v>
      </c>
      <c r="AW9" s="28" t="s">
        <v>44</v>
      </c>
      <c r="AX9" s="28" t="s">
        <v>44</v>
      </c>
      <c r="AY9" s="28" t="s">
        <v>44</v>
      </c>
      <c r="AZ9" s="28" t="s">
        <v>44</v>
      </c>
      <c r="BA9" s="28" t="s">
        <v>44</v>
      </c>
    </row>
    <row r="10" spans="1:53">
      <c r="A10" s="17">
        <v>44151</v>
      </c>
      <c r="B10" s="28" t="s">
        <v>44</v>
      </c>
      <c r="C10" s="28" t="s">
        <v>44</v>
      </c>
      <c r="D10" s="28" t="s">
        <v>44</v>
      </c>
      <c r="E10" s="28" t="s">
        <v>45</v>
      </c>
      <c r="F10" s="28" t="s">
        <v>38</v>
      </c>
      <c r="G10" s="28" t="s">
        <v>38</v>
      </c>
      <c r="H10" s="28" t="s">
        <v>38</v>
      </c>
      <c r="I10" s="28" t="s">
        <v>38</v>
      </c>
      <c r="J10" s="28" t="s">
        <v>45</v>
      </c>
      <c r="K10" s="28" t="s">
        <v>45</v>
      </c>
      <c r="L10" s="28" t="s">
        <v>45</v>
      </c>
      <c r="M10" s="28" t="s">
        <v>45</v>
      </c>
      <c r="N10" s="28" t="s">
        <v>45</v>
      </c>
      <c r="O10" s="28" t="s">
        <v>45</v>
      </c>
      <c r="P10" s="28" t="s">
        <v>45</v>
      </c>
      <c r="Q10" s="28" t="s">
        <v>45</v>
      </c>
      <c r="R10" s="28" t="s">
        <v>45</v>
      </c>
      <c r="S10" s="28" t="s">
        <v>45</v>
      </c>
      <c r="T10" s="28" t="s">
        <v>45</v>
      </c>
      <c r="U10" s="28" t="s">
        <v>45</v>
      </c>
      <c r="V10" s="28" t="s">
        <v>46</v>
      </c>
      <c r="W10" s="28" t="s">
        <v>45</v>
      </c>
      <c r="X10" s="28" t="s">
        <v>45</v>
      </c>
      <c r="Y10" s="28" t="s">
        <v>45</v>
      </c>
      <c r="Z10" s="28" t="s">
        <v>46</v>
      </c>
      <c r="AA10" s="28" t="s">
        <v>45</v>
      </c>
      <c r="AB10" s="28" t="s">
        <v>45</v>
      </c>
      <c r="AC10" s="28" t="s">
        <v>45</v>
      </c>
      <c r="AD10" s="28" t="s">
        <v>45</v>
      </c>
      <c r="AE10" s="28" t="s">
        <v>45</v>
      </c>
      <c r="AF10" s="28" t="s">
        <v>45</v>
      </c>
      <c r="AG10" s="28" t="s">
        <v>45</v>
      </c>
      <c r="AH10" s="28" t="s">
        <v>46</v>
      </c>
      <c r="AI10" s="28" t="s">
        <v>45</v>
      </c>
      <c r="AJ10" s="28" t="s">
        <v>45</v>
      </c>
      <c r="AK10" s="28" t="s">
        <v>44</v>
      </c>
      <c r="AL10" s="28" t="s">
        <v>43</v>
      </c>
      <c r="AM10" s="28" t="s">
        <v>44</v>
      </c>
      <c r="AN10" s="28" t="s">
        <v>44</v>
      </c>
      <c r="AO10" s="28" t="s">
        <v>44</v>
      </c>
      <c r="AP10" s="28" t="s">
        <v>44</v>
      </c>
      <c r="AQ10" s="28" t="s">
        <v>44</v>
      </c>
      <c r="AR10" s="28" t="s">
        <v>44</v>
      </c>
      <c r="AS10" s="28" t="s">
        <v>44</v>
      </c>
      <c r="AT10" s="28" t="s">
        <v>43</v>
      </c>
      <c r="AU10" s="28" t="s">
        <v>44</v>
      </c>
      <c r="AV10" s="28" t="s">
        <v>44</v>
      </c>
      <c r="AW10" s="28" t="s">
        <v>44</v>
      </c>
      <c r="AX10" s="28" t="s">
        <v>44</v>
      </c>
      <c r="AY10" s="28" t="s">
        <v>44</v>
      </c>
      <c r="AZ10" s="28" t="s">
        <v>44</v>
      </c>
      <c r="BA10" s="28" t="s">
        <v>44</v>
      </c>
    </row>
    <row r="11" spans="1:53">
      <c r="A11" s="17">
        <v>44152</v>
      </c>
      <c r="B11" s="28" t="s">
        <v>44</v>
      </c>
      <c r="C11" s="28" t="s">
        <v>44</v>
      </c>
      <c r="D11" s="28" t="s">
        <v>44</v>
      </c>
      <c r="E11" s="28" t="s">
        <v>45</v>
      </c>
      <c r="F11" s="28" t="s">
        <v>38</v>
      </c>
      <c r="G11" s="28" t="s">
        <v>38</v>
      </c>
      <c r="H11" s="28" t="s">
        <v>38</v>
      </c>
      <c r="I11" s="28" t="s">
        <v>38</v>
      </c>
      <c r="J11" s="28" t="s">
        <v>45</v>
      </c>
      <c r="K11" s="28" t="s">
        <v>45</v>
      </c>
      <c r="L11" s="28" t="s">
        <v>45</v>
      </c>
      <c r="M11" s="28" t="s">
        <v>46</v>
      </c>
      <c r="N11" s="28" t="s">
        <v>45</v>
      </c>
      <c r="O11" s="28" t="s">
        <v>45</v>
      </c>
      <c r="P11" s="28" t="s">
        <v>45</v>
      </c>
      <c r="Q11" s="28" t="s">
        <v>45</v>
      </c>
      <c r="R11" s="28" t="s">
        <v>45</v>
      </c>
      <c r="S11" s="28" t="s">
        <v>45</v>
      </c>
      <c r="T11" s="28" t="s">
        <v>45</v>
      </c>
      <c r="U11" s="28" t="s">
        <v>45</v>
      </c>
      <c r="V11" s="28" t="s">
        <v>46</v>
      </c>
      <c r="W11" s="28" t="s">
        <v>45</v>
      </c>
      <c r="X11" s="28" t="s">
        <v>45</v>
      </c>
      <c r="Y11" s="28" t="s">
        <v>45</v>
      </c>
      <c r="Z11" s="28" t="s">
        <v>46</v>
      </c>
      <c r="AA11" s="28" t="s">
        <v>45</v>
      </c>
      <c r="AB11" s="28" t="s">
        <v>45</v>
      </c>
      <c r="AC11" s="28" t="s">
        <v>45</v>
      </c>
      <c r="AD11" s="28" t="s">
        <v>45</v>
      </c>
      <c r="AE11" s="28" t="s">
        <v>45</v>
      </c>
      <c r="AF11" s="28" t="s">
        <v>45</v>
      </c>
      <c r="AG11" s="28" t="s">
        <v>45</v>
      </c>
      <c r="AH11" s="28" t="s">
        <v>46</v>
      </c>
      <c r="AI11" s="28" t="s">
        <v>45</v>
      </c>
      <c r="AJ11" s="28" t="s">
        <v>45</v>
      </c>
      <c r="AK11" s="28" t="s">
        <v>44</v>
      </c>
      <c r="AL11" s="28" t="s">
        <v>40</v>
      </c>
      <c r="AM11" s="28" t="s">
        <v>39</v>
      </c>
      <c r="AN11" s="28" t="s">
        <v>39</v>
      </c>
      <c r="AO11" s="28" t="s">
        <v>39</v>
      </c>
      <c r="AP11" s="28" t="s">
        <v>44</v>
      </c>
      <c r="AQ11" s="28" t="s">
        <v>44</v>
      </c>
      <c r="AR11" s="28" t="s">
        <v>44</v>
      </c>
      <c r="AS11" s="28" t="s">
        <v>44</v>
      </c>
      <c r="AT11" s="28" t="s">
        <v>43</v>
      </c>
      <c r="AU11" s="28" t="s">
        <v>44</v>
      </c>
      <c r="AV11" s="28" t="s">
        <v>44</v>
      </c>
      <c r="AW11" s="28" t="s">
        <v>44</v>
      </c>
      <c r="AX11" s="28" t="s">
        <v>44</v>
      </c>
      <c r="AY11" s="28" t="s">
        <v>44</v>
      </c>
      <c r="AZ11" s="28" t="s">
        <v>44</v>
      </c>
      <c r="BA11" s="28" t="s">
        <v>44</v>
      </c>
    </row>
    <row r="12" spans="1:53">
      <c r="A12" s="17">
        <v>44153</v>
      </c>
      <c r="B12" s="28" t="s">
        <v>44</v>
      </c>
      <c r="C12" s="28" t="s">
        <v>44</v>
      </c>
      <c r="D12" s="28" t="s">
        <v>44</v>
      </c>
      <c r="E12" s="28" t="s">
        <v>45</v>
      </c>
      <c r="F12" s="28" t="s">
        <v>38</v>
      </c>
      <c r="G12" s="28" t="s">
        <v>38</v>
      </c>
      <c r="H12" s="28" t="s">
        <v>38</v>
      </c>
      <c r="I12" s="28" t="s">
        <v>38</v>
      </c>
      <c r="J12" s="28" t="s">
        <v>45</v>
      </c>
      <c r="K12" s="28" t="s">
        <v>45</v>
      </c>
      <c r="L12" s="28" t="s">
        <v>45</v>
      </c>
      <c r="M12" s="28" t="s">
        <v>46</v>
      </c>
      <c r="N12" s="28" t="s">
        <v>45</v>
      </c>
      <c r="O12" s="28" t="s">
        <v>45</v>
      </c>
      <c r="P12" s="28" t="s">
        <v>45</v>
      </c>
      <c r="Q12" s="28" t="s">
        <v>45</v>
      </c>
      <c r="R12" s="28" t="s">
        <v>45</v>
      </c>
      <c r="S12" s="28" t="s">
        <v>45</v>
      </c>
      <c r="T12" s="28" t="s">
        <v>45</v>
      </c>
      <c r="U12" s="28" t="s">
        <v>45</v>
      </c>
      <c r="V12" s="28" t="s">
        <v>46</v>
      </c>
      <c r="W12" s="28" t="s">
        <v>45</v>
      </c>
      <c r="X12" s="28" t="s">
        <v>45</v>
      </c>
      <c r="Y12" s="28" t="s">
        <v>45</v>
      </c>
      <c r="Z12" s="28" t="s">
        <v>46</v>
      </c>
      <c r="AA12" s="28" t="s">
        <v>45</v>
      </c>
      <c r="AB12" s="28" t="s">
        <v>45</v>
      </c>
      <c r="AC12" s="28" t="s">
        <v>45</v>
      </c>
      <c r="AD12" s="28" t="s">
        <v>45</v>
      </c>
      <c r="AE12" s="28" t="s">
        <v>45</v>
      </c>
      <c r="AF12" s="28" t="s">
        <v>45</v>
      </c>
      <c r="AG12" s="28" t="s">
        <v>45</v>
      </c>
      <c r="AH12" s="28" t="s">
        <v>46</v>
      </c>
      <c r="AI12" s="28" t="s">
        <v>45</v>
      </c>
      <c r="AJ12" s="28" t="s">
        <v>45</v>
      </c>
      <c r="AK12" s="28" t="s">
        <v>44</v>
      </c>
      <c r="AL12" s="28" t="s">
        <v>40</v>
      </c>
      <c r="AM12" s="28" t="s">
        <v>39</v>
      </c>
      <c r="AN12" s="28" t="s">
        <v>39</v>
      </c>
      <c r="AO12" s="28" t="s">
        <v>39</v>
      </c>
      <c r="AP12" s="28" t="s">
        <v>44</v>
      </c>
      <c r="AQ12" s="28" t="s">
        <v>44</v>
      </c>
      <c r="AR12" s="28" t="s">
        <v>44</v>
      </c>
      <c r="AS12" s="28" t="s">
        <v>44</v>
      </c>
      <c r="AT12" s="28" t="s">
        <v>43</v>
      </c>
      <c r="AU12" s="28" t="s">
        <v>44</v>
      </c>
      <c r="AV12" s="28" t="s">
        <v>44</v>
      </c>
      <c r="AW12" s="28" t="s">
        <v>44</v>
      </c>
      <c r="AX12" s="28" t="s">
        <v>44</v>
      </c>
      <c r="AY12" s="28" t="s">
        <v>44</v>
      </c>
      <c r="AZ12" s="28" t="s">
        <v>44</v>
      </c>
      <c r="BA12" s="28" t="s">
        <v>44</v>
      </c>
    </row>
    <row r="13" spans="1:53">
      <c r="A13" s="17">
        <v>44154</v>
      </c>
      <c r="B13" s="28" t="s">
        <v>44</v>
      </c>
      <c r="C13" s="28" t="s">
        <v>44</v>
      </c>
      <c r="D13" s="28" t="s">
        <v>44</v>
      </c>
      <c r="E13" s="28" t="s">
        <v>45</v>
      </c>
      <c r="F13" s="28" t="s">
        <v>38</v>
      </c>
      <c r="G13" s="28" t="s">
        <v>38</v>
      </c>
      <c r="H13" s="28" t="s">
        <v>38</v>
      </c>
      <c r="I13" s="28" t="s">
        <v>38</v>
      </c>
      <c r="J13" s="28" t="s">
        <v>45</v>
      </c>
      <c r="K13" s="28" t="s">
        <v>45</v>
      </c>
      <c r="L13" s="28" t="s">
        <v>45</v>
      </c>
      <c r="M13" s="28" t="s">
        <v>46</v>
      </c>
      <c r="N13" s="28" t="s">
        <v>45</v>
      </c>
      <c r="O13" s="28" t="s">
        <v>45</v>
      </c>
      <c r="P13" s="28" t="s">
        <v>45</v>
      </c>
      <c r="Q13" s="28" t="s">
        <v>45</v>
      </c>
      <c r="R13" s="28" t="s">
        <v>45</v>
      </c>
      <c r="S13" s="28" t="s">
        <v>45</v>
      </c>
      <c r="T13" s="28" t="s">
        <v>45</v>
      </c>
      <c r="U13" s="28" t="s">
        <v>45</v>
      </c>
      <c r="V13" s="28" t="s">
        <v>46</v>
      </c>
      <c r="W13" s="28" t="s">
        <v>45</v>
      </c>
      <c r="X13" s="28" t="s">
        <v>45</v>
      </c>
      <c r="Y13" s="28" t="s">
        <v>45</v>
      </c>
      <c r="Z13" s="28" t="s">
        <v>46</v>
      </c>
      <c r="AA13" s="28" t="s">
        <v>45</v>
      </c>
      <c r="AB13" s="28" t="s">
        <v>45</v>
      </c>
      <c r="AC13" s="28" t="s">
        <v>45</v>
      </c>
      <c r="AD13" s="28" t="s">
        <v>45</v>
      </c>
      <c r="AE13" s="28" t="s">
        <v>45</v>
      </c>
      <c r="AF13" s="28" t="s">
        <v>45</v>
      </c>
      <c r="AG13" s="28" t="s">
        <v>45</v>
      </c>
      <c r="AH13" s="28" t="s">
        <v>46</v>
      </c>
      <c r="AI13" s="28" t="s">
        <v>45</v>
      </c>
      <c r="AJ13" s="28" t="s">
        <v>45</v>
      </c>
      <c r="AK13" s="28" t="s">
        <v>44</v>
      </c>
      <c r="AL13" s="28" t="s">
        <v>40</v>
      </c>
      <c r="AM13" s="28" t="s">
        <v>39</v>
      </c>
      <c r="AN13" s="28" t="s">
        <v>39</v>
      </c>
      <c r="AO13" s="28" t="s">
        <v>39</v>
      </c>
      <c r="AP13" s="28" t="s">
        <v>44</v>
      </c>
      <c r="AQ13" s="28" t="s">
        <v>44</v>
      </c>
      <c r="AR13" s="28" t="s">
        <v>44</v>
      </c>
      <c r="AS13" s="28" t="s">
        <v>44</v>
      </c>
      <c r="AT13" s="28" t="s">
        <v>44</v>
      </c>
      <c r="AU13" s="28" t="s">
        <v>44</v>
      </c>
      <c r="AV13" s="28" t="s">
        <v>44</v>
      </c>
      <c r="AW13" s="28" t="s">
        <v>44</v>
      </c>
      <c r="AX13" s="28" t="s">
        <v>44</v>
      </c>
      <c r="AY13" s="28" t="s">
        <v>44</v>
      </c>
      <c r="AZ13" s="28" t="s">
        <v>44</v>
      </c>
      <c r="BA13" s="28" t="s">
        <v>44</v>
      </c>
    </row>
    <row r="14" spans="1:53">
      <c r="A14" s="17">
        <v>44155</v>
      </c>
      <c r="B14" s="28" t="s">
        <v>44</v>
      </c>
      <c r="C14" s="28" t="s">
        <v>44</v>
      </c>
      <c r="D14" s="28" t="s">
        <v>44</v>
      </c>
      <c r="E14" s="28" t="s">
        <v>45</v>
      </c>
      <c r="F14" s="28" t="s">
        <v>38</v>
      </c>
      <c r="G14" s="28" t="s">
        <v>38</v>
      </c>
      <c r="H14" s="28" t="s">
        <v>38</v>
      </c>
      <c r="I14" s="28" t="s">
        <v>38</v>
      </c>
      <c r="J14" s="28" t="s">
        <v>45</v>
      </c>
      <c r="K14" s="28" t="s">
        <v>45</v>
      </c>
      <c r="L14" s="28" t="s">
        <v>45</v>
      </c>
      <c r="M14" s="28" t="s">
        <v>46</v>
      </c>
      <c r="N14" s="28" t="s">
        <v>45</v>
      </c>
      <c r="O14" s="28" t="s">
        <v>45</v>
      </c>
      <c r="P14" s="28" t="s">
        <v>45</v>
      </c>
      <c r="Q14" s="28" t="s">
        <v>45</v>
      </c>
      <c r="R14" s="28" t="s">
        <v>45</v>
      </c>
      <c r="S14" s="28" t="s">
        <v>45</v>
      </c>
      <c r="T14" s="28" t="s">
        <v>45</v>
      </c>
      <c r="U14" s="28" t="s">
        <v>45</v>
      </c>
      <c r="V14" s="28" t="s">
        <v>46</v>
      </c>
      <c r="W14" s="28" t="s">
        <v>45</v>
      </c>
      <c r="X14" s="28" t="s">
        <v>45</v>
      </c>
      <c r="Y14" s="28" t="s">
        <v>45</v>
      </c>
      <c r="Z14" s="28" t="s">
        <v>46</v>
      </c>
      <c r="AA14" s="28" t="s">
        <v>45</v>
      </c>
      <c r="AB14" s="28" t="s">
        <v>45</v>
      </c>
      <c r="AC14" s="28" t="s">
        <v>45</v>
      </c>
      <c r="AD14" s="28" t="s">
        <v>45</v>
      </c>
      <c r="AE14" s="28" t="s">
        <v>45</v>
      </c>
      <c r="AF14" s="28" t="s">
        <v>45</v>
      </c>
      <c r="AG14" s="28" t="s">
        <v>45</v>
      </c>
      <c r="AH14" s="28" t="s">
        <v>46</v>
      </c>
      <c r="AI14" s="28" t="s">
        <v>45</v>
      </c>
      <c r="AJ14" s="28" t="s">
        <v>45</v>
      </c>
      <c r="AK14" s="28" t="s">
        <v>44</v>
      </c>
      <c r="AL14" s="28" t="s">
        <v>40</v>
      </c>
      <c r="AM14" s="28" t="s">
        <v>39</v>
      </c>
      <c r="AN14" s="28" t="s">
        <v>39</v>
      </c>
      <c r="AO14" s="28" t="s">
        <v>39</v>
      </c>
      <c r="AP14" s="28" t="s">
        <v>44</v>
      </c>
      <c r="AQ14" s="28" t="s">
        <v>44</v>
      </c>
      <c r="AR14" s="28" t="s">
        <v>44</v>
      </c>
      <c r="AS14" s="28" t="s">
        <v>44</v>
      </c>
      <c r="AT14" s="28" t="s">
        <v>44</v>
      </c>
      <c r="AU14" s="28" t="s">
        <v>44</v>
      </c>
      <c r="AV14" s="28" t="s">
        <v>44</v>
      </c>
      <c r="AW14" s="28" t="s">
        <v>44</v>
      </c>
      <c r="AX14" s="28" t="s">
        <v>44</v>
      </c>
      <c r="AY14" s="28" t="s">
        <v>44</v>
      </c>
      <c r="AZ14" s="28" t="s">
        <v>44</v>
      </c>
      <c r="BA14" s="28" t="s">
        <v>44</v>
      </c>
    </row>
    <row r="15" spans="1:53">
      <c r="A15" s="17">
        <v>44156</v>
      </c>
      <c r="B15" s="28" t="s">
        <v>44</v>
      </c>
      <c r="C15" s="28" t="s">
        <v>44</v>
      </c>
      <c r="D15" s="28" t="s">
        <v>44</v>
      </c>
      <c r="E15" s="28" t="s">
        <v>45</v>
      </c>
      <c r="F15" s="28" t="s">
        <v>38</v>
      </c>
      <c r="G15" s="28" t="s">
        <v>38</v>
      </c>
      <c r="H15" s="28" t="s">
        <v>38</v>
      </c>
      <c r="I15" s="28" t="s">
        <v>38</v>
      </c>
      <c r="J15" s="28" t="s">
        <v>45</v>
      </c>
      <c r="K15" s="28" t="s">
        <v>45</v>
      </c>
      <c r="L15" s="28" t="s">
        <v>45</v>
      </c>
      <c r="M15" s="28" t="s">
        <v>46</v>
      </c>
      <c r="N15" s="28" t="s">
        <v>45</v>
      </c>
      <c r="O15" s="28" t="s">
        <v>45</v>
      </c>
      <c r="P15" s="28" t="s">
        <v>45</v>
      </c>
      <c r="Q15" s="28" t="s">
        <v>45</v>
      </c>
      <c r="R15" s="28" t="s">
        <v>45</v>
      </c>
      <c r="S15" s="28" t="s">
        <v>45</v>
      </c>
      <c r="T15" s="28" t="s">
        <v>45</v>
      </c>
      <c r="U15" s="28" t="s">
        <v>45</v>
      </c>
      <c r="V15" s="28" t="s">
        <v>46</v>
      </c>
      <c r="W15" s="28" t="s">
        <v>45</v>
      </c>
      <c r="X15" s="28" t="s">
        <v>45</v>
      </c>
      <c r="Y15" s="28" t="s">
        <v>45</v>
      </c>
      <c r="Z15" s="28" t="s">
        <v>46</v>
      </c>
      <c r="AA15" s="28" t="s">
        <v>45</v>
      </c>
      <c r="AB15" s="28" t="s">
        <v>45</v>
      </c>
      <c r="AC15" s="28" t="s">
        <v>45</v>
      </c>
      <c r="AD15" s="28" t="s">
        <v>45</v>
      </c>
      <c r="AE15" s="28" t="s">
        <v>45</v>
      </c>
      <c r="AF15" s="28" t="s">
        <v>45</v>
      </c>
      <c r="AG15" s="28" t="s">
        <v>45</v>
      </c>
      <c r="AH15" s="28" t="s">
        <v>46</v>
      </c>
      <c r="AI15" s="28" t="s">
        <v>45</v>
      </c>
      <c r="AJ15" s="28" t="s">
        <v>45</v>
      </c>
      <c r="AK15" s="28" t="s">
        <v>44</v>
      </c>
      <c r="AL15" s="28" t="s">
        <v>40</v>
      </c>
      <c r="AM15" s="28" t="s">
        <v>39</v>
      </c>
      <c r="AN15" s="28" t="s">
        <v>39</v>
      </c>
      <c r="AO15" s="28" t="s">
        <v>39</v>
      </c>
      <c r="AP15" s="28" t="s">
        <v>44</v>
      </c>
      <c r="AQ15" s="28" t="s">
        <v>44</v>
      </c>
      <c r="AR15" s="28" t="s">
        <v>44</v>
      </c>
      <c r="AS15" s="28" t="s">
        <v>44</v>
      </c>
      <c r="AT15" s="28" t="s">
        <v>44</v>
      </c>
      <c r="AU15" s="28" t="s">
        <v>44</v>
      </c>
      <c r="AV15" s="28" t="s">
        <v>44</v>
      </c>
      <c r="AW15" s="28" t="s">
        <v>44</v>
      </c>
      <c r="AX15" s="28" t="s">
        <v>44</v>
      </c>
      <c r="AY15" s="28" t="s">
        <v>44</v>
      </c>
      <c r="AZ15" s="28" t="s">
        <v>44</v>
      </c>
      <c r="BA15" s="28" t="s">
        <v>44</v>
      </c>
    </row>
    <row r="16" spans="1:53">
      <c r="A16" s="17">
        <v>44157</v>
      </c>
      <c r="B16" s="28" t="s">
        <v>44</v>
      </c>
      <c r="C16" s="28" t="s">
        <v>44</v>
      </c>
      <c r="D16" s="28" t="s">
        <v>44</v>
      </c>
      <c r="E16" s="28" t="s">
        <v>45</v>
      </c>
      <c r="F16" s="28" t="s">
        <v>38</v>
      </c>
      <c r="G16" s="28" t="s">
        <v>38</v>
      </c>
      <c r="H16" s="28" t="s">
        <v>38</v>
      </c>
      <c r="I16" s="28" t="s">
        <v>38</v>
      </c>
      <c r="J16" s="28" t="s">
        <v>45</v>
      </c>
      <c r="K16" s="28" t="s">
        <v>45</v>
      </c>
      <c r="L16" s="28" t="s">
        <v>45</v>
      </c>
      <c r="M16" s="28" t="s">
        <v>46</v>
      </c>
      <c r="N16" s="28" t="s">
        <v>45</v>
      </c>
      <c r="O16" s="28" t="s">
        <v>45</v>
      </c>
      <c r="P16" s="28" t="s">
        <v>45</v>
      </c>
      <c r="Q16" s="28" t="s">
        <v>45</v>
      </c>
      <c r="R16" s="28" t="s">
        <v>45</v>
      </c>
      <c r="S16" s="28" t="s">
        <v>45</v>
      </c>
      <c r="T16" s="28" t="s">
        <v>45</v>
      </c>
      <c r="U16" s="28" t="s">
        <v>45</v>
      </c>
      <c r="V16" s="28" t="s">
        <v>46</v>
      </c>
      <c r="W16" s="28" t="s">
        <v>45</v>
      </c>
      <c r="X16" s="28" t="s">
        <v>45</v>
      </c>
      <c r="Y16" s="28" t="s">
        <v>45</v>
      </c>
      <c r="Z16" s="28" t="s">
        <v>46</v>
      </c>
      <c r="AA16" s="28" t="s">
        <v>45</v>
      </c>
      <c r="AB16" s="28" t="s">
        <v>45</v>
      </c>
      <c r="AC16" s="28" t="s">
        <v>45</v>
      </c>
      <c r="AD16" s="28" t="s">
        <v>45</v>
      </c>
      <c r="AE16" s="28" t="s">
        <v>45</v>
      </c>
      <c r="AF16" s="28" t="s">
        <v>45</v>
      </c>
      <c r="AG16" s="28" t="s">
        <v>45</v>
      </c>
      <c r="AH16" s="28" t="s">
        <v>46</v>
      </c>
      <c r="AI16" s="28" t="s">
        <v>45</v>
      </c>
      <c r="AJ16" s="28" t="s">
        <v>45</v>
      </c>
      <c r="AK16" s="28" t="s">
        <v>44</v>
      </c>
      <c r="AL16" s="28" t="s">
        <v>40</v>
      </c>
      <c r="AM16" s="28" t="s">
        <v>39</v>
      </c>
      <c r="AN16" s="28" t="s">
        <v>39</v>
      </c>
      <c r="AO16" s="28" t="s">
        <v>39</v>
      </c>
      <c r="AP16" s="28" t="s">
        <v>44</v>
      </c>
      <c r="AQ16" s="28" t="s">
        <v>44</v>
      </c>
      <c r="AR16" s="28" t="s">
        <v>44</v>
      </c>
      <c r="AS16" s="28" t="s">
        <v>44</v>
      </c>
      <c r="AT16" s="28" t="s">
        <v>44</v>
      </c>
      <c r="AU16" s="28" t="s">
        <v>44</v>
      </c>
      <c r="AV16" s="28" t="s">
        <v>44</v>
      </c>
      <c r="AW16" s="28" t="s">
        <v>44</v>
      </c>
      <c r="AX16" s="28" t="s">
        <v>44</v>
      </c>
      <c r="AY16" s="28" t="s">
        <v>44</v>
      </c>
      <c r="AZ16" s="28" t="s">
        <v>44</v>
      </c>
      <c r="BA16" s="28" t="s">
        <v>44</v>
      </c>
    </row>
    <row r="17" spans="1:53">
      <c r="A17" s="17">
        <v>44158</v>
      </c>
      <c r="B17" s="28" t="s">
        <v>44</v>
      </c>
      <c r="C17" s="28" t="s">
        <v>44</v>
      </c>
      <c r="D17" s="28" t="s">
        <v>44</v>
      </c>
      <c r="E17" s="28" t="s">
        <v>45</v>
      </c>
      <c r="F17" s="28" t="s">
        <v>38</v>
      </c>
      <c r="G17" s="28" t="s">
        <v>38</v>
      </c>
      <c r="H17" s="28" t="s">
        <v>38</v>
      </c>
      <c r="I17" s="28" t="s">
        <v>38</v>
      </c>
      <c r="J17" s="28" t="s">
        <v>45</v>
      </c>
      <c r="K17" s="28" t="s">
        <v>45</v>
      </c>
      <c r="L17" s="28" t="s">
        <v>45</v>
      </c>
      <c r="M17" s="28" t="s">
        <v>46</v>
      </c>
      <c r="N17" s="28" t="s">
        <v>45</v>
      </c>
      <c r="O17" s="28" t="s">
        <v>45</v>
      </c>
      <c r="P17" s="28" t="s">
        <v>45</v>
      </c>
      <c r="Q17" s="28" t="s">
        <v>45</v>
      </c>
      <c r="R17" s="28" t="s">
        <v>45</v>
      </c>
      <c r="S17" s="28" t="s">
        <v>45</v>
      </c>
      <c r="T17" s="28" t="s">
        <v>45</v>
      </c>
      <c r="U17" s="28" t="s">
        <v>45</v>
      </c>
      <c r="V17" s="28" t="s">
        <v>46</v>
      </c>
      <c r="W17" s="28" t="s">
        <v>45</v>
      </c>
      <c r="X17" s="28" t="s">
        <v>45</v>
      </c>
      <c r="Y17" s="28" t="s">
        <v>45</v>
      </c>
      <c r="Z17" s="28" t="s">
        <v>46</v>
      </c>
      <c r="AA17" s="28" t="s">
        <v>45</v>
      </c>
      <c r="AB17" s="28" t="s">
        <v>45</v>
      </c>
      <c r="AC17" s="28" t="s">
        <v>45</v>
      </c>
      <c r="AD17" s="28" t="s">
        <v>45</v>
      </c>
      <c r="AE17" s="28" t="s">
        <v>45</v>
      </c>
      <c r="AF17" s="28" t="s">
        <v>45</v>
      </c>
      <c r="AG17" s="28" t="s">
        <v>45</v>
      </c>
      <c r="AH17" s="28" t="s">
        <v>46</v>
      </c>
      <c r="AI17" s="28" t="s">
        <v>45</v>
      </c>
      <c r="AJ17" s="28" t="s">
        <v>45</v>
      </c>
      <c r="AK17" s="28" t="s">
        <v>44</v>
      </c>
      <c r="AL17" s="28" t="s">
        <v>40</v>
      </c>
      <c r="AM17" s="28" t="s">
        <v>39</v>
      </c>
      <c r="AN17" s="28" t="s">
        <v>39</v>
      </c>
      <c r="AO17" s="28" t="s">
        <v>39</v>
      </c>
      <c r="AP17" s="28" t="s">
        <v>44</v>
      </c>
      <c r="AQ17" s="28" t="s">
        <v>44</v>
      </c>
      <c r="AR17" s="28" t="s">
        <v>44</v>
      </c>
      <c r="AS17" s="28" t="s">
        <v>44</v>
      </c>
      <c r="AT17" s="28" t="s">
        <v>43</v>
      </c>
      <c r="AU17" s="28" t="s">
        <v>44</v>
      </c>
      <c r="AV17" s="28" t="s">
        <v>44</v>
      </c>
      <c r="AW17" s="28" t="s">
        <v>44</v>
      </c>
      <c r="AX17" s="28" t="s">
        <v>44</v>
      </c>
      <c r="AY17" s="28" t="s">
        <v>44</v>
      </c>
      <c r="AZ17" s="28" t="s">
        <v>44</v>
      </c>
      <c r="BA17" s="28" t="s">
        <v>44</v>
      </c>
    </row>
    <row r="18" spans="1:53">
      <c r="A18" s="17">
        <v>44159</v>
      </c>
      <c r="B18" s="28" t="s">
        <v>44</v>
      </c>
      <c r="C18" s="28" t="s">
        <v>44</v>
      </c>
      <c r="D18" s="28" t="s">
        <v>44</v>
      </c>
      <c r="E18" s="28" t="s">
        <v>45</v>
      </c>
      <c r="F18" s="28" t="s">
        <v>38</v>
      </c>
      <c r="G18" s="28" t="s">
        <v>38</v>
      </c>
      <c r="H18" s="28" t="s">
        <v>38</v>
      </c>
      <c r="I18" s="28" t="s">
        <v>38</v>
      </c>
      <c r="J18" s="28" t="s">
        <v>45</v>
      </c>
      <c r="K18" s="28" t="s">
        <v>45</v>
      </c>
      <c r="L18" s="28" t="s">
        <v>45</v>
      </c>
      <c r="M18" s="28" t="s">
        <v>46</v>
      </c>
      <c r="N18" s="28" t="s">
        <v>45</v>
      </c>
      <c r="O18" s="28" t="s">
        <v>45</v>
      </c>
      <c r="P18" s="28" t="s">
        <v>45</v>
      </c>
      <c r="Q18" s="28" t="s">
        <v>45</v>
      </c>
      <c r="R18" s="28" t="s">
        <v>45</v>
      </c>
      <c r="S18" s="28" t="s">
        <v>45</v>
      </c>
      <c r="T18" s="28" t="s">
        <v>45</v>
      </c>
      <c r="U18" s="28" t="s">
        <v>45</v>
      </c>
      <c r="V18" s="28" t="s">
        <v>46</v>
      </c>
      <c r="W18" s="28" t="s">
        <v>45</v>
      </c>
      <c r="X18" s="28" t="s">
        <v>45</v>
      </c>
      <c r="Y18" s="28" t="s">
        <v>45</v>
      </c>
      <c r="Z18" s="28" t="s">
        <v>46</v>
      </c>
      <c r="AA18" s="28" t="s">
        <v>45</v>
      </c>
      <c r="AB18" s="28" t="s">
        <v>45</v>
      </c>
      <c r="AC18" s="28" t="s">
        <v>45</v>
      </c>
      <c r="AD18" s="28" t="s">
        <v>45</v>
      </c>
      <c r="AE18" s="28" t="s">
        <v>45</v>
      </c>
      <c r="AF18" s="28" t="s">
        <v>45</v>
      </c>
      <c r="AG18" s="28" t="s">
        <v>45</v>
      </c>
      <c r="AH18" s="28" t="s">
        <v>46</v>
      </c>
      <c r="AI18" s="28" t="s">
        <v>45</v>
      </c>
      <c r="AJ18" s="28" t="s">
        <v>45</v>
      </c>
      <c r="AK18" s="28" t="s">
        <v>44</v>
      </c>
      <c r="AL18" s="28" t="s">
        <v>40</v>
      </c>
      <c r="AM18" s="28" t="s">
        <v>39</v>
      </c>
      <c r="AN18" s="28" t="s">
        <v>39</v>
      </c>
      <c r="AO18" s="28" t="s">
        <v>40</v>
      </c>
      <c r="AP18" s="28" t="s">
        <v>44</v>
      </c>
      <c r="AQ18" s="28" t="s">
        <v>44</v>
      </c>
      <c r="AR18" s="28" t="s">
        <v>44</v>
      </c>
      <c r="AS18" s="28" t="s">
        <v>44</v>
      </c>
      <c r="AT18" s="28" t="s">
        <v>43</v>
      </c>
      <c r="AU18" s="28" t="s">
        <v>44</v>
      </c>
      <c r="AV18" s="28" t="s">
        <v>44</v>
      </c>
      <c r="AW18" s="28" t="s">
        <v>44</v>
      </c>
      <c r="AX18" s="28" t="s">
        <v>44</v>
      </c>
      <c r="AY18" s="28" t="s">
        <v>44</v>
      </c>
      <c r="AZ18" s="28" t="s">
        <v>44</v>
      </c>
      <c r="BA18" s="28" t="s">
        <v>44</v>
      </c>
    </row>
    <row r="19" spans="1:53">
      <c r="A19" s="17">
        <v>44160</v>
      </c>
      <c r="B19" s="28" t="s">
        <v>44</v>
      </c>
      <c r="C19" s="28" t="s">
        <v>44</v>
      </c>
      <c r="D19" s="28" t="s">
        <v>44</v>
      </c>
      <c r="E19" s="28" t="s">
        <v>45</v>
      </c>
      <c r="F19" s="28" t="s">
        <v>38</v>
      </c>
      <c r="G19" s="28" t="s">
        <v>38</v>
      </c>
      <c r="H19" s="28" t="s">
        <v>38</v>
      </c>
      <c r="I19" s="28" t="s">
        <v>38</v>
      </c>
      <c r="J19" s="28" t="s">
        <v>45</v>
      </c>
      <c r="K19" s="28" t="s">
        <v>45</v>
      </c>
      <c r="L19" s="28" t="s">
        <v>45</v>
      </c>
      <c r="M19" s="28" t="s">
        <v>46</v>
      </c>
      <c r="N19" s="28" t="s">
        <v>45</v>
      </c>
      <c r="O19" s="28" t="s">
        <v>45</v>
      </c>
      <c r="P19" s="28" t="s">
        <v>45</v>
      </c>
      <c r="Q19" s="28" t="s">
        <v>45</v>
      </c>
      <c r="R19" s="28" t="s">
        <v>45</v>
      </c>
      <c r="S19" s="28" t="s">
        <v>45</v>
      </c>
      <c r="T19" s="28" t="s">
        <v>45</v>
      </c>
      <c r="U19" s="28" t="s">
        <v>45</v>
      </c>
      <c r="V19" s="28" t="s">
        <v>45</v>
      </c>
      <c r="W19" s="28" t="s">
        <v>45</v>
      </c>
      <c r="X19" s="28" t="s">
        <v>45</v>
      </c>
      <c r="Y19" s="28" t="s">
        <v>45</v>
      </c>
      <c r="Z19" s="28" t="s">
        <v>46</v>
      </c>
      <c r="AA19" s="28" t="s">
        <v>45</v>
      </c>
      <c r="AB19" s="28" t="s">
        <v>45</v>
      </c>
      <c r="AC19" s="28" t="s">
        <v>45</v>
      </c>
      <c r="AD19" s="28" t="s">
        <v>45</v>
      </c>
      <c r="AE19" s="28" t="s">
        <v>45</v>
      </c>
      <c r="AF19" s="28" t="s">
        <v>45</v>
      </c>
      <c r="AG19" s="28" t="s">
        <v>45</v>
      </c>
      <c r="AH19" s="28" t="s">
        <v>45</v>
      </c>
      <c r="AI19" s="28" t="s">
        <v>45</v>
      </c>
      <c r="AJ19" s="28" t="s">
        <v>45</v>
      </c>
      <c r="AK19" s="28" t="s">
        <v>44</v>
      </c>
      <c r="AL19" s="28" t="s">
        <v>39</v>
      </c>
      <c r="AM19" s="28" t="s">
        <v>39</v>
      </c>
      <c r="AN19" s="28" t="s">
        <v>39</v>
      </c>
      <c r="AO19" s="28" t="s">
        <v>39</v>
      </c>
      <c r="AP19" s="28" t="s">
        <v>44</v>
      </c>
      <c r="AQ19" s="28" t="s">
        <v>44</v>
      </c>
      <c r="AR19" s="28" t="s">
        <v>44</v>
      </c>
      <c r="AS19" s="28" t="s">
        <v>44</v>
      </c>
      <c r="AT19" s="28" t="s">
        <v>43</v>
      </c>
      <c r="AU19" s="28" t="s">
        <v>44</v>
      </c>
      <c r="AV19" s="28" t="s">
        <v>44</v>
      </c>
      <c r="AW19" s="28" t="s">
        <v>44</v>
      </c>
      <c r="AX19" s="28" t="s">
        <v>44</v>
      </c>
      <c r="AY19" s="28" t="s">
        <v>44</v>
      </c>
      <c r="AZ19" s="28" t="s">
        <v>44</v>
      </c>
      <c r="BA19" s="28" t="s">
        <v>44</v>
      </c>
    </row>
    <row r="20" spans="1:53">
      <c r="A20" s="17">
        <v>44161</v>
      </c>
      <c r="B20" s="28" t="s">
        <v>44</v>
      </c>
      <c r="C20" s="28" t="s">
        <v>44</v>
      </c>
      <c r="D20" s="28" t="s">
        <v>44</v>
      </c>
      <c r="E20" s="28" t="s">
        <v>45</v>
      </c>
      <c r="F20" s="28" t="s">
        <v>38</v>
      </c>
      <c r="G20" s="28" t="s">
        <v>38</v>
      </c>
      <c r="H20" s="28" t="s">
        <v>38</v>
      </c>
      <c r="I20" s="28" t="s">
        <v>38</v>
      </c>
      <c r="J20" s="28" t="s">
        <v>45</v>
      </c>
      <c r="K20" s="28" t="s">
        <v>45</v>
      </c>
      <c r="L20" s="28" t="s">
        <v>45</v>
      </c>
      <c r="M20" s="28" t="s">
        <v>46</v>
      </c>
      <c r="N20" s="28" t="s">
        <v>45</v>
      </c>
      <c r="O20" s="28" t="s">
        <v>45</v>
      </c>
      <c r="P20" s="28" t="s">
        <v>45</v>
      </c>
      <c r="Q20" s="28" t="s">
        <v>45</v>
      </c>
      <c r="R20" s="28" t="s">
        <v>45</v>
      </c>
      <c r="S20" s="28" t="s">
        <v>45</v>
      </c>
      <c r="T20" s="28" t="s">
        <v>45</v>
      </c>
      <c r="U20" s="28" t="s">
        <v>45</v>
      </c>
      <c r="V20" s="28" t="s">
        <v>46</v>
      </c>
      <c r="W20" s="28" t="s">
        <v>45</v>
      </c>
      <c r="X20" s="28" t="s">
        <v>45</v>
      </c>
      <c r="Y20" s="28" t="s">
        <v>45</v>
      </c>
      <c r="Z20" s="28" t="s">
        <v>46</v>
      </c>
      <c r="AA20" s="28" t="s">
        <v>45</v>
      </c>
      <c r="AB20" s="28" t="s">
        <v>45</v>
      </c>
      <c r="AC20" s="28" t="s">
        <v>45</v>
      </c>
      <c r="AD20" s="28" t="s">
        <v>45</v>
      </c>
      <c r="AE20" s="28" t="s">
        <v>45</v>
      </c>
      <c r="AF20" s="28" t="s">
        <v>45</v>
      </c>
      <c r="AG20" s="28" t="s">
        <v>45</v>
      </c>
      <c r="AH20" s="28" t="s">
        <v>45</v>
      </c>
      <c r="AI20" s="28" t="s">
        <v>45</v>
      </c>
      <c r="AJ20" s="28" t="s">
        <v>45</v>
      </c>
      <c r="AK20" s="28" t="s">
        <v>44</v>
      </c>
      <c r="AL20" s="28" t="s">
        <v>39</v>
      </c>
      <c r="AM20" s="28" t="s">
        <v>39</v>
      </c>
      <c r="AN20" s="28" t="s">
        <v>39</v>
      </c>
      <c r="AO20" s="28" t="s">
        <v>39</v>
      </c>
      <c r="AP20" s="28" t="s">
        <v>44</v>
      </c>
      <c r="AQ20" s="28" t="s">
        <v>44</v>
      </c>
      <c r="AR20" s="28" t="s">
        <v>44</v>
      </c>
      <c r="AS20" s="28" t="s">
        <v>44</v>
      </c>
      <c r="AT20" s="28" t="s">
        <v>43</v>
      </c>
      <c r="AU20" s="28" t="s">
        <v>44</v>
      </c>
      <c r="AV20" s="28" t="s">
        <v>44</v>
      </c>
      <c r="AW20" s="28" t="s">
        <v>44</v>
      </c>
      <c r="AX20" s="28" t="s">
        <v>44</v>
      </c>
      <c r="AY20" s="28" t="s">
        <v>44</v>
      </c>
      <c r="AZ20" s="28" t="s">
        <v>44</v>
      </c>
      <c r="BA20" s="28" t="s">
        <v>44</v>
      </c>
    </row>
    <row r="21" spans="1:53">
      <c r="A21" s="17">
        <v>44162</v>
      </c>
      <c r="B21" s="28" t="s">
        <v>44</v>
      </c>
      <c r="C21" s="28" t="s">
        <v>44</v>
      </c>
      <c r="D21" s="28" t="s">
        <v>44</v>
      </c>
      <c r="E21" s="28" t="s">
        <v>45</v>
      </c>
      <c r="F21" s="28" t="s">
        <v>38</v>
      </c>
      <c r="G21" s="28" t="s">
        <v>38</v>
      </c>
      <c r="H21" s="28" t="s">
        <v>38</v>
      </c>
      <c r="I21" s="28" t="s">
        <v>38</v>
      </c>
      <c r="J21" s="28" t="s">
        <v>45</v>
      </c>
      <c r="K21" s="28" t="s">
        <v>45</v>
      </c>
      <c r="L21" s="28" t="s">
        <v>45</v>
      </c>
      <c r="M21" s="28" t="s">
        <v>45</v>
      </c>
      <c r="N21" s="28" t="s">
        <v>45</v>
      </c>
      <c r="O21" s="28" t="s">
        <v>45</v>
      </c>
      <c r="P21" s="28" t="s">
        <v>45</v>
      </c>
      <c r="Q21" s="28" t="s">
        <v>45</v>
      </c>
      <c r="R21" s="28" t="s">
        <v>45</v>
      </c>
      <c r="S21" s="28" t="s">
        <v>45</v>
      </c>
      <c r="T21" s="28" t="s">
        <v>45</v>
      </c>
      <c r="U21" s="28" t="s">
        <v>45</v>
      </c>
      <c r="V21" s="28" t="s">
        <v>46</v>
      </c>
      <c r="W21" s="28" t="s">
        <v>45</v>
      </c>
      <c r="X21" s="28" t="s">
        <v>45</v>
      </c>
      <c r="Y21" s="28" t="s">
        <v>45</v>
      </c>
      <c r="Z21" s="28" t="s">
        <v>46</v>
      </c>
      <c r="AA21" s="28" t="s">
        <v>45</v>
      </c>
      <c r="AB21" s="28" t="s">
        <v>45</v>
      </c>
      <c r="AC21" s="28" t="s">
        <v>45</v>
      </c>
      <c r="AD21" s="28" t="s">
        <v>45</v>
      </c>
      <c r="AE21" s="28" t="s">
        <v>45</v>
      </c>
      <c r="AF21" s="28" t="s">
        <v>45</v>
      </c>
      <c r="AG21" s="28" t="s">
        <v>45</v>
      </c>
      <c r="AH21" s="28" t="s">
        <v>46</v>
      </c>
      <c r="AI21" s="28" t="s">
        <v>45</v>
      </c>
      <c r="AJ21" s="28" t="s">
        <v>45</v>
      </c>
      <c r="AK21" s="28" t="s">
        <v>44</v>
      </c>
      <c r="AL21" s="28" t="s">
        <v>40</v>
      </c>
      <c r="AM21" s="28" t="s">
        <v>39</v>
      </c>
      <c r="AN21" s="28" t="s">
        <v>39</v>
      </c>
      <c r="AO21" s="28" t="s">
        <v>39</v>
      </c>
      <c r="AP21" s="28" t="s">
        <v>44</v>
      </c>
      <c r="AQ21" s="28" t="s">
        <v>44</v>
      </c>
      <c r="AR21" s="28" t="s">
        <v>44</v>
      </c>
      <c r="AS21" s="28" t="s">
        <v>44</v>
      </c>
      <c r="AT21" s="28" t="s">
        <v>44</v>
      </c>
      <c r="AU21" s="28" t="s">
        <v>44</v>
      </c>
      <c r="AV21" s="28" t="s">
        <v>44</v>
      </c>
      <c r="AW21" s="28" t="s">
        <v>44</v>
      </c>
      <c r="AX21" s="28" t="s">
        <v>44</v>
      </c>
      <c r="AY21" s="28" t="s">
        <v>44</v>
      </c>
      <c r="AZ21" s="28" t="s">
        <v>44</v>
      </c>
      <c r="BA21" s="28" t="s">
        <v>44</v>
      </c>
    </row>
    <row r="22" spans="1:53">
      <c r="A22" s="17">
        <v>44163</v>
      </c>
      <c r="B22" s="28" t="s">
        <v>44</v>
      </c>
      <c r="C22" s="28" t="s">
        <v>44</v>
      </c>
      <c r="D22" s="28" t="s">
        <v>44</v>
      </c>
      <c r="E22" s="28" t="s">
        <v>45</v>
      </c>
      <c r="F22" s="28" t="s">
        <v>38</v>
      </c>
      <c r="G22" s="28" t="s">
        <v>38</v>
      </c>
      <c r="H22" s="28" t="s">
        <v>38</v>
      </c>
      <c r="I22" s="28" t="s">
        <v>38</v>
      </c>
      <c r="J22" s="28" t="s">
        <v>45</v>
      </c>
      <c r="K22" s="28" t="s">
        <v>45</v>
      </c>
      <c r="L22" s="28" t="s">
        <v>45</v>
      </c>
      <c r="M22" s="28" t="s">
        <v>45</v>
      </c>
      <c r="N22" s="28" t="s">
        <v>45</v>
      </c>
      <c r="O22" s="28" t="s">
        <v>45</v>
      </c>
      <c r="P22" s="28" t="s">
        <v>45</v>
      </c>
      <c r="Q22" s="28" t="s">
        <v>45</v>
      </c>
      <c r="R22" s="28" t="s">
        <v>45</v>
      </c>
      <c r="S22" s="28" t="s">
        <v>45</v>
      </c>
      <c r="T22" s="28" t="s">
        <v>45</v>
      </c>
      <c r="U22" s="28" t="s">
        <v>45</v>
      </c>
      <c r="V22" s="28" t="s">
        <v>46</v>
      </c>
      <c r="W22" s="28" t="s">
        <v>45</v>
      </c>
      <c r="X22" s="28" t="s">
        <v>45</v>
      </c>
      <c r="Y22" s="28" t="s">
        <v>45</v>
      </c>
      <c r="Z22" s="28" t="s">
        <v>46</v>
      </c>
      <c r="AA22" s="28" t="s">
        <v>45</v>
      </c>
      <c r="AB22" s="28" t="s">
        <v>45</v>
      </c>
      <c r="AC22" s="28" t="s">
        <v>45</v>
      </c>
      <c r="AD22" s="28" t="s">
        <v>45</v>
      </c>
      <c r="AE22" s="28" t="s">
        <v>45</v>
      </c>
      <c r="AF22" s="28" t="s">
        <v>45</v>
      </c>
      <c r="AG22" s="28" t="s">
        <v>45</v>
      </c>
      <c r="AH22" s="28" t="s">
        <v>46</v>
      </c>
      <c r="AI22" s="28" t="s">
        <v>45</v>
      </c>
      <c r="AJ22" s="28" t="s">
        <v>45</v>
      </c>
      <c r="AK22" s="28" t="s">
        <v>44</v>
      </c>
      <c r="AL22" s="28" t="s">
        <v>40</v>
      </c>
      <c r="AM22" s="28" t="s">
        <v>39</v>
      </c>
      <c r="AN22" s="28" t="s">
        <v>39</v>
      </c>
      <c r="AO22" s="28" t="s">
        <v>39</v>
      </c>
      <c r="AP22" s="28" t="s">
        <v>44</v>
      </c>
      <c r="AQ22" s="28" t="s">
        <v>44</v>
      </c>
      <c r="AR22" s="28" t="s">
        <v>44</v>
      </c>
      <c r="AS22" s="28" t="s">
        <v>44</v>
      </c>
      <c r="AT22" s="28" t="s">
        <v>43</v>
      </c>
      <c r="AU22" s="28" t="s">
        <v>44</v>
      </c>
      <c r="AV22" s="28" t="s">
        <v>44</v>
      </c>
      <c r="AW22" s="28" t="s">
        <v>44</v>
      </c>
      <c r="AX22" s="28" t="s">
        <v>44</v>
      </c>
      <c r="AY22" s="28" t="s">
        <v>44</v>
      </c>
      <c r="AZ22" s="28" t="s">
        <v>44</v>
      </c>
      <c r="BA22" s="28" t="s">
        <v>44</v>
      </c>
    </row>
    <row r="23" spans="1:53">
      <c r="A23" s="17">
        <v>44164</v>
      </c>
      <c r="B23" s="28" t="s">
        <v>44</v>
      </c>
      <c r="C23" s="28" t="s">
        <v>44</v>
      </c>
      <c r="D23" s="28" t="s">
        <v>44</v>
      </c>
      <c r="E23" s="28" t="s">
        <v>45</v>
      </c>
      <c r="F23" s="28" t="s">
        <v>38</v>
      </c>
      <c r="G23" s="28" t="s">
        <v>38</v>
      </c>
      <c r="H23" s="28" t="s">
        <v>38</v>
      </c>
      <c r="I23" s="28" t="s">
        <v>38</v>
      </c>
      <c r="J23" s="28" t="s">
        <v>45</v>
      </c>
      <c r="K23" s="28" t="s">
        <v>45</v>
      </c>
      <c r="L23" s="28" t="s">
        <v>45</v>
      </c>
      <c r="M23" s="28" t="s">
        <v>46</v>
      </c>
      <c r="N23" s="28" t="s">
        <v>45</v>
      </c>
      <c r="O23" s="28" t="s">
        <v>45</v>
      </c>
      <c r="P23" s="28" t="s">
        <v>45</v>
      </c>
      <c r="Q23" s="28" t="s">
        <v>45</v>
      </c>
      <c r="R23" s="28" t="s">
        <v>45</v>
      </c>
      <c r="S23" s="28" t="s">
        <v>45</v>
      </c>
      <c r="T23" s="28" t="s">
        <v>45</v>
      </c>
      <c r="U23" s="28" t="s">
        <v>45</v>
      </c>
      <c r="V23" s="28" t="s">
        <v>46</v>
      </c>
      <c r="W23" s="28" t="s">
        <v>45</v>
      </c>
      <c r="X23" s="28" t="s">
        <v>45</v>
      </c>
      <c r="Y23" s="28" t="s">
        <v>45</v>
      </c>
      <c r="Z23" s="28" t="s">
        <v>46</v>
      </c>
      <c r="AA23" s="28" t="s">
        <v>45</v>
      </c>
      <c r="AB23" s="28" t="s">
        <v>45</v>
      </c>
      <c r="AC23" s="28" t="s">
        <v>45</v>
      </c>
      <c r="AD23" s="28" t="s">
        <v>45</v>
      </c>
      <c r="AE23" s="28" t="s">
        <v>45</v>
      </c>
      <c r="AF23" s="28" t="s">
        <v>45</v>
      </c>
      <c r="AG23" s="28" t="s">
        <v>45</v>
      </c>
      <c r="AH23" s="28" t="s">
        <v>46</v>
      </c>
      <c r="AI23" s="28" t="s">
        <v>45</v>
      </c>
      <c r="AJ23" s="28" t="s">
        <v>45</v>
      </c>
      <c r="AK23" s="28" t="s">
        <v>44</v>
      </c>
      <c r="AL23" s="28" t="s">
        <v>40</v>
      </c>
      <c r="AM23" s="28" t="s">
        <v>39</v>
      </c>
      <c r="AN23" s="28" t="s">
        <v>39</v>
      </c>
      <c r="AO23" s="28" t="s">
        <v>40</v>
      </c>
      <c r="AP23" s="28" t="s">
        <v>44</v>
      </c>
      <c r="AQ23" s="28" t="s">
        <v>44</v>
      </c>
      <c r="AR23" s="28" t="s">
        <v>44</v>
      </c>
      <c r="AS23" s="28" t="s">
        <v>44</v>
      </c>
      <c r="AT23" s="28" t="s">
        <v>44</v>
      </c>
      <c r="AU23" s="28" t="s">
        <v>44</v>
      </c>
      <c r="AV23" s="28" t="s">
        <v>44</v>
      </c>
      <c r="AW23" s="28" t="s">
        <v>44</v>
      </c>
      <c r="AX23" s="28" t="s">
        <v>44</v>
      </c>
      <c r="AY23" s="28" t="s">
        <v>44</v>
      </c>
      <c r="AZ23" s="28" t="s">
        <v>44</v>
      </c>
      <c r="BA23" s="28" t="s">
        <v>44</v>
      </c>
    </row>
    <row r="24" spans="1:53">
      <c r="A24" s="17">
        <v>44165</v>
      </c>
      <c r="B24" s="28" t="s">
        <v>44</v>
      </c>
      <c r="C24" s="28" t="s">
        <v>44</v>
      </c>
      <c r="D24" s="28" t="s">
        <v>44</v>
      </c>
      <c r="E24" s="28" t="s">
        <v>45</v>
      </c>
      <c r="F24" s="28" t="s">
        <v>38</v>
      </c>
      <c r="G24" s="28" t="s">
        <v>38</v>
      </c>
      <c r="H24" s="28" t="s">
        <v>38</v>
      </c>
      <c r="I24" s="28" t="s">
        <v>38</v>
      </c>
      <c r="J24" s="28" t="s">
        <v>46</v>
      </c>
      <c r="K24" s="28" t="s">
        <v>45</v>
      </c>
      <c r="L24" s="28" t="s">
        <v>45</v>
      </c>
      <c r="M24" s="28" t="s">
        <v>46</v>
      </c>
      <c r="N24" s="28" t="s">
        <v>45</v>
      </c>
      <c r="O24" s="28" t="s">
        <v>45</v>
      </c>
      <c r="P24" s="28" t="s">
        <v>45</v>
      </c>
      <c r="Q24" s="28" t="s">
        <v>45</v>
      </c>
      <c r="R24" s="28" t="s">
        <v>45</v>
      </c>
      <c r="S24" s="28" t="s">
        <v>45</v>
      </c>
      <c r="T24" s="28" t="s">
        <v>45</v>
      </c>
      <c r="U24" s="28" t="s">
        <v>45</v>
      </c>
      <c r="V24" s="28" t="s">
        <v>46</v>
      </c>
      <c r="W24" s="28" t="s">
        <v>45</v>
      </c>
      <c r="X24" s="28" t="s">
        <v>45</v>
      </c>
      <c r="Y24" s="28" t="s">
        <v>45</v>
      </c>
      <c r="Z24" s="28" t="s">
        <v>46</v>
      </c>
      <c r="AA24" s="28" t="s">
        <v>45</v>
      </c>
      <c r="AB24" s="28" t="s">
        <v>45</v>
      </c>
      <c r="AC24" s="28" t="s">
        <v>45</v>
      </c>
      <c r="AD24" s="28" t="s">
        <v>45</v>
      </c>
      <c r="AE24" s="28" t="s">
        <v>45</v>
      </c>
      <c r="AF24" s="28" t="s">
        <v>45</v>
      </c>
      <c r="AG24" s="28" t="s">
        <v>45</v>
      </c>
      <c r="AH24" s="28" t="s">
        <v>46</v>
      </c>
      <c r="AI24" s="28" t="s">
        <v>45</v>
      </c>
      <c r="AJ24" s="28" t="s">
        <v>45</v>
      </c>
      <c r="AK24" s="28" t="s">
        <v>44</v>
      </c>
      <c r="AL24" s="28" t="s">
        <v>40</v>
      </c>
      <c r="AM24" s="28" t="s">
        <v>39</v>
      </c>
      <c r="AN24" s="28" t="s">
        <v>39</v>
      </c>
      <c r="AO24" s="28" t="s">
        <v>39</v>
      </c>
      <c r="AP24" s="28" t="s">
        <v>44</v>
      </c>
      <c r="AQ24" s="28" t="s">
        <v>44</v>
      </c>
      <c r="AR24" s="28" t="s">
        <v>44</v>
      </c>
      <c r="AS24" s="28" t="s">
        <v>44</v>
      </c>
      <c r="AT24" s="28" t="s">
        <v>44</v>
      </c>
      <c r="AU24" s="28" t="s">
        <v>44</v>
      </c>
      <c r="AV24" s="28" t="s">
        <v>44</v>
      </c>
      <c r="AW24" s="28" t="s">
        <v>44</v>
      </c>
      <c r="AX24" s="28" t="s">
        <v>44</v>
      </c>
      <c r="AY24" s="28" t="s">
        <v>44</v>
      </c>
      <c r="AZ24" s="28" t="s">
        <v>44</v>
      </c>
      <c r="BA24" s="28" t="s">
        <v>44</v>
      </c>
    </row>
    <row r="25" spans="1:53">
      <c r="A25" s="17">
        <v>44166</v>
      </c>
      <c r="B25" s="28" t="s">
        <v>44</v>
      </c>
      <c r="C25" s="28" t="s">
        <v>44</v>
      </c>
      <c r="D25" s="28" t="s">
        <v>44</v>
      </c>
      <c r="E25" s="28" t="s">
        <v>45</v>
      </c>
      <c r="F25" s="28" t="s">
        <v>38</v>
      </c>
      <c r="G25" s="28" t="s">
        <v>38</v>
      </c>
      <c r="H25" s="28" t="s">
        <v>38</v>
      </c>
      <c r="I25" s="28" t="s">
        <v>38</v>
      </c>
      <c r="J25" s="28" t="s">
        <v>45</v>
      </c>
      <c r="K25" s="28" t="s">
        <v>45</v>
      </c>
      <c r="L25" s="28" t="s">
        <v>45</v>
      </c>
      <c r="M25" s="28" t="s">
        <v>45</v>
      </c>
      <c r="N25" s="28" t="s">
        <v>45</v>
      </c>
      <c r="O25" s="28" t="s">
        <v>45</v>
      </c>
      <c r="P25" s="28" t="s">
        <v>45</v>
      </c>
      <c r="Q25" s="28" t="s">
        <v>45</v>
      </c>
      <c r="R25" s="28" t="s">
        <v>45</v>
      </c>
      <c r="S25" s="28" t="s">
        <v>45</v>
      </c>
      <c r="T25" s="28" t="s">
        <v>45</v>
      </c>
      <c r="U25" s="28" t="s">
        <v>45</v>
      </c>
      <c r="V25" s="28" t="s">
        <v>46</v>
      </c>
      <c r="W25" s="28" t="s">
        <v>45</v>
      </c>
      <c r="X25" s="28" t="s">
        <v>45</v>
      </c>
      <c r="Y25" s="28" t="s">
        <v>45</v>
      </c>
      <c r="Z25" s="28" t="s">
        <v>46</v>
      </c>
      <c r="AA25" s="28" t="s">
        <v>45</v>
      </c>
      <c r="AB25" s="28" t="s">
        <v>45</v>
      </c>
      <c r="AC25" s="28" t="s">
        <v>45</v>
      </c>
      <c r="AD25" s="28" t="s">
        <v>45</v>
      </c>
      <c r="AE25" s="28" t="s">
        <v>45</v>
      </c>
      <c r="AF25" s="28" t="s">
        <v>45</v>
      </c>
      <c r="AG25" s="28" t="s">
        <v>45</v>
      </c>
      <c r="AH25" s="28" t="s">
        <v>46</v>
      </c>
      <c r="AI25" s="28" t="s">
        <v>45</v>
      </c>
      <c r="AJ25" s="28" t="s">
        <v>45</v>
      </c>
      <c r="AK25" s="28" t="s">
        <v>44</v>
      </c>
      <c r="AL25" s="28" t="s">
        <v>40</v>
      </c>
      <c r="AM25" s="28" t="s">
        <v>39</v>
      </c>
      <c r="AN25" s="28" t="s">
        <v>39</v>
      </c>
      <c r="AO25" s="28" t="s">
        <v>40</v>
      </c>
      <c r="AP25" s="28" t="s">
        <v>44</v>
      </c>
      <c r="AQ25" s="28" t="s">
        <v>44</v>
      </c>
      <c r="AR25" s="28" t="s">
        <v>44</v>
      </c>
      <c r="AS25" s="28" t="s">
        <v>44</v>
      </c>
      <c r="AT25" s="28" t="s">
        <v>44</v>
      </c>
      <c r="AU25" s="28" t="s">
        <v>44</v>
      </c>
      <c r="AV25" s="28" t="s">
        <v>44</v>
      </c>
      <c r="AW25" s="28" t="s">
        <v>44</v>
      </c>
      <c r="AX25" s="28" t="s">
        <v>44</v>
      </c>
      <c r="AY25" s="28" t="s">
        <v>44</v>
      </c>
      <c r="AZ25" s="28" t="s">
        <v>44</v>
      </c>
      <c r="BA25" s="28" t="s">
        <v>44</v>
      </c>
    </row>
    <row r="26" spans="1:53">
      <c r="A26" s="17">
        <v>44167</v>
      </c>
      <c r="B26" s="28" t="s">
        <v>44</v>
      </c>
      <c r="C26" s="28" t="s">
        <v>44</v>
      </c>
      <c r="D26" s="28" t="s">
        <v>44</v>
      </c>
      <c r="E26" s="28" t="s">
        <v>45</v>
      </c>
      <c r="F26" s="28" t="s">
        <v>38</v>
      </c>
      <c r="G26" s="28" t="s">
        <v>38</v>
      </c>
      <c r="H26" s="28" t="s">
        <v>38</v>
      </c>
      <c r="I26" s="28" t="s">
        <v>38</v>
      </c>
      <c r="J26" s="28" t="s">
        <v>46</v>
      </c>
      <c r="K26" s="28" t="s">
        <v>45</v>
      </c>
      <c r="L26" s="28" t="s">
        <v>45</v>
      </c>
      <c r="M26" s="28" t="s">
        <v>46</v>
      </c>
      <c r="N26" s="28" t="s">
        <v>45</v>
      </c>
      <c r="O26" s="28" t="s">
        <v>45</v>
      </c>
      <c r="P26" s="28" t="s">
        <v>45</v>
      </c>
      <c r="Q26" s="28" t="s">
        <v>45</v>
      </c>
      <c r="R26" s="28" t="s">
        <v>45</v>
      </c>
      <c r="S26" s="28" t="s">
        <v>45</v>
      </c>
      <c r="T26" s="28" t="s">
        <v>45</v>
      </c>
      <c r="U26" s="28" t="s">
        <v>45</v>
      </c>
      <c r="V26" s="28" t="s">
        <v>46</v>
      </c>
      <c r="W26" s="28" t="s">
        <v>45</v>
      </c>
      <c r="X26" s="28" t="s">
        <v>45</v>
      </c>
      <c r="Y26" s="28" t="s">
        <v>45</v>
      </c>
      <c r="Z26" s="28" t="s">
        <v>46</v>
      </c>
      <c r="AA26" s="28" t="s">
        <v>45</v>
      </c>
      <c r="AB26" s="28" t="s">
        <v>45</v>
      </c>
      <c r="AC26" s="28" t="s">
        <v>45</v>
      </c>
      <c r="AD26" s="28" t="s">
        <v>45</v>
      </c>
      <c r="AE26" s="28" t="s">
        <v>45</v>
      </c>
      <c r="AF26" s="28" t="s">
        <v>45</v>
      </c>
      <c r="AG26" s="28" t="s">
        <v>45</v>
      </c>
      <c r="AH26" s="28" t="s">
        <v>46</v>
      </c>
      <c r="AI26" s="28" t="s">
        <v>45</v>
      </c>
      <c r="AJ26" s="28" t="s">
        <v>45</v>
      </c>
      <c r="AK26" s="28" t="s">
        <v>44</v>
      </c>
      <c r="AL26" s="28" t="s">
        <v>40</v>
      </c>
      <c r="AM26" s="28" t="s">
        <v>39</v>
      </c>
      <c r="AN26" s="28" t="s">
        <v>39</v>
      </c>
      <c r="AO26" s="28" t="s">
        <v>39</v>
      </c>
      <c r="AP26" s="28" t="s">
        <v>44</v>
      </c>
      <c r="AQ26" s="28" t="s">
        <v>44</v>
      </c>
      <c r="AR26" s="28" t="s">
        <v>44</v>
      </c>
      <c r="AS26" s="28" t="s">
        <v>44</v>
      </c>
      <c r="AT26" s="28" t="s">
        <v>43</v>
      </c>
      <c r="AU26" s="28" t="s">
        <v>44</v>
      </c>
      <c r="AV26" s="28" t="s">
        <v>44</v>
      </c>
      <c r="AW26" s="28" t="s">
        <v>44</v>
      </c>
      <c r="AX26" s="28" t="s">
        <v>44</v>
      </c>
      <c r="AY26" s="28" t="s">
        <v>44</v>
      </c>
      <c r="AZ26" s="28" t="s">
        <v>44</v>
      </c>
      <c r="BA26" s="28" t="s">
        <v>44</v>
      </c>
    </row>
    <row r="27" spans="1:53">
      <c r="A27" s="17">
        <v>44168</v>
      </c>
      <c r="B27" s="28" t="s">
        <v>44</v>
      </c>
      <c r="C27" s="28" t="s">
        <v>44</v>
      </c>
      <c r="D27" s="28" t="s">
        <v>44</v>
      </c>
      <c r="E27" s="28" t="s">
        <v>45</v>
      </c>
      <c r="F27" s="28" t="s">
        <v>38</v>
      </c>
      <c r="G27" s="28" t="s">
        <v>38</v>
      </c>
      <c r="H27" s="28" t="s">
        <v>38</v>
      </c>
      <c r="I27" s="28" t="s">
        <v>38</v>
      </c>
      <c r="J27" s="28" t="s">
        <v>45</v>
      </c>
      <c r="K27" s="28" t="s">
        <v>45</v>
      </c>
      <c r="L27" s="28" t="s">
        <v>45</v>
      </c>
      <c r="M27" s="28" t="s">
        <v>46</v>
      </c>
      <c r="N27" s="28" t="s">
        <v>45</v>
      </c>
      <c r="O27" s="28" t="s">
        <v>45</v>
      </c>
      <c r="P27" s="28" t="s">
        <v>45</v>
      </c>
      <c r="Q27" s="28" t="s">
        <v>45</v>
      </c>
      <c r="R27" s="28" t="s">
        <v>45</v>
      </c>
      <c r="S27" s="28" t="s">
        <v>45</v>
      </c>
      <c r="T27" s="28" t="s">
        <v>45</v>
      </c>
      <c r="U27" s="28" t="s">
        <v>45</v>
      </c>
      <c r="V27" s="28" t="s">
        <v>46</v>
      </c>
      <c r="W27" s="28" t="s">
        <v>45</v>
      </c>
      <c r="X27" s="28" t="s">
        <v>45</v>
      </c>
      <c r="Y27" s="28" t="s">
        <v>45</v>
      </c>
      <c r="Z27" s="28" t="s">
        <v>46</v>
      </c>
      <c r="AA27" s="28" t="s">
        <v>45</v>
      </c>
      <c r="AB27" s="28" t="s">
        <v>45</v>
      </c>
      <c r="AC27" s="28" t="s">
        <v>45</v>
      </c>
      <c r="AD27" s="28" t="s">
        <v>45</v>
      </c>
      <c r="AE27" s="28" t="s">
        <v>45</v>
      </c>
      <c r="AF27" s="28" t="s">
        <v>45</v>
      </c>
      <c r="AG27" s="28" t="s">
        <v>45</v>
      </c>
      <c r="AH27" s="28" t="s">
        <v>46</v>
      </c>
      <c r="AI27" s="28" t="s">
        <v>45</v>
      </c>
      <c r="AJ27" s="28" t="s">
        <v>45</v>
      </c>
      <c r="AK27" s="28" t="s">
        <v>44</v>
      </c>
      <c r="AL27" s="28" t="s">
        <v>40</v>
      </c>
      <c r="AM27" s="28" t="s">
        <v>39</v>
      </c>
      <c r="AN27" s="28" t="s">
        <v>39</v>
      </c>
      <c r="AO27" s="28" t="s">
        <v>39</v>
      </c>
      <c r="AP27" s="28" t="s">
        <v>44</v>
      </c>
      <c r="AQ27" s="28" t="s">
        <v>44</v>
      </c>
      <c r="AR27" s="28" t="s">
        <v>44</v>
      </c>
      <c r="AS27" s="28" t="s">
        <v>44</v>
      </c>
      <c r="AT27" s="28" t="s">
        <v>43</v>
      </c>
      <c r="AU27" s="28" t="s">
        <v>44</v>
      </c>
      <c r="AV27" s="28" t="s">
        <v>44</v>
      </c>
      <c r="AW27" s="28" t="s">
        <v>44</v>
      </c>
      <c r="AX27" s="28" t="s">
        <v>44</v>
      </c>
      <c r="AY27" s="28" t="s">
        <v>44</v>
      </c>
      <c r="AZ27" s="28" t="s">
        <v>44</v>
      </c>
      <c r="BA27" s="28" t="s">
        <v>44</v>
      </c>
    </row>
    <row r="28" spans="1:53">
      <c r="A28" s="17">
        <v>44169</v>
      </c>
      <c r="B28" s="28" t="s">
        <v>44</v>
      </c>
      <c r="C28" s="28" t="s">
        <v>44</v>
      </c>
      <c r="D28" s="28" t="s">
        <v>44</v>
      </c>
      <c r="E28" s="28" t="s">
        <v>45</v>
      </c>
      <c r="F28" s="28" t="s">
        <v>38</v>
      </c>
      <c r="G28" s="28" t="s">
        <v>38</v>
      </c>
      <c r="H28" s="28" t="s">
        <v>38</v>
      </c>
      <c r="I28" s="28" t="s">
        <v>38</v>
      </c>
      <c r="J28" s="28" t="s">
        <v>45</v>
      </c>
      <c r="K28" s="28" t="s">
        <v>45</v>
      </c>
      <c r="L28" s="28" t="s">
        <v>45</v>
      </c>
      <c r="M28" s="28" t="s">
        <v>46</v>
      </c>
      <c r="N28" s="28" t="s">
        <v>45</v>
      </c>
      <c r="O28" s="28" t="s">
        <v>45</v>
      </c>
      <c r="P28" s="28" t="s">
        <v>45</v>
      </c>
      <c r="Q28" s="28" t="s">
        <v>45</v>
      </c>
      <c r="R28" s="28" t="s">
        <v>45</v>
      </c>
      <c r="S28" s="28" t="s">
        <v>45</v>
      </c>
      <c r="T28" s="28" t="s">
        <v>45</v>
      </c>
      <c r="U28" s="28" t="s">
        <v>45</v>
      </c>
      <c r="V28" s="28" t="s">
        <v>46</v>
      </c>
      <c r="W28" s="28" t="s">
        <v>45</v>
      </c>
      <c r="X28" s="28" t="s">
        <v>45</v>
      </c>
      <c r="Y28" s="28" t="s">
        <v>45</v>
      </c>
      <c r="Z28" s="28" t="s">
        <v>46</v>
      </c>
      <c r="AA28" s="28" t="s">
        <v>45</v>
      </c>
      <c r="AB28" s="28" t="s">
        <v>45</v>
      </c>
      <c r="AC28" s="28" t="s">
        <v>45</v>
      </c>
      <c r="AD28" s="28" t="s">
        <v>45</v>
      </c>
      <c r="AE28" s="28" t="s">
        <v>45</v>
      </c>
      <c r="AF28" s="28" t="s">
        <v>45</v>
      </c>
      <c r="AG28" s="28" t="s">
        <v>45</v>
      </c>
      <c r="AH28" s="28" t="s">
        <v>46</v>
      </c>
      <c r="AI28" s="28" t="s">
        <v>45</v>
      </c>
      <c r="AJ28" s="28" t="s">
        <v>45</v>
      </c>
      <c r="AK28" s="28" t="s">
        <v>44</v>
      </c>
      <c r="AL28" s="28" t="s">
        <v>40</v>
      </c>
      <c r="AM28" s="28" t="s">
        <v>39</v>
      </c>
      <c r="AN28" s="28" t="s">
        <v>39</v>
      </c>
      <c r="AO28" s="28" t="s">
        <v>39</v>
      </c>
      <c r="AP28" s="28" t="s">
        <v>44</v>
      </c>
      <c r="AQ28" s="28" t="s">
        <v>44</v>
      </c>
      <c r="AR28" s="28" t="s">
        <v>44</v>
      </c>
      <c r="AS28" s="28" t="s">
        <v>44</v>
      </c>
      <c r="AT28" s="28" t="s">
        <v>44</v>
      </c>
      <c r="AU28" s="28" t="s">
        <v>44</v>
      </c>
      <c r="AV28" s="28" t="s">
        <v>44</v>
      </c>
      <c r="AW28" s="28" t="s">
        <v>44</v>
      </c>
      <c r="AX28" s="28" t="s">
        <v>44</v>
      </c>
      <c r="AY28" s="28" t="s">
        <v>44</v>
      </c>
      <c r="AZ28" s="28" t="s">
        <v>44</v>
      </c>
      <c r="BA28" s="28" t="s">
        <v>44</v>
      </c>
    </row>
    <row r="29" spans="1:53">
      <c r="A29" s="17">
        <v>44170</v>
      </c>
      <c r="B29" s="28" t="s">
        <v>44</v>
      </c>
      <c r="C29" s="28" t="s">
        <v>44</v>
      </c>
      <c r="D29" s="28" t="s">
        <v>44</v>
      </c>
      <c r="E29" s="28" t="s">
        <v>44</v>
      </c>
      <c r="F29" s="28" t="s">
        <v>39</v>
      </c>
      <c r="G29" s="28" t="s">
        <v>39</v>
      </c>
      <c r="H29" s="28" t="s">
        <v>39</v>
      </c>
      <c r="I29" s="28" t="s">
        <v>39</v>
      </c>
      <c r="J29" s="28" t="s">
        <v>44</v>
      </c>
      <c r="K29" s="28" t="s">
        <v>44</v>
      </c>
      <c r="L29" s="28" t="s">
        <v>44</v>
      </c>
      <c r="M29" s="28" t="s">
        <v>43</v>
      </c>
      <c r="N29" s="28" t="s">
        <v>44</v>
      </c>
      <c r="O29" s="28" t="s">
        <v>44</v>
      </c>
      <c r="P29" s="28" t="s">
        <v>44</v>
      </c>
      <c r="Q29" s="28" t="s">
        <v>44</v>
      </c>
      <c r="R29" s="28" t="s">
        <v>39</v>
      </c>
      <c r="S29" s="28" t="s">
        <v>39</v>
      </c>
      <c r="T29" s="28" t="s">
        <v>39</v>
      </c>
      <c r="U29" s="28" t="s">
        <v>39</v>
      </c>
      <c r="V29" s="28" t="s">
        <v>43</v>
      </c>
      <c r="W29" s="28" t="s">
        <v>44</v>
      </c>
      <c r="X29" s="28" t="s">
        <v>44</v>
      </c>
      <c r="Y29" s="28" t="s">
        <v>44</v>
      </c>
      <c r="Z29" s="28" t="s">
        <v>43</v>
      </c>
      <c r="AA29" s="28" t="s">
        <v>44</v>
      </c>
      <c r="AB29" s="28" t="s">
        <v>44</v>
      </c>
      <c r="AC29" s="28" t="s">
        <v>44</v>
      </c>
      <c r="AD29" s="28" t="s">
        <v>44</v>
      </c>
      <c r="AE29" s="28" t="s">
        <v>44</v>
      </c>
      <c r="AF29" s="28" t="s">
        <v>44</v>
      </c>
      <c r="AG29" s="28" t="s">
        <v>44</v>
      </c>
      <c r="AH29" s="28" t="s">
        <v>43</v>
      </c>
      <c r="AI29" s="28" t="s">
        <v>44</v>
      </c>
      <c r="AJ29" s="28" t="s">
        <v>44</v>
      </c>
      <c r="AK29" s="28" t="s">
        <v>44</v>
      </c>
      <c r="AL29" s="28" t="s">
        <v>40</v>
      </c>
      <c r="AM29" s="28" t="s">
        <v>39</v>
      </c>
      <c r="AN29" s="28" t="s">
        <v>39</v>
      </c>
      <c r="AO29" s="28" t="s">
        <v>39</v>
      </c>
      <c r="AP29" s="28" t="s">
        <v>44</v>
      </c>
      <c r="AQ29" s="28" t="s">
        <v>44</v>
      </c>
      <c r="AR29" s="28" t="s">
        <v>44</v>
      </c>
      <c r="AS29" s="28" t="s">
        <v>44</v>
      </c>
      <c r="AT29" s="28" t="s">
        <v>44</v>
      </c>
      <c r="AU29" s="28" t="s">
        <v>44</v>
      </c>
      <c r="AV29" s="28" t="s">
        <v>44</v>
      </c>
      <c r="AW29" s="28" t="s">
        <v>44</v>
      </c>
      <c r="AX29" s="28" t="s">
        <v>44</v>
      </c>
      <c r="AY29" s="28" t="s">
        <v>44</v>
      </c>
      <c r="AZ29" s="28" t="s">
        <v>44</v>
      </c>
      <c r="BA29" s="28" t="s">
        <v>44</v>
      </c>
    </row>
    <row r="30" spans="1:53">
      <c r="A30" s="17">
        <v>44171</v>
      </c>
      <c r="B30" s="28" t="s">
        <v>44</v>
      </c>
      <c r="C30" s="28" t="s">
        <v>44</v>
      </c>
      <c r="D30" s="28" t="s">
        <v>44</v>
      </c>
      <c r="E30" s="28" t="s">
        <v>44</v>
      </c>
      <c r="F30" s="28" t="s">
        <v>39</v>
      </c>
      <c r="G30" s="28" t="s">
        <v>39</v>
      </c>
      <c r="H30" s="28" t="s">
        <v>39</v>
      </c>
      <c r="I30" s="28" t="s">
        <v>39</v>
      </c>
      <c r="J30" s="28" t="s">
        <v>44</v>
      </c>
      <c r="K30" s="28" t="s">
        <v>44</v>
      </c>
      <c r="L30" s="28" t="s">
        <v>44</v>
      </c>
      <c r="M30" s="28" t="s">
        <v>43</v>
      </c>
      <c r="N30" s="28" t="s">
        <v>44</v>
      </c>
      <c r="O30" s="28" t="s">
        <v>44</v>
      </c>
      <c r="P30" s="28" t="s">
        <v>44</v>
      </c>
      <c r="Q30" s="28" t="s">
        <v>44</v>
      </c>
      <c r="R30" s="28" t="s">
        <v>44</v>
      </c>
      <c r="S30" s="28" t="s">
        <v>44</v>
      </c>
      <c r="T30" s="28" t="s">
        <v>44</v>
      </c>
      <c r="U30" s="28" t="s">
        <v>44</v>
      </c>
      <c r="V30" s="28" t="s">
        <v>43</v>
      </c>
      <c r="W30" s="28" t="s">
        <v>44</v>
      </c>
      <c r="X30" s="28" t="s">
        <v>44</v>
      </c>
      <c r="Y30" s="28" t="s">
        <v>44</v>
      </c>
      <c r="Z30" s="28" t="s">
        <v>43</v>
      </c>
      <c r="AA30" s="28" t="s">
        <v>44</v>
      </c>
      <c r="AB30" s="28" t="s">
        <v>44</v>
      </c>
      <c r="AC30" s="28" t="s">
        <v>44</v>
      </c>
      <c r="AD30" s="28" t="s">
        <v>44</v>
      </c>
      <c r="AE30" s="28" t="s">
        <v>44</v>
      </c>
      <c r="AF30" s="28" t="s">
        <v>44</v>
      </c>
      <c r="AG30" s="28" t="s">
        <v>44</v>
      </c>
      <c r="AH30" s="28" t="s">
        <v>44</v>
      </c>
      <c r="AI30" s="28" t="s">
        <v>44</v>
      </c>
      <c r="AJ30" s="28" t="s">
        <v>44</v>
      </c>
      <c r="AK30" s="28" t="s">
        <v>44</v>
      </c>
      <c r="AL30" s="28" t="s">
        <v>39</v>
      </c>
      <c r="AM30" s="28" t="s">
        <v>39</v>
      </c>
      <c r="AN30" s="28" t="s">
        <v>39</v>
      </c>
      <c r="AO30" s="28" t="s">
        <v>39</v>
      </c>
      <c r="AP30" s="28" t="s">
        <v>44</v>
      </c>
      <c r="AQ30" s="28" t="s">
        <v>44</v>
      </c>
      <c r="AR30" s="28" t="s">
        <v>44</v>
      </c>
      <c r="AS30" s="28" t="s">
        <v>44</v>
      </c>
      <c r="AT30" s="28" t="s">
        <v>44</v>
      </c>
      <c r="AU30" s="28" t="s">
        <v>44</v>
      </c>
      <c r="AV30" s="28" t="s">
        <v>44</v>
      </c>
      <c r="AW30" s="28" t="s">
        <v>44</v>
      </c>
      <c r="AX30" s="28" t="s">
        <v>44</v>
      </c>
      <c r="AY30" s="28" t="s">
        <v>44</v>
      </c>
      <c r="AZ30" s="28" t="s">
        <v>44</v>
      </c>
      <c r="BA30" s="28" t="s">
        <v>44</v>
      </c>
    </row>
    <row r="31" spans="1:53">
      <c r="A31" s="17">
        <v>44172</v>
      </c>
      <c r="B31" s="28" t="s">
        <v>44</v>
      </c>
      <c r="C31" s="28" t="s">
        <v>44</v>
      </c>
      <c r="D31" s="28" t="s">
        <v>44</v>
      </c>
      <c r="E31" s="28" t="s">
        <v>44</v>
      </c>
      <c r="F31" s="28" t="s">
        <v>39</v>
      </c>
      <c r="G31" s="28" t="s">
        <v>39</v>
      </c>
      <c r="H31" s="28" t="s">
        <v>39</v>
      </c>
      <c r="I31" s="28" t="s">
        <v>39</v>
      </c>
      <c r="J31" s="28" t="s">
        <v>44</v>
      </c>
      <c r="K31" s="28" t="s">
        <v>44</v>
      </c>
      <c r="L31" s="28" t="s">
        <v>44</v>
      </c>
      <c r="M31" s="28" t="s">
        <v>44</v>
      </c>
      <c r="N31" s="28" t="s">
        <v>44</v>
      </c>
      <c r="O31" s="28" t="s">
        <v>44</v>
      </c>
      <c r="P31" s="28" t="s">
        <v>44</v>
      </c>
      <c r="Q31" s="28" t="s">
        <v>44</v>
      </c>
      <c r="R31" s="28" t="s">
        <v>44</v>
      </c>
      <c r="S31" s="28" t="s">
        <v>44</v>
      </c>
      <c r="T31" s="28" t="s">
        <v>44</v>
      </c>
      <c r="U31" s="28" t="s">
        <v>44</v>
      </c>
      <c r="V31" s="28" t="s">
        <v>43</v>
      </c>
      <c r="W31" s="28" t="s">
        <v>44</v>
      </c>
      <c r="X31" s="28" t="s">
        <v>44</v>
      </c>
      <c r="Y31" s="28" t="s">
        <v>44</v>
      </c>
      <c r="Z31" s="28" t="s">
        <v>43</v>
      </c>
      <c r="AA31" s="28" t="s">
        <v>44</v>
      </c>
      <c r="AB31" s="28" t="s">
        <v>44</v>
      </c>
      <c r="AC31" s="28" t="s">
        <v>44</v>
      </c>
      <c r="AD31" s="28" t="s">
        <v>44</v>
      </c>
      <c r="AE31" s="28" t="s">
        <v>44</v>
      </c>
      <c r="AF31" s="28" t="s">
        <v>44</v>
      </c>
      <c r="AG31" s="28" t="s">
        <v>44</v>
      </c>
      <c r="AH31" s="28" t="s">
        <v>43</v>
      </c>
      <c r="AI31" s="28" t="s">
        <v>44</v>
      </c>
      <c r="AJ31" s="28" t="s">
        <v>44</v>
      </c>
      <c r="AK31" s="28" t="s">
        <v>44</v>
      </c>
      <c r="AL31" s="28" t="s">
        <v>40</v>
      </c>
      <c r="AM31" s="28" t="s">
        <v>39</v>
      </c>
      <c r="AN31" s="28" t="s">
        <v>39</v>
      </c>
      <c r="AO31" s="28" t="s">
        <v>39</v>
      </c>
      <c r="AP31" s="28" t="s">
        <v>44</v>
      </c>
      <c r="AQ31" s="28" t="s">
        <v>44</v>
      </c>
      <c r="AR31" s="28" t="s">
        <v>44</v>
      </c>
      <c r="AS31" s="28" t="s">
        <v>44</v>
      </c>
      <c r="AT31" s="28" t="s">
        <v>44</v>
      </c>
      <c r="AU31" s="28" t="s">
        <v>44</v>
      </c>
      <c r="AV31" s="28" t="s">
        <v>44</v>
      </c>
      <c r="AW31" s="28" t="s">
        <v>44</v>
      </c>
      <c r="AX31" s="28" t="s">
        <v>44</v>
      </c>
      <c r="AY31" s="28" t="s">
        <v>44</v>
      </c>
      <c r="AZ31" s="28" t="s">
        <v>44</v>
      </c>
      <c r="BA31" s="28" t="s">
        <v>44</v>
      </c>
    </row>
    <row r="32" spans="1:53">
      <c r="A32" s="17">
        <v>44173</v>
      </c>
      <c r="B32" s="28" t="s">
        <v>44</v>
      </c>
      <c r="C32" s="28" t="s">
        <v>44</v>
      </c>
      <c r="D32" s="28" t="s">
        <v>44</v>
      </c>
      <c r="E32" s="28" t="s">
        <v>44</v>
      </c>
      <c r="F32" s="28" t="s">
        <v>39</v>
      </c>
      <c r="G32" s="28" t="s">
        <v>39</v>
      </c>
      <c r="H32" s="28" t="s">
        <v>39</v>
      </c>
      <c r="I32" s="28" t="s">
        <v>39</v>
      </c>
      <c r="J32" s="28" t="s">
        <v>43</v>
      </c>
      <c r="K32" s="28" t="s">
        <v>44</v>
      </c>
      <c r="L32" s="28" t="s">
        <v>44</v>
      </c>
      <c r="M32" s="28" t="s">
        <v>43</v>
      </c>
      <c r="N32" s="28" t="s">
        <v>44</v>
      </c>
      <c r="O32" s="28" t="s">
        <v>44</v>
      </c>
      <c r="P32" s="28" t="s">
        <v>44</v>
      </c>
      <c r="Q32" s="28" t="s">
        <v>44</v>
      </c>
      <c r="R32" s="28" t="s">
        <v>44</v>
      </c>
      <c r="S32" s="28" t="s">
        <v>44</v>
      </c>
      <c r="T32" s="28" t="s">
        <v>44</v>
      </c>
      <c r="U32" s="28" t="s">
        <v>44</v>
      </c>
      <c r="V32" s="28" t="s">
        <v>43</v>
      </c>
      <c r="W32" s="28" t="s">
        <v>44</v>
      </c>
      <c r="X32" s="28" t="s">
        <v>44</v>
      </c>
      <c r="Y32" s="28" t="s">
        <v>44</v>
      </c>
      <c r="Z32" s="28" t="s">
        <v>43</v>
      </c>
      <c r="AA32" s="28" t="s">
        <v>44</v>
      </c>
      <c r="AB32" s="28" t="s">
        <v>44</v>
      </c>
      <c r="AC32" s="28" t="s">
        <v>44</v>
      </c>
      <c r="AD32" s="28" t="s">
        <v>44</v>
      </c>
      <c r="AE32" s="28" t="s">
        <v>44</v>
      </c>
      <c r="AF32" s="28" t="s">
        <v>44</v>
      </c>
      <c r="AG32" s="28" t="s">
        <v>44</v>
      </c>
      <c r="AH32" s="28" t="s">
        <v>43</v>
      </c>
      <c r="AI32" s="28" t="s">
        <v>44</v>
      </c>
      <c r="AJ32" s="28" t="s">
        <v>44</v>
      </c>
      <c r="AK32" s="28" t="s">
        <v>44</v>
      </c>
      <c r="AL32" s="28" t="s">
        <v>40</v>
      </c>
      <c r="AM32" s="28" t="s">
        <v>39</v>
      </c>
      <c r="AN32" s="28" t="s">
        <v>39</v>
      </c>
      <c r="AO32" s="28" t="s">
        <v>39</v>
      </c>
      <c r="AP32" s="28" t="s">
        <v>44</v>
      </c>
      <c r="AQ32" s="28" t="s">
        <v>44</v>
      </c>
      <c r="AR32" s="28" t="s">
        <v>44</v>
      </c>
      <c r="AS32" s="28" t="s">
        <v>44</v>
      </c>
      <c r="AT32" s="28" t="s">
        <v>44</v>
      </c>
      <c r="AU32" s="28" t="s">
        <v>44</v>
      </c>
      <c r="AV32" s="28" t="s">
        <v>44</v>
      </c>
      <c r="AW32" s="28" t="s">
        <v>44</v>
      </c>
      <c r="AX32" s="28" t="s">
        <v>44</v>
      </c>
      <c r="AY32" s="28" t="s">
        <v>44</v>
      </c>
      <c r="AZ32" s="28" t="s">
        <v>44</v>
      </c>
      <c r="BA32" s="28" t="s">
        <v>44</v>
      </c>
    </row>
    <row r="33" spans="1:53">
      <c r="A33" s="17">
        <v>44174</v>
      </c>
      <c r="B33" s="28" t="s">
        <v>44</v>
      </c>
      <c r="C33" s="28" t="s">
        <v>44</v>
      </c>
      <c r="D33" s="28" t="s">
        <v>44</v>
      </c>
      <c r="E33" s="28" t="s">
        <v>44</v>
      </c>
      <c r="F33" s="28" t="s">
        <v>39</v>
      </c>
      <c r="G33" s="28" t="s">
        <v>39</v>
      </c>
      <c r="H33" s="28" t="s">
        <v>39</v>
      </c>
      <c r="I33" s="28" t="s">
        <v>39</v>
      </c>
      <c r="J33" s="28" t="s">
        <v>44</v>
      </c>
      <c r="K33" s="28" t="s">
        <v>44</v>
      </c>
      <c r="L33" s="28" t="s">
        <v>44</v>
      </c>
      <c r="M33" s="28" t="s">
        <v>43</v>
      </c>
      <c r="N33" s="28" t="s">
        <v>44</v>
      </c>
      <c r="O33" s="28" t="s">
        <v>44</v>
      </c>
      <c r="P33" s="28" t="s">
        <v>44</v>
      </c>
      <c r="Q33" s="28" t="s">
        <v>44</v>
      </c>
      <c r="R33" s="28" t="s">
        <v>44</v>
      </c>
      <c r="S33" s="28" t="s">
        <v>44</v>
      </c>
      <c r="T33" s="28" t="s">
        <v>44</v>
      </c>
      <c r="U33" s="28" t="s">
        <v>44</v>
      </c>
      <c r="V33" s="28" t="s">
        <v>43</v>
      </c>
      <c r="W33" s="28" t="s">
        <v>44</v>
      </c>
      <c r="X33" s="28" t="s">
        <v>44</v>
      </c>
      <c r="Y33" s="28" t="s">
        <v>44</v>
      </c>
      <c r="Z33" s="28" t="s">
        <v>43</v>
      </c>
      <c r="AA33" s="28" t="s">
        <v>44</v>
      </c>
      <c r="AB33" s="28" t="s">
        <v>44</v>
      </c>
      <c r="AC33" s="28" t="s">
        <v>44</v>
      </c>
      <c r="AD33" s="28" t="s">
        <v>44</v>
      </c>
      <c r="AE33" s="28" t="s">
        <v>44</v>
      </c>
      <c r="AF33" s="28" t="s">
        <v>44</v>
      </c>
      <c r="AG33" s="28" t="s">
        <v>44</v>
      </c>
      <c r="AH33" s="28" t="s">
        <v>43</v>
      </c>
      <c r="AI33" s="28" t="s">
        <v>44</v>
      </c>
      <c r="AJ33" s="28" t="s">
        <v>44</v>
      </c>
      <c r="AK33" s="28" t="s">
        <v>44</v>
      </c>
      <c r="AL33" s="28" t="s">
        <v>40</v>
      </c>
      <c r="AM33" s="28" t="s">
        <v>39</v>
      </c>
      <c r="AN33" s="28" t="s">
        <v>39</v>
      </c>
      <c r="AO33" s="28" t="s">
        <v>39</v>
      </c>
      <c r="AP33" s="28" t="s">
        <v>44</v>
      </c>
      <c r="AQ33" s="28" t="s">
        <v>44</v>
      </c>
      <c r="AR33" s="28" t="s">
        <v>44</v>
      </c>
      <c r="AS33" s="28" t="s">
        <v>44</v>
      </c>
      <c r="AT33" s="28" t="s">
        <v>44</v>
      </c>
      <c r="AU33" s="28" t="s">
        <v>44</v>
      </c>
      <c r="AV33" s="28" t="s">
        <v>44</v>
      </c>
      <c r="AW33" s="28" t="s">
        <v>44</v>
      </c>
      <c r="AX33" s="28" t="s">
        <v>44</v>
      </c>
      <c r="AY33" s="28" t="s">
        <v>44</v>
      </c>
      <c r="AZ33" s="28" t="s">
        <v>44</v>
      </c>
      <c r="BA33" s="28" t="s">
        <v>43</v>
      </c>
    </row>
    <row r="34" spans="1:53">
      <c r="A34" s="17">
        <v>44175</v>
      </c>
      <c r="B34" s="28" t="s">
        <v>44</v>
      </c>
      <c r="C34" s="28" t="s">
        <v>44</v>
      </c>
      <c r="D34" s="28" t="s">
        <v>44</v>
      </c>
      <c r="E34" s="28" t="s">
        <v>44</v>
      </c>
      <c r="F34" s="28" t="s">
        <v>39</v>
      </c>
      <c r="G34" s="28" t="s">
        <v>39</v>
      </c>
      <c r="H34" s="28" t="s">
        <v>39</v>
      </c>
      <c r="I34" s="28" t="s">
        <v>39</v>
      </c>
      <c r="J34" s="28" t="s">
        <v>43</v>
      </c>
      <c r="K34" s="28" t="s">
        <v>44</v>
      </c>
      <c r="L34" s="28" t="s">
        <v>44</v>
      </c>
      <c r="M34" s="28" t="s">
        <v>43</v>
      </c>
      <c r="N34" s="28" t="s">
        <v>44</v>
      </c>
      <c r="O34" s="28" t="s">
        <v>44</v>
      </c>
      <c r="P34" s="28" t="s">
        <v>44</v>
      </c>
      <c r="Q34" s="28" t="s">
        <v>44</v>
      </c>
      <c r="R34" s="28" t="s">
        <v>44</v>
      </c>
      <c r="S34" s="28" t="s">
        <v>44</v>
      </c>
      <c r="T34" s="28" t="s">
        <v>44</v>
      </c>
      <c r="U34" s="28" t="s">
        <v>44</v>
      </c>
      <c r="V34" s="28" t="s">
        <v>43</v>
      </c>
      <c r="W34" s="28" t="s">
        <v>44</v>
      </c>
      <c r="X34" s="28" t="s">
        <v>44</v>
      </c>
      <c r="Y34" s="28" t="s">
        <v>44</v>
      </c>
      <c r="Z34" s="28" t="s">
        <v>44</v>
      </c>
      <c r="AA34" s="28" t="s">
        <v>44</v>
      </c>
      <c r="AB34" s="28" t="s">
        <v>44</v>
      </c>
      <c r="AC34" s="28" t="s">
        <v>44</v>
      </c>
      <c r="AD34" s="28" t="s">
        <v>44</v>
      </c>
      <c r="AE34" s="28" t="s">
        <v>44</v>
      </c>
      <c r="AF34" s="28" t="s">
        <v>44</v>
      </c>
      <c r="AG34" s="28" t="s">
        <v>44</v>
      </c>
      <c r="AH34" s="28" t="s">
        <v>43</v>
      </c>
      <c r="AI34" s="28" t="s">
        <v>44</v>
      </c>
      <c r="AJ34" s="28" t="s">
        <v>44</v>
      </c>
      <c r="AK34" s="28" t="s">
        <v>44</v>
      </c>
      <c r="AL34" s="28" t="s">
        <v>40</v>
      </c>
      <c r="AM34" s="28" t="s">
        <v>39</v>
      </c>
      <c r="AN34" s="28" t="s">
        <v>39</v>
      </c>
      <c r="AO34" s="28" t="s">
        <v>39</v>
      </c>
      <c r="AP34" s="28" t="s">
        <v>44</v>
      </c>
      <c r="AQ34" s="28" t="s">
        <v>44</v>
      </c>
      <c r="AR34" s="28" t="s">
        <v>44</v>
      </c>
      <c r="AS34" s="28" t="s">
        <v>44</v>
      </c>
      <c r="AT34" s="28" t="s">
        <v>44</v>
      </c>
      <c r="AU34" s="28" t="s">
        <v>44</v>
      </c>
      <c r="AV34" s="28" t="s">
        <v>44</v>
      </c>
      <c r="AW34" s="28" t="s">
        <v>44</v>
      </c>
      <c r="AX34" s="28" t="s">
        <v>39</v>
      </c>
      <c r="AY34" s="28" t="s">
        <v>39</v>
      </c>
      <c r="AZ34" s="28" t="s">
        <v>39</v>
      </c>
      <c r="BA34" s="28" t="s">
        <v>39</v>
      </c>
    </row>
    <row r="35" spans="1:53">
      <c r="A35" s="17">
        <v>44176</v>
      </c>
      <c r="B35" s="28" t="s">
        <v>38</v>
      </c>
      <c r="C35" s="28" t="s">
        <v>38</v>
      </c>
      <c r="D35" s="28" t="s">
        <v>38</v>
      </c>
      <c r="E35" s="28" t="s">
        <v>38</v>
      </c>
      <c r="F35" s="28"/>
      <c r="G35" s="28"/>
      <c r="H35" s="28"/>
      <c r="I35" s="28"/>
      <c r="J35" s="28"/>
      <c r="K35" s="28"/>
      <c r="L35" s="28"/>
      <c r="M35" s="28"/>
      <c r="N35" s="28" t="s">
        <v>38</v>
      </c>
      <c r="O35" s="28" t="s">
        <v>38</v>
      </c>
      <c r="P35" s="28" t="s">
        <v>38</v>
      </c>
      <c r="Q35" s="28" t="s">
        <v>38</v>
      </c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 t="s">
        <v>44</v>
      </c>
      <c r="AE35" s="28" t="s">
        <v>44</v>
      </c>
      <c r="AF35" s="28" t="s">
        <v>44</v>
      </c>
      <c r="AG35" s="28" t="s">
        <v>44</v>
      </c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 t="s">
        <v>38</v>
      </c>
      <c r="AY35" s="28" t="s">
        <v>38</v>
      </c>
      <c r="AZ35" s="28" t="s">
        <v>38</v>
      </c>
      <c r="BA35" s="28" t="s">
        <v>37</v>
      </c>
    </row>
  </sheetData>
  <mergeCells count="13">
    <mergeCell ref="AX3:BA3"/>
    <mergeCell ref="Z3:AC3"/>
    <mergeCell ref="AD3:AG3"/>
    <mergeCell ref="AH3:AK3"/>
    <mergeCell ref="AL3:AO3"/>
    <mergeCell ref="AP3:AS3"/>
    <mergeCell ref="AT3:AW3"/>
    <mergeCell ref="V3:Y3"/>
    <mergeCell ref="B3:E3"/>
    <mergeCell ref="F3:I3"/>
    <mergeCell ref="J3:M3"/>
    <mergeCell ref="N3:Q3"/>
    <mergeCell ref="R3:U3"/>
  </mergeCells>
  <phoneticPr fontId="1"/>
  <conditionalFormatting sqref="B5:BA35">
    <cfRule type="containsText" dxfId="13" priority="1" operator="containsText" text="×">
      <formula>NOT(ISERROR(SEARCH("×",B5)))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総合判定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5</xdr:col>
                    <xdr:colOff>104775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S100"/>
  <sheetViews>
    <sheetView showGridLines="0" tabSelected="1" zoomScale="70" zoomScaleNormal="70" workbookViewId="0">
      <pane ySplit="5" topLeftCell="A6" activePane="bottomLeft" state="frozen"/>
      <selection pane="bottomLeft" activeCell="G6" sqref="G6"/>
    </sheetView>
  </sheetViews>
  <sheetFormatPr defaultRowHeight="13.5"/>
  <cols>
    <col min="1" max="5" width="9" style="18"/>
    <col min="6" max="6" width="16.125" style="18" bestFit="1" customWidth="1"/>
    <col min="7" max="7" width="20.625" style="19" bestFit="1" customWidth="1"/>
    <col min="8" max="8" width="11.25" style="26" customWidth="1"/>
    <col min="9" max="9" width="11.25" style="20" customWidth="1"/>
    <col min="10" max="10" width="9.75" style="20" customWidth="1"/>
    <col min="11" max="11" width="9.25" style="20" customWidth="1"/>
    <col min="12" max="13" width="9.75" style="20" customWidth="1"/>
    <col min="14" max="14" width="10.125" style="20" customWidth="1"/>
    <col min="15" max="15" width="10" style="20" customWidth="1"/>
    <col min="16" max="22" width="9" style="20"/>
    <col min="23" max="16384" width="9" style="18"/>
  </cols>
  <sheetData>
    <row r="1" spans="1:279" customFormat="1" ht="14.25" thickBot="1">
      <c r="G1" s="7" t="s">
        <v>16</v>
      </c>
      <c r="H1" s="23"/>
      <c r="J1" t="s">
        <v>17</v>
      </c>
      <c r="K1" s="1"/>
      <c r="L1" s="1"/>
      <c r="M1" s="27"/>
      <c r="O1" t="s">
        <v>18</v>
      </c>
      <c r="R1" s="8"/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</row>
    <row r="2" spans="1:279" customFormat="1" ht="15" thickTop="1" thickBot="1">
      <c r="G2" s="6">
        <v>10</v>
      </c>
      <c r="H2" s="24"/>
      <c r="J2" s="6">
        <v>1</v>
      </c>
      <c r="K2" s="1"/>
      <c r="L2" s="1"/>
      <c r="M2" s="27"/>
      <c r="R2" s="8"/>
    </row>
    <row r="3" spans="1:279" customFormat="1" ht="14.25" thickTop="1">
      <c r="G3" s="10"/>
      <c r="H3" s="24"/>
      <c r="I3" s="13">
        <v>3.1103700000000001</v>
      </c>
      <c r="J3" s="13">
        <v>0.29050100000000001</v>
      </c>
      <c r="K3" s="14">
        <v>0.28018300000000002</v>
      </c>
      <c r="L3" s="14">
        <v>27.681999999999999</v>
      </c>
      <c r="M3" s="27"/>
      <c r="N3" s="13">
        <v>3.1324200000000002</v>
      </c>
      <c r="O3" s="13">
        <v>0.28729700000000002</v>
      </c>
      <c r="P3" s="14">
        <v>0.27366200000000002</v>
      </c>
      <c r="Q3" s="14">
        <v>27.869</v>
      </c>
      <c r="R3" s="27"/>
      <c r="S3" s="13">
        <v>3.1106600000000002</v>
      </c>
      <c r="T3" s="13">
        <v>0.28251900000000002</v>
      </c>
      <c r="U3" s="14">
        <v>0.26605899999999999</v>
      </c>
      <c r="V3" s="14">
        <v>27.683</v>
      </c>
    </row>
    <row r="4" spans="1:279" customFormat="1">
      <c r="A4" t="s">
        <v>15</v>
      </c>
      <c r="G4" s="3"/>
      <c r="H4" s="34" t="s">
        <v>5</v>
      </c>
      <c r="I4" s="34"/>
      <c r="J4" s="34"/>
      <c r="K4" s="34"/>
      <c r="L4" s="34"/>
      <c r="M4" s="35" t="s">
        <v>6</v>
      </c>
      <c r="N4" s="36"/>
      <c r="O4" s="36"/>
      <c r="P4" s="36"/>
      <c r="Q4" s="37"/>
      <c r="R4" s="35" t="s">
        <v>7</v>
      </c>
      <c r="S4" s="36"/>
      <c r="T4" s="36"/>
      <c r="U4" s="36"/>
      <c r="V4" s="37"/>
      <c r="W4" s="34" t="s">
        <v>5</v>
      </c>
      <c r="X4" s="34"/>
      <c r="Y4" s="34"/>
      <c r="Z4" s="34"/>
      <c r="AA4" s="34" t="s">
        <v>6</v>
      </c>
      <c r="AB4" s="34"/>
      <c r="AC4" s="34"/>
      <c r="AD4" s="34"/>
      <c r="AE4" s="34" t="s">
        <v>7</v>
      </c>
      <c r="AF4" s="34"/>
      <c r="AG4" s="34"/>
      <c r="AH4" s="34"/>
      <c r="AI4" t="s">
        <v>12</v>
      </c>
      <c r="AJ4" t="s">
        <v>12</v>
      </c>
      <c r="AK4" t="s">
        <v>12</v>
      </c>
      <c r="AL4" t="s">
        <v>12</v>
      </c>
      <c r="AM4" t="s">
        <v>12</v>
      </c>
      <c r="AN4" t="s">
        <v>12</v>
      </c>
      <c r="AO4" t="s">
        <v>12</v>
      </c>
      <c r="AP4" t="s">
        <v>12</v>
      </c>
      <c r="AQ4" t="s">
        <v>13</v>
      </c>
      <c r="AR4" t="s">
        <v>13</v>
      </c>
      <c r="AS4" t="s">
        <v>13</v>
      </c>
      <c r="AT4" t="s">
        <v>13</v>
      </c>
      <c r="AU4" t="s">
        <v>13</v>
      </c>
      <c r="AV4" t="s">
        <v>13</v>
      </c>
      <c r="AW4" t="s">
        <v>13</v>
      </c>
      <c r="AX4" t="s">
        <v>13</v>
      </c>
      <c r="BA4" t="s">
        <v>51</v>
      </c>
      <c r="BF4" t="s">
        <v>52</v>
      </c>
    </row>
    <row r="5" spans="1:279" customFormat="1">
      <c r="A5" s="2"/>
      <c r="B5" s="2" t="s">
        <v>1</v>
      </c>
      <c r="C5" s="2" t="s">
        <v>2</v>
      </c>
      <c r="D5" s="2" t="s">
        <v>3</v>
      </c>
      <c r="E5" s="2" t="s">
        <v>4</v>
      </c>
      <c r="G5" s="2" t="s">
        <v>0</v>
      </c>
      <c r="H5" s="5" t="s">
        <v>14</v>
      </c>
      <c r="I5" s="2" t="s">
        <v>1</v>
      </c>
      <c r="J5" s="2" t="s">
        <v>2</v>
      </c>
      <c r="K5" s="2" t="s">
        <v>3</v>
      </c>
      <c r="L5" s="2" t="s">
        <v>4</v>
      </c>
      <c r="M5" s="5" t="s">
        <v>14</v>
      </c>
      <c r="N5" s="2" t="s">
        <v>1</v>
      </c>
      <c r="O5" s="2" t="s">
        <v>2</v>
      </c>
      <c r="P5" s="2" t="s">
        <v>3</v>
      </c>
      <c r="Q5" s="2" t="s">
        <v>4</v>
      </c>
      <c r="R5" s="5" t="s">
        <v>14</v>
      </c>
      <c r="S5" s="2" t="s">
        <v>1</v>
      </c>
      <c r="T5" s="2" t="s">
        <v>2</v>
      </c>
      <c r="U5" s="2" t="s">
        <v>3</v>
      </c>
      <c r="V5" s="2" t="s">
        <v>4</v>
      </c>
      <c r="W5" s="2" t="s">
        <v>1</v>
      </c>
      <c r="X5" s="2" t="s">
        <v>2</v>
      </c>
      <c r="Y5" s="2" t="s">
        <v>3</v>
      </c>
      <c r="Z5" s="2" t="s">
        <v>4</v>
      </c>
      <c r="AA5" s="2" t="s">
        <v>1</v>
      </c>
      <c r="AB5" s="2" t="s">
        <v>2</v>
      </c>
      <c r="AC5" s="2" t="s">
        <v>3</v>
      </c>
      <c r="AD5" s="2" t="s">
        <v>4</v>
      </c>
      <c r="AE5" s="2" t="s">
        <v>1</v>
      </c>
      <c r="AF5" s="2" t="s">
        <v>2</v>
      </c>
      <c r="AG5" s="2" t="s">
        <v>3</v>
      </c>
      <c r="AH5" s="2" t="s">
        <v>4</v>
      </c>
      <c r="AI5" s="15" t="s">
        <v>8</v>
      </c>
      <c r="AK5" t="s">
        <v>9</v>
      </c>
      <c r="AM5" t="s">
        <v>10</v>
      </c>
      <c r="AO5" t="s">
        <v>11</v>
      </c>
      <c r="AQ5" s="15" t="s">
        <v>8</v>
      </c>
      <c r="AS5" t="s">
        <v>9</v>
      </c>
      <c r="AU5" t="s">
        <v>10</v>
      </c>
      <c r="AW5" t="s">
        <v>11</v>
      </c>
      <c r="BA5" t="s">
        <v>47</v>
      </c>
      <c r="BB5" t="s">
        <v>48</v>
      </c>
      <c r="BC5" t="s">
        <v>49</v>
      </c>
      <c r="BD5" t="s">
        <v>50</v>
      </c>
      <c r="BF5" t="s">
        <v>47</v>
      </c>
      <c r="BG5" t="s">
        <v>48</v>
      </c>
      <c r="BH5" t="s">
        <v>49</v>
      </c>
      <c r="BI5" t="s">
        <v>50</v>
      </c>
    </row>
    <row r="6" spans="1:279" customFormat="1">
      <c r="A6" s="2">
        <v>1</v>
      </c>
      <c r="B6" s="2">
        <v>3.113</v>
      </c>
      <c r="C6" s="2">
        <v>0.28955999999999998</v>
      </c>
      <c r="D6" s="2">
        <v>0.28214</v>
      </c>
      <c r="E6" s="2">
        <v>26.94</v>
      </c>
      <c r="F6" s="17">
        <f>IF(G6="","",G6)</f>
        <v>44243.751157407409</v>
      </c>
      <c r="G6" s="9">
        <v>44243.751157407409</v>
      </c>
      <c r="H6" s="25">
        <v>1</v>
      </c>
      <c r="I6" s="12">
        <v>3.1080000000000001</v>
      </c>
      <c r="J6" s="5">
        <v>0.28842000000000001</v>
      </c>
      <c r="K6" s="5">
        <v>0.28154000000000001</v>
      </c>
      <c r="L6" s="5">
        <v>26.856999999999999</v>
      </c>
      <c r="M6" s="5">
        <v>2</v>
      </c>
      <c r="N6" s="5">
        <v>3.1059999999999999</v>
      </c>
      <c r="O6" s="5">
        <v>0.28738999999999998</v>
      </c>
      <c r="P6" s="5">
        <v>0.27171000000000001</v>
      </c>
      <c r="Q6" s="5">
        <v>27.988</v>
      </c>
      <c r="R6" s="5">
        <v>3</v>
      </c>
      <c r="S6" s="5">
        <v>3.1070000000000002</v>
      </c>
      <c r="T6" s="5">
        <v>0.28144999999999998</v>
      </c>
      <c r="U6" s="5">
        <v>0.26540000000000002</v>
      </c>
      <c r="V6" s="5">
        <v>27.849</v>
      </c>
      <c r="W6" s="22">
        <f>IF(H6="",NA(),I6-VLOOKUP(H6,$A$6:$E$35,2,FALSE))</f>
        <v>-4.9999999999998934E-3</v>
      </c>
      <c r="X6" s="21">
        <f>IF(H6="",NA(),J6-VLOOKUP(H6,$A$6:$E$35,3,FALSE))</f>
        <v>-1.1399999999999744E-3</v>
      </c>
      <c r="Y6" s="21">
        <f>IF(H6="",NA(),K6-VLOOKUP(H6,$A$6:$E$35,4,FALSE))</f>
        <v>-5.9999999999998943E-4</v>
      </c>
      <c r="Z6" s="11">
        <f>IF(H6="",NA(),L6/VLOOKUP(H6,$A$6:$E$35,5,FALSE)-1)</f>
        <v>-3.0809205642168269E-3</v>
      </c>
      <c r="AA6" s="22">
        <f>IF(M6="",NA(),N6-VLOOKUP(M6,$A$6:$E$35,2,FALSE))</f>
        <v>-9.0000000000003411E-3</v>
      </c>
      <c r="AB6" s="21">
        <f>IF(M6="",NA(),O6-VLOOKUP(M6,$A$6:$E$35,3,FALSE))</f>
        <v>-3.5400000000000431E-3</v>
      </c>
      <c r="AC6" s="21">
        <f>IF(M6="",NA(),P6-VLOOKUP(M6,$A$6:$E$35,4,FALSE))</f>
        <v>-8.9099999999999735E-3</v>
      </c>
      <c r="AD6" s="11">
        <f>IF(M6="",NA(),Q6/VLOOKUP(M6,$A$6:$E$35,5,FALSE)-1)</f>
        <v>1.5529753265602242E-2</v>
      </c>
      <c r="AE6" s="22">
        <f>IF(R6="",NA(),S6-VLOOKUP(R6,$A$6:$E$35,2,FALSE))</f>
        <v>-2.9999999999999805E-2</v>
      </c>
      <c r="AF6" s="21">
        <f>IF(R6="",NA(),T6-VLOOKUP(R6,$A$6:$E$35,3,FALSE))</f>
        <v>-8.0400000000000471E-3</v>
      </c>
      <c r="AG6" s="21">
        <f>IF(R6="",NA(),U6-VLOOKUP(R6,$A$6:$E$35,4,FALSE))</f>
        <v>-1.3999999999999957E-2</v>
      </c>
      <c r="AH6" s="11">
        <f>IF(R6="",NA(),V6/VLOOKUP(R6,$A$6:$E$35,5,FALSE)-1)</f>
        <v>2.8397341211226168E-2</v>
      </c>
      <c r="AI6">
        <v>2.5000000000000001E-2</v>
      </c>
      <c r="AJ6">
        <v>-2.5000000000000001E-2</v>
      </c>
      <c r="AK6">
        <v>1.5E-3</v>
      </c>
      <c r="AL6">
        <v>-1.5E-3</v>
      </c>
      <c r="AM6">
        <v>1.5E-3</v>
      </c>
      <c r="AN6">
        <v>-1.5E-3</v>
      </c>
      <c r="AO6" s="16">
        <v>2.5000000000000001E-2</v>
      </c>
      <c r="AP6" s="16">
        <v>-2.5000000000000001E-2</v>
      </c>
      <c r="AQ6">
        <v>1.4999999999999999E-2</v>
      </c>
      <c r="AR6">
        <v>-1.4999999999999999E-2</v>
      </c>
      <c r="AS6">
        <v>1E-3</v>
      </c>
      <c r="AT6">
        <v>-1E-3</v>
      </c>
      <c r="AU6">
        <v>1E-3</v>
      </c>
      <c r="AV6">
        <v>-1E-3</v>
      </c>
      <c r="AW6" s="16">
        <v>1.4999999999999999E-2</v>
      </c>
      <c r="AX6" s="16">
        <v>-1.4999999999999999E-2</v>
      </c>
    </row>
    <row r="7" spans="1:279" customFormat="1">
      <c r="A7" s="2">
        <v>2</v>
      </c>
      <c r="B7" s="2">
        <v>3.1150000000000002</v>
      </c>
      <c r="C7" s="2">
        <v>0.29093000000000002</v>
      </c>
      <c r="D7" s="2">
        <v>0.28061999999999998</v>
      </c>
      <c r="E7" s="2">
        <v>27.56</v>
      </c>
      <c r="F7" s="17">
        <f t="shared" ref="F7:F70" si="0">IF(G7="","",G7)</f>
        <v>44244.213807870372</v>
      </c>
      <c r="G7" s="9">
        <v>44244.213807870372</v>
      </c>
      <c r="H7" s="25">
        <v>1</v>
      </c>
      <c r="I7" s="5">
        <v>3.1080000000000001</v>
      </c>
      <c r="J7" s="5">
        <v>0.28832999999999998</v>
      </c>
      <c r="K7" s="5">
        <v>0.28140999999999999</v>
      </c>
      <c r="L7" s="5">
        <v>26.831</v>
      </c>
      <c r="M7" s="5">
        <v>2</v>
      </c>
      <c r="N7" s="5">
        <v>3.1040000000000001</v>
      </c>
      <c r="O7" s="5">
        <v>0.28728999999999999</v>
      </c>
      <c r="P7" s="5">
        <v>0.27145000000000002</v>
      </c>
      <c r="Q7" s="5">
        <v>27.942</v>
      </c>
      <c r="R7" s="5">
        <v>3</v>
      </c>
      <c r="S7" s="5">
        <v>3.1040000000000001</v>
      </c>
      <c r="T7" s="5">
        <v>0.28154000000000001</v>
      </c>
      <c r="U7" s="5">
        <v>0.26545000000000002</v>
      </c>
      <c r="V7" s="5">
        <v>27.849</v>
      </c>
      <c r="W7" s="22">
        <f t="shared" ref="W7:W70" si="1">IF(H7="",NA(),I7-VLOOKUP(H7,$A$6:$E$35,2,FALSE))</f>
        <v>-4.9999999999998934E-3</v>
      </c>
      <c r="X7" s="21">
        <f t="shared" ref="X7:X70" si="2">IF(H7="",NA(),J7-VLOOKUP(H7,$A$6:$E$35,3,FALSE))</f>
        <v>-1.2300000000000089E-3</v>
      </c>
      <c r="Y7" s="21">
        <f t="shared" ref="Y7:Y70" si="3">IF(H7="",NA(),K7-VLOOKUP(H7,$A$6:$E$35,4,FALSE))</f>
        <v>-7.3000000000000842E-4</v>
      </c>
      <c r="Z7" s="11">
        <f t="shared" ref="Z7:Z70" si="4">IF(H7="",NA(),L7/VLOOKUP(H7,$A$6:$E$35,5,FALSE)-1)</f>
        <v>-4.0460282108389922E-3</v>
      </c>
      <c r="AA7" s="22">
        <f t="shared" ref="AA7:AA70" si="5">IF(M7="",NA(),N7-VLOOKUP(M7,$A$6:$E$35,2,FALSE))</f>
        <v>-1.1000000000000121E-2</v>
      </c>
      <c r="AB7" s="21">
        <f t="shared" ref="AB7:AB70" si="6">IF(M7="",NA(),O7-VLOOKUP(M7,$A$6:$E$35,3,FALSE))</f>
        <v>-3.6400000000000321E-3</v>
      </c>
      <c r="AC7" s="21">
        <f t="shared" ref="AC7:AC70" si="7">IF(M7="",NA(),P7-VLOOKUP(M7,$A$6:$E$35,4,FALSE))</f>
        <v>-9.169999999999956E-3</v>
      </c>
      <c r="AD7" s="11">
        <f t="shared" ref="AD7:AD70" si="8">IF(M7="",NA(),Q7/VLOOKUP(M7,$A$6:$E$35,5,FALSE)-1)</f>
        <v>1.3860667634252533E-2</v>
      </c>
      <c r="AE7" s="22">
        <f t="shared" ref="AE7:AE70" si="9">IF(R7="",NA(),S7-VLOOKUP(R7,$A$6:$E$35,2,FALSE))</f>
        <v>-3.2999999999999918E-2</v>
      </c>
      <c r="AF7" s="21">
        <f t="shared" ref="AF7:AF70" si="10">IF(R7="",NA(),T7-VLOOKUP(R7,$A$6:$E$35,3,FALSE))</f>
        <v>-7.9500000000000126E-3</v>
      </c>
      <c r="AG7" s="21">
        <f t="shared" ref="AG7:AG70" si="11">IF(R7="",NA(),U7-VLOOKUP(R7,$A$6:$E$35,4,FALSE))</f>
        <v>-1.3949999999999962E-2</v>
      </c>
      <c r="AH7" s="11">
        <f t="shared" ref="AH7:AH70" si="12">IF(R7="",NA(),V7/VLOOKUP(R7,$A$6:$E$35,5,FALSE)-1)</f>
        <v>2.8397341211226168E-2</v>
      </c>
      <c r="AI7">
        <v>2.5000000000000001E-2</v>
      </c>
      <c r="AJ7">
        <v>-2.5000000000000001E-2</v>
      </c>
      <c r="AK7">
        <v>1.5E-3</v>
      </c>
      <c r="AL7">
        <v>-1.5E-3</v>
      </c>
      <c r="AM7">
        <v>1.5E-3</v>
      </c>
      <c r="AN7">
        <v>-1.5E-3</v>
      </c>
      <c r="AO7" s="16">
        <v>2.5000000000000001E-2</v>
      </c>
      <c r="AP7" s="16">
        <v>-2.5000000000000001E-2</v>
      </c>
      <c r="AQ7">
        <v>1.4999999999999999E-2</v>
      </c>
      <c r="AR7">
        <v>-1.4999999999999999E-2</v>
      </c>
      <c r="AS7">
        <v>1E-3</v>
      </c>
      <c r="AT7">
        <v>-1E-3</v>
      </c>
      <c r="AU7">
        <v>1E-3</v>
      </c>
      <c r="AV7">
        <v>-1E-3</v>
      </c>
      <c r="AW7" s="16">
        <v>1.4999999999999999E-2</v>
      </c>
      <c r="AX7" s="16">
        <v>-1.4999999999999999E-2</v>
      </c>
    </row>
    <row r="8" spans="1:279" customFormat="1">
      <c r="A8" s="2">
        <v>3</v>
      </c>
      <c r="B8" s="2">
        <v>3.137</v>
      </c>
      <c r="C8" s="2">
        <v>0.28949000000000003</v>
      </c>
      <c r="D8" s="2">
        <v>0.27939999999999998</v>
      </c>
      <c r="E8" s="2">
        <v>27.08</v>
      </c>
      <c r="F8" s="17">
        <f t="shared" si="0"/>
        <v>44244.761631944442</v>
      </c>
      <c r="G8" s="9">
        <v>44244.761631944442</v>
      </c>
      <c r="H8" s="25">
        <v>1</v>
      </c>
      <c r="I8" s="5">
        <v>3.109</v>
      </c>
      <c r="J8" s="5">
        <v>0.28864000000000001</v>
      </c>
      <c r="K8" s="5">
        <v>0.28161000000000003</v>
      </c>
      <c r="L8" s="5">
        <v>26.759</v>
      </c>
      <c r="M8" s="5">
        <v>2</v>
      </c>
      <c r="N8" s="5">
        <v>3.1059999999999999</v>
      </c>
      <c r="O8" s="5">
        <v>0.28755999999999998</v>
      </c>
      <c r="P8" s="5">
        <v>0.27178999999999998</v>
      </c>
      <c r="Q8" s="5">
        <v>27.882999999999999</v>
      </c>
      <c r="R8" s="5">
        <v>3</v>
      </c>
      <c r="S8" s="5">
        <v>3.1059999999999999</v>
      </c>
      <c r="T8" s="5">
        <v>0.28187000000000001</v>
      </c>
      <c r="U8" s="5">
        <v>0.26562000000000002</v>
      </c>
      <c r="V8" s="5">
        <v>27.745000000000001</v>
      </c>
      <c r="W8" s="22">
        <f t="shared" si="1"/>
        <v>-4.0000000000000036E-3</v>
      </c>
      <c r="X8" s="21">
        <f t="shared" si="2"/>
        <v>-9.1999999999997639E-4</v>
      </c>
      <c r="Y8" s="21">
        <f t="shared" si="3"/>
        <v>-5.2999999999997494E-4</v>
      </c>
      <c r="Z8" s="11">
        <f t="shared" si="4"/>
        <v>-6.7186340014848689E-3</v>
      </c>
      <c r="AA8" s="22">
        <f t="shared" si="5"/>
        <v>-9.0000000000003411E-3</v>
      </c>
      <c r="AB8" s="21">
        <f t="shared" si="6"/>
        <v>-3.3700000000000396E-3</v>
      </c>
      <c r="AC8" s="21">
        <f t="shared" si="7"/>
        <v>-8.8300000000000045E-3</v>
      </c>
      <c r="AD8" s="11">
        <f t="shared" si="8"/>
        <v>1.1719883889695248E-2</v>
      </c>
      <c r="AE8" s="22">
        <f t="shared" si="9"/>
        <v>-3.1000000000000139E-2</v>
      </c>
      <c r="AF8" s="21">
        <f t="shared" si="10"/>
        <v>-7.6200000000000156E-3</v>
      </c>
      <c r="AG8" s="21">
        <f t="shared" si="11"/>
        <v>-1.3779999999999959E-2</v>
      </c>
      <c r="AH8" s="11">
        <f t="shared" si="12"/>
        <v>2.4556868537666254E-2</v>
      </c>
      <c r="AI8">
        <v>2.5000000000000001E-2</v>
      </c>
      <c r="AJ8">
        <v>-2.5000000000000001E-2</v>
      </c>
      <c r="AK8">
        <v>1.5E-3</v>
      </c>
      <c r="AL8">
        <v>-1.5E-3</v>
      </c>
      <c r="AM8">
        <v>1.5E-3</v>
      </c>
      <c r="AN8">
        <v>-1.5E-3</v>
      </c>
      <c r="AO8" s="16">
        <v>2.5000000000000001E-2</v>
      </c>
      <c r="AP8" s="16">
        <v>-2.5000000000000001E-2</v>
      </c>
      <c r="AQ8">
        <v>1.4999999999999999E-2</v>
      </c>
      <c r="AR8">
        <v>-1.4999999999999999E-2</v>
      </c>
      <c r="AS8">
        <v>1E-3</v>
      </c>
      <c r="AT8">
        <v>-1E-3</v>
      </c>
      <c r="AU8">
        <v>1E-3</v>
      </c>
      <c r="AV8">
        <v>-1E-3</v>
      </c>
      <c r="AW8" s="16">
        <v>1.4999999999999999E-2</v>
      </c>
      <c r="AX8" s="16">
        <v>-1.4999999999999999E-2</v>
      </c>
      <c r="JS8">
        <v>12.849506578947368</v>
      </c>
    </row>
    <row r="9" spans="1:279" customFormat="1">
      <c r="A9" s="2">
        <v>4</v>
      </c>
      <c r="B9" s="2">
        <v>3.1059999999999999</v>
      </c>
      <c r="C9" s="2">
        <v>0.28891</v>
      </c>
      <c r="D9" s="2">
        <v>0.28048000000000001</v>
      </c>
      <c r="E9" s="2">
        <v>27.38</v>
      </c>
      <c r="F9" s="17">
        <f t="shared" si="0"/>
        <v>44245.718275462961</v>
      </c>
      <c r="G9" s="9">
        <v>44245.718275462961</v>
      </c>
      <c r="H9" s="25">
        <v>1</v>
      </c>
      <c r="I9" s="5">
        <v>3.1160000000000001</v>
      </c>
      <c r="J9" s="5">
        <v>0.28870000000000001</v>
      </c>
      <c r="K9" s="5">
        <v>0.28173999999999999</v>
      </c>
      <c r="L9" s="5">
        <v>26.567</v>
      </c>
      <c r="M9" s="5">
        <v>2</v>
      </c>
      <c r="N9" s="5">
        <v>3.1139999999999999</v>
      </c>
      <c r="O9" s="5">
        <v>0.28761999999999999</v>
      </c>
      <c r="P9" s="5">
        <v>0.27190999999999999</v>
      </c>
      <c r="Q9" s="5">
        <v>27.678000000000001</v>
      </c>
      <c r="R9" s="5">
        <v>3</v>
      </c>
      <c r="S9" s="5">
        <v>3.1150000000000002</v>
      </c>
      <c r="T9" s="5">
        <v>0.28199000000000002</v>
      </c>
      <c r="U9" s="5">
        <v>0.26584000000000002</v>
      </c>
      <c r="V9" s="5">
        <v>27.588999999999999</v>
      </c>
      <c r="W9" s="22">
        <f t="shared" si="1"/>
        <v>3.0000000000001137E-3</v>
      </c>
      <c r="X9" s="21">
        <f t="shared" si="2"/>
        <v>-8.599999999999719E-4</v>
      </c>
      <c r="Y9" s="21">
        <f t="shared" si="3"/>
        <v>-4.0000000000001146E-4</v>
      </c>
      <c r="Z9" s="11">
        <f t="shared" si="4"/>
        <v>-1.3845582776540466E-2</v>
      </c>
      <c r="AA9" s="22">
        <f t="shared" si="5"/>
        <v>-1.000000000000334E-3</v>
      </c>
      <c r="AB9" s="21">
        <f t="shared" si="6"/>
        <v>-3.3100000000000351E-3</v>
      </c>
      <c r="AC9" s="21">
        <f t="shared" si="7"/>
        <v>-8.7099999999999955E-3</v>
      </c>
      <c r="AD9" s="11">
        <f t="shared" si="8"/>
        <v>4.2815674891147903E-3</v>
      </c>
      <c r="AE9" s="22">
        <f t="shared" si="9"/>
        <v>-2.1999999999999797E-2</v>
      </c>
      <c r="AF9" s="21">
        <f t="shared" si="10"/>
        <v>-7.5000000000000067E-3</v>
      </c>
      <c r="AG9" s="21">
        <f t="shared" si="11"/>
        <v>-1.3559999999999961E-2</v>
      </c>
      <c r="AH9" s="11">
        <f t="shared" si="12"/>
        <v>1.8796159527326495E-2</v>
      </c>
      <c r="AI9">
        <v>2.5000000000000001E-2</v>
      </c>
      <c r="AJ9">
        <v>-2.5000000000000001E-2</v>
      </c>
      <c r="AK9">
        <v>1.5E-3</v>
      </c>
      <c r="AL9">
        <v>-1.5E-3</v>
      </c>
      <c r="AM9">
        <v>1.5E-3</v>
      </c>
      <c r="AN9">
        <v>-1.5E-3</v>
      </c>
      <c r="AO9" s="16">
        <v>2.5000000000000001E-2</v>
      </c>
      <c r="AP9" s="16">
        <v>-2.5000000000000001E-2</v>
      </c>
      <c r="AQ9">
        <v>1.4999999999999999E-2</v>
      </c>
      <c r="AR9">
        <v>-1.4999999999999999E-2</v>
      </c>
      <c r="AS9">
        <v>1E-3</v>
      </c>
      <c r="AT9">
        <v>-1E-3</v>
      </c>
      <c r="AU9">
        <v>1E-3</v>
      </c>
      <c r="AV9">
        <v>-1E-3</v>
      </c>
      <c r="AW9" s="16">
        <v>1.4999999999999999E-2</v>
      </c>
      <c r="AX9" s="16">
        <v>-1.4999999999999999E-2</v>
      </c>
    </row>
    <row r="10" spans="1:279" customFormat="1">
      <c r="A10" s="2">
        <v>5</v>
      </c>
      <c r="B10" s="2">
        <v>3.113</v>
      </c>
      <c r="C10" s="2">
        <v>0.29035</v>
      </c>
      <c r="D10" s="2">
        <v>0.28194000000000002</v>
      </c>
      <c r="E10" s="2">
        <v>27.37</v>
      </c>
      <c r="F10" s="17">
        <f t="shared" si="0"/>
        <v>44246.807488425926</v>
      </c>
      <c r="G10" s="9">
        <v>44246.807488425926</v>
      </c>
      <c r="H10" s="25">
        <v>1</v>
      </c>
      <c r="I10" s="5">
        <v>3.1150000000000002</v>
      </c>
      <c r="J10" s="5">
        <v>0.28874</v>
      </c>
      <c r="K10" s="5">
        <v>0.28169</v>
      </c>
      <c r="L10" s="5">
        <v>26.593</v>
      </c>
      <c r="M10" s="5">
        <v>2</v>
      </c>
      <c r="N10" s="5">
        <v>3.113</v>
      </c>
      <c r="O10" s="5">
        <v>0.28736</v>
      </c>
      <c r="P10" s="5">
        <v>0.27139000000000002</v>
      </c>
      <c r="Q10" s="5">
        <v>27.669</v>
      </c>
      <c r="R10" s="5">
        <v>3</v>
      </c>
      <c r="S10" s="5">
        <v>3.12</v>
      </c>
      <c r="T10" s="5">
        <v>0.28356999999999999</v>
      </c>
      <c r="U10" s="5">
        <v>0.26882</v>
      </c>
      <c r="V10" s="5">
        <v>27.69</v>
      </c>
      <c r="W10" s="22">
        <f t="shared" si="1"/>
        <v>2.0000000000002238E-3</v>
      </c>
      <c r="X10" s="21">
        <f t="shared" si="2"/>
        <v>-8.1999999999998741E-4</v>
      </c>
      <c r="Y10" s="21">
        <f t="shared" si="3"/>
        <v>-4.5000000000000595E-4</v>
      </c>
      <c r="Z10" s="11">
        <f t="shared" si="4"/>
        <v>-1.2880475129918412E-2</v>
      </c>
      <c r="AA10" s="22">
        <f t="shared" si="5"/>
        <v>-2.0000000000002238E-3</v>
      </c>
      <c r="AB10" s="21">
        <f t="shared" si="6"/>
        <v>-3.5700000000000176E-3</v>
      </c>
      <c r="AC10" s="21">
        <f t="shared" si="7"/>
        <v>-9.2299999999999605E-3</v>
      </c>
      <c r="AD10" s="11">
        <f t="shared" si="8"/>
        <v>3.9550072568941275E-3</v>
      </c>
      <c r="AE10" s="22">
        <f t="shared" si="9"/>
        <v>-1.6999999999999904E-2</v>
      </c>
      <c r="AF10" s="21">
        <f t="shared" si="10"/>
        <v>-5.9200000000000363E-3</v>
      </c>
      <c r="AG10" s="21">
        <f t="shared" si="11"/>
        <v>-1.0579999999999978E-2</v>
      </c>
      <c r="AH10" s="11">
        <f t="shared" si="12"/>
        <v>2.2525849335302883E-2</v>
      </c>
      <c r="AI10">
        <v>2.5000000000000001E-2</v>
      </c>
      <c r="AJ10">
        <v>-2.5000000000000001E-2</v>
      </c>
      <c r="AK10">
        <v>1.5E-3</v>
      </c>
      <c r="AL10">
        <v>-1.5E-3</v>
      </c>
      <c r="AM10">
        <v>1.5E-3</v>
      </c>
      <c r="AN10">
        <v>-1.5E-3</v>
      </c>
      <c r="AO10" s="16">
        <v>2.5000000000000001E-2</v>
      </c>
      <c r="AP10" s="16">
        <v>-2.5000000000000001E-2</v>
      </c>
      <c r="AQ10">
        <v>1.4999999999999999E-2</v>
      </c>
      <c r="AR10">
        <v>-1.4999999999999999E-2</v>
      </c>
      <c r="AS10">
        <v>1E-3</v>
      </c>
      <c r="AT10">
        <v>-1E-3</v>
      </c>
      <c r="AU10">
        <v>1E-3</v>
      </c>
      <c r="AV10">
        <v>-1E-3</v>
      </c>
      <c r="AW10" s="16">
        <v>1.4999999999999999E-2</v>
      </c>
      <c r="AX10" s="16">
        <v>-1.4999999999999999E-2</v>
      </c>
      <c r="JQ10">
        <v>28.935185185185187</v>
      </c>
    </row>
    <row r="11" spans="1:279" customFormat="1">
      <c r="A11" s="2">
        <v>6</v>
      </c>
      <c r="B11" s="2">
        <v>3.1139999999999999</v>
      </c>
      <c r="C11" s="2">
        <v>0.29167999999999999</v>
      </c>
      <c r="D11" s="2">
        <v>0.28164</v>
      </c>
      <c r="E11" s="2">
        <v>27.67</v>
      </c>
      <c r="F11" s="17">
        <f t="shared" si="0"/>
        <v>44247.833564814813</v>
      </c>
      <c r="G11" s="9">
        <v>44247.833564814813</v>
      </c>
      <c r="H11" s="25">
        <v>1</v>
      </c>
      <c r="I11" s="5">
        <v>3.1120000000000001</v>
      </c>
      <c r="J11" s="5">
        <v>0.28866000000000003</v>
      </c>
      <c r="K11" s="5">
        <v>0.28172000000000003</v>
      </c>
      <c r="L11" s="5">
        <v>26.538</v>
      </c>
      <c r="M11" s="5">
        <v>2</v>
      </c>
      <c r="N11" s="5">
        <v>3.109</v>
      </c>
      <c r="O11" s="5">
        <v>0.28758</v>
      </c>
      <c r="P11" s="5">
        <v>0.27171000000000001</v>
      </c>
      <c r="Q11" s="5">
        <v>27.654</v>
      </c>
      <c r="R11" s="5">
        <v>3</v>
      </c>
      <c r="S11" s="5">
        <v>3.113</v>
      </c>
      <c r="T11" s="5">
        <v>0.28345999999999999</v>
      </c>
      <c r="U11" s="5">
        <v>0.26845999999999998</v>
      </c>
      <c r="V11" s="5">
        <v>27.597999999999999</v>
      </c>
      <c r="W11" s="22">
        <f t="shared" si="1"/>
        <v>-9.9999999999988987E-4</v>
      </c>
      <c r="X11" s="21">
        <f t="shared" si="2"/>
        <v>-8.9999999999995639E-4</v>
      </c>
      <c r="Y11" s="21">
        <f t="shared" si="3"/>
        <v>-4.1999999999997595E-4</v>
      </c>
      <c r="Z11" s="11">
        <f t="shared" si="4"/>
        <v>-1.492204899777283E-2</v>
      </c>
      <c r="AA11" s="22">
        <f t="shared" si="5"/>
        <v>-6.0000000000002274E-3</v>
      </c>
      <c r="AB11" s="21">
        <f t="shared" si="6"/>
        <v>-3.3500000000000196E-3</v>
      </c>
      <c r="AC11" s="21">
        <f t="shared" si="7"/>
        <v>-8.9099999999999735E-3</v>
      </c>
      <c r="AD11" s="11">
        <f t="shared" si="8"/>
        <v>3.4107402031930967E-3</v>
      </c>
      <c r="AE11" s="22">
        <f t="shared" si="9"/>
        <v>-2.4000000000000021E-2</v>
      </c>
      <c r="AF11" s="21">
        <f t="shared" si="10"/>
        <v>-6.0300000000000353E-3</v>
      </c>
      <c r="AG11" s="21">
        <f t="shared" si="11"/>
        <v>-1.0940000000000005E-2</v>
      </c>
      <c r="AH11" s="11">
        <f t="shared" si="12"/>
        <v>1.9128508124076848E-2</v>
      </c>
      <c r="AI11">
        <v>2.5000000000000001E-2</v>
      </c>
      <c r="AJ11">
        <v>-2.5000000000000001E-2</v>
      </c>
      <c r="AK11">
        <v>1.5E-3</v>
      </c>
      <c r="AL11">
        <v>-1.5E-3</v>
      </c>
      <c r="AM11">
        <v>1.5E-3</v>
      </c>
      <c r="AN11">
        <v>-1.5E-3</v>
      </c>
      <c r="AO11" s="16">
        <v>2.5000000000000001E-2</v>
      </c>
      <c r="AP11" s="16">
        <v>-2.5000000000000001E-2</v>
      </c>
      <c r="AQ11">
        <v>1.4999999999999999E-2</v>
      </c>
      <c r="AR11">
        <v>-1.4999999999999999E-2</v>
      </c>
      <c r="AS11">
        <v>1E-3</v>
      </c>
      <c r="AT11">
        <v>-1E-3</v>
      </c>
      <c r="AU11">
        <v>1E-3</v>
      </c>
      <c r="AV11">
        <v>-1E-3</v>
      </c>
      <c r="AW11" s="16">
        <v>1.4999999999999999E-2</v>
      </c>
      <c r="AX11" s="16">
        <v>-1.4999999999999999E-2</v>
      </c>
      <c r="JR11">
        <v>25.699013157894736</v>
      </c>
    </row>
    <row r="12" spans="1:279" customFormat="1">
      <c r="A12" s="2">
        <v>7</v>
      </c>
      <c r="B12" s="2">
        <v>3.1070000000000002</v>
      </c>
      <c r="C12" s="2">
        <v>0.28928999999999999</v>
      </c>
      <c r="D12" s="2">
        <v>0.28055000000000002</v>
      </c>
      <c r="E12" s="2">
        <v>27.07</v>
      </c>
      <c r="F12" s="17">
        <f t="shared" si="0"/>
        <v>44248.063356481478</v>
      </c>
      <c r="G12" s="9">
        <v>44248.063356481478</v>
      </c>
      <c r="H12" s="25">
        <v>1</v>
      </c>
      <c r="I12" s="5">
        <v>3.117</v>
      </c>
      <c r="J12" s="5">
        <v>0.28866000000000003</v>
      </c>
      <c r="K12" s="5">
        <v>0.28166000000000002</v>
      </c>
      <c r="L12" s="5">
        <v>26.506</v>
      </c>
      <c r="M12" s="5">
        <v>2</v>
      </c>
      <c r="N12" s="5">
        <v>3.1160000000000001</v>
      </c>
      <c r="O12" s="5">
        <v>0.28758</v>
      </c>
      <c r="P12" s="5">
        <v>0.27171000000000001</v>
      </c>
      <c r="Q12" s="5">
        <v>27.59</v>
      </c>
      <c r="R12" s="5">
        <v>3</v>
      </c>
      <c r="S12" s="5">
        <v>3.1190000000000002</v>
      </c>
      <c r="T12" s="5">
        <v>0.28343000000000002</v>
      </c>
      <c r="U12" s="5">
        <v>0.26839000000000002</v>
      </c>
      <c r="V12" s="5">
        <v>27.548999999999999</v>
      </c>
      <c r="W12" s="22">
        <f t="shared" si="1"/>
        <v>4.0000000000000036E-3</v>
      </c>
      <c r="X12" s="21">
        <f t="shared" si="2"/>
        <v>-8.9999999999995639E-4</v>
      </c>
      <c r="Y12" s="21">
        <f t="shared" si="3"/>
        <v>-4.7999999999998044E-4</v>
      </c>
      <c r="Z12" s="11">
        <f t="shared" si="4"/>
        <v>-1.6109873793615503E-2</v>
      </c>
      <c r="AA12" s="22">
        <f t="shared" si="5"/>
        <v>9.9999999999988987E-4</v>
      </c>
      <c r="AB12" s="21">
        <f t="shared" si="6"/>
        <v>-3.3500000000000196E-3</v>
      </c>
      <c r="AC12" s="21">
        <f t="shared" si="7"/>
        <v>-8.9099999999999735E-3</v>
      </c>
      <c r="AD12" s="11">
        <f t="shared" si="8"/>
        <v>1.0885341074020616E-3</v>
      </c>
      <c r="AE12" s="22">
        <f t="shared" si="9"/>
        <v>-1.7999999999999794E-2</v>
      </c>
      <c r="AF12" s="21">
        <f t="shared" si="10"/>
        <v>-6.0600000000000098E-3</v>
      </c>
      <c r="AG12" s="21">
        <f t="shared" si="11"/>
        <v>-1.1009999999999964E-2</v>
      </c>
      <c r="AH12" s="11">
        <f t="shared" si="12"/>
        <v>1.7319054652880306E-2</v>
      </c>
      <c r="AI12">
        <v>2.5000000000000001E-2</v>
      </c>
      <c r="AJ12">
        <v>-2.5000000000000001E-2</v>
      </c>
      <c r="AK12">
        <v>1.5E-3</v>
      </c>
      <c r="AL12">
        <v>-1.5E-3</v>
      </c>
      <c r="AM12">
        <v>1.5E-3</v>
      </c>
      <c r="AN12">
        <v>-1.5E-3</v>
      </c>
      <c r="AO12" s="16">
        <v>2.5000000000000001E-2</v>
      </c>
      <c r="AP12" s="16">
        <v>-2.5000000000000001E-2</v>
      </c>
      <c r="AQ12">
        <v>1.4999999999999999E-2</v>
      </c>
      <c r="AR12">
        <v>-1.4999999999999999E-2</v>
      </c>
      <c r="AS12">
        <v>1E-3</v>
      </c>
      <c r="AT12">
        <v>-1E-3</v>
      </c>
      <c r="AU12">
        <v>1E-3</v>
      </c>
      <c r="AV12">
        <v>-1E-3</v>
      </c>
      <c r="AW12" s="16">
        <v>1.4999999999999999E-2</v>
      </c>
      <c r="AX12" s="16">
        <v>-1.4999999999999999E-2</v>
      </c>
      <c r="JP12">
        <v>25.699013157894736</v>
      </c>
      <c r="JR12">
        <v>12.849506578947368</v>
      </c>
      <c r="JS12">
        <v>12.849506578947368</v>
      </c>
    </row>
    <row r="13" spans="1:279" customFormat="1">
      <c r="A13" s="2">
        <v>8</v>
      </c>
      <c r="B13" s="2">
        <v>3.129</v>
      </c>
      <c r="C13" s="2">
        <v>0.28936000000000001</v>
      </c>
      <c r="D13" s="2">
        <v>0.27795999999999998</v>
      </c>
      <c r="E13" s="2">
        <v>27.87</v>
      </c>
      <c r="F13" s="17">
        <f t="shared" si="0"/>
        <v>44249.032500000001</v>
      </c>
      <c r="G13" s="9">
        <v>44249.032500000001</v>
      </c>
      <c r="H13" s="25">
        <v>1</v>
      </c>
      <c r="I13" s="5">
        <v>3.1150000000000002</v>
      </c>
      <c r="J13" s="2">
        <v>0.28852</v>
      </c>
      <c r="K13" s="5">
        <v>0.28140999999999999</v>
      </c>
      <c r="L13" s="5">
        <v>26.617000000000001</v>
      </c>
      <c r="M13" s="5">
        <v>2</v>
      </c>
      <c r="N13" s="5">
        <v>3.113</v>
      </c>
      <c r="O13" s="2">
        <v>0.28760999999999998</v>
      </c>
      <c r="P13" s="5">
        <v>0.27182000000000001</v>
      </c>
      <c r="Q13" s="5">
        <v>27.771000000000001</v>
      </c>
      <c r="R13" s="5">
        <v>3</v>
      </c>
      <c r="S13" s="5">
        <v>3.117</v>
      </c>
      <c r="T13" s="2">
        <v>0.28339999999999999</v>
      </c>
      <c r="U13" s="5">
        <v>0.26850000000000002</v>
      </c>
      <c r="V13" s="5">
        <v>27.666</v>
      </c>
      <c r="W13" s="22">
        <f t="shared" si="1"/>
        <v>2.0000000000002238E-3</v>
      </c>
      <c r="X13" s="21">
        <f t="shared" si="2"/>
        <v>-1.0399999999999854E-3</v>
      </c>
      <c r="Y13" s="21">
        <f t="shared" si="3"/>
        <v>-7.3000000000000842E-4</v>
      </c>
      <c r="Z13" s="11">
        <f t="shared" si="4"/>
        <v>-1.1989606533036379E-2</v>
      </c>
      <c r="AA13" s="22">
        <f t="shared" si="5"/>
        <v>-2.0000000000002238E-3</v>
      </c>
      <c r="AB13" s="21">
        <f t="shared" si="6"/>
        <v>-3.3200000000000451E-3</v>
      </c>
      <c r="AC13" s="21">
        <f t="shared" si="7"/>
        <v>-8.7999999999999745E-3</v>
      </c>
      <c r="AD13" s="11">
        <f t="shared" si="8"/>
        <v>7.656023222061048E-3</v>
      </c>
      <c r="AE13" s="22">
        <f t="shared" si="9"/>
        <v>-2.0000000000000018E-2</v>
      </c>
      <c r="AF13" s="21">
        <f t="shared" si="10"/>
        <v>-6.0900000000000398E-3</v>
      </c>
      <c r="AG13" s="21">
        <f t="shared" si="11"/>
        <v>-1.0899999999999965E-2</v>
      </c>
      <c r="AH13" s="11">
        <f t="shared" si="12"/>
        <v>2.1639586410635125E-2</v>
      </c>
      <c r="AI13">
        <v>2.5000000000000001E-2</v>
      </c>
      <c r="AJ13">
        <v>-2.5000000000000001E-2</v>
      </c>
      <c r="AK13">
        <v>1.5E-3</v>
      </c>
      <c r="AL13">
        <v>-1.5E-3</v>
      </c>
      <c r="AM13">
        <v>1.5E-3</v>
      </c>
      <c r="AN13">
        <v>-1.5E-3</v>
      </c>
      <c r="AO13" s="16">
        <v>2.5000000000000001E-2</v>
      </c>
      <c r="AP13" s="16">
        <v>-2.5000000000000001E-2</v>
      </c>
      <c r="AQ13">
        <v>1.4999999999999999E-2</v>
      </c>
      <c r="AR13">
        <v>-1.4999999999999999E-2</v>
      </c>
      <c r="AS13">
        <v>1E-3</v>
      </c>
      <c r="AT13">
        <v>-1E-3</v>
      </c>
      <c r="AU13">
        <v>1E-3</v>
      </c>
      <c r="AV13">
        <v>-1E-3</v>
      </c>
      <c r="AW13" s="16">
        <v>1.4999999999999999E-2</v>
      </c>
      <c r="AX13" s="16">
        <v>-1.4999999999999999E-2</v>
      </c>
      <c r="BA13">
        <v>3.1179999999999999</v>
      </c>
      <c r="BB13">
        <v>0.28872999999999999</v>
      </c>
      <c r="BC13">
        <v>0.28167999999999999</v>
      </c>
      <c r="BD13">
        <v>26.67</v>
      </c>
      <c r="BF13">
        <v>3.117</v>
      </c>
      <c r="BG13">
        <v>0.28743999999999997</v>
      </c>
      <c r="BH13">
        <v>0.27171000000000001</v>
      </c>
      <c r="BI13">
        <v>27.777999999999999</v>
      </c>
    </row>
    <row r="14" spans="1:279" customFormat="1">
      <c r="A14" s="2">
        <v>9</v>
      </c>
      <c r="B14" s="2">
        <v>3.1120000000000001</v>
      </c>
      <c r="C14" s="2">
        <v>0.29177999999999998</v>
      </c>
      <c r="D14" s="2">
        <v>0.28258</v>
      </c>
      <c r="E14" s="2">
        <v>27.85</v>
      </c>
      <c r="F14" s="17">
        <f t="shared" si="0"/>
        <v>44249.839502314811</v>
      </c>
      <c r="G14" s="9">
        <v>44249.839502314811</v>
      </c>
      <c r="H14" s="25">
        <v>1</v>
      </c>
      <c r="I14" s="5">
        <v>3.1110000000000002</v>
      </c>
      <c r="J14" s="5">
        <v>0.28864000000000001</v>
      </c>
      <c r="K14" s="5">
        <v>0.28151999999999999</v>
      </c>
      <c r="L14" s="5">
        <v>26.532</v>
      </c>
      <c r="M14" s="5">
        <v>2</v>
      </c>
      <c r="N14" s="5">
        <v>3.1070000000000002</v>
      </c>
      <c r="O14" s="5">
        <v>0.28765000000000002</v>
      </c>
      <c r="P14" s="5">
        <v>0.27185999999999999</v>
      </c>
      <c r="Q14" s="5">
        <v>27.683</v>
      </c>
      <c r="R14" s="5">
        <v>3</v>
      </c>
      <c r="S14" s="5">
        <v>3.1110000000000002</v>
      </c>
      <c r="T14" s="5">
        <v>0.28341</v>
      </c>
      <c r="U14" s="5">
        <v>0.26841999999999999</v>
      </c>
      <c r="V14" s="5">
        <v>27.635000000000002</v>
      </c>
      <c r="W14" s="22">
        <f t="shared" si="1"/>
        <v>-1.9999999999997797E-3</v>
      </c>
      <c r="X14" s="21">
        <f t="shared" si="2"/>
        <v>-9.1999999999997639E-4</v>
      </c>
      <c r="Y14" s="21">
        <f t="shared" si="3"/>
        <v>-6.2000000000000943E-4</v>
      </c>
      <c r="Z14" s="11">
        <f t="shared" si="4"/>
        <v>-1.5144766146993338E-2</v>
      </c>
      <c r="AA14" s="22">
        <f t="shared" si="5"/>
        <v>-8.0000000000000071E-3</v>
      </c>
      <c r="AB14" s="21">
        <f t="shared" si="6"/>
        <v>-3.2800000000000051E-3</v>
      </c>
      <c r="AC14" s="21">
        <f t="shared" si="7"/>
        <v>-8.75999999999999E-3</v>
      </c>
      <c r="AD14" s="11">
        <f t="shared" si="8"/>
        <v>4.4629898403483192E-3</v>
      </c>
      <c r="AE14" s="22">
        <f t="shared" si="9"/>
        <v>-2.5999999999999801E-2</v>
      </c>
      <c r="AF14" s="21">
        <f t="shared" si="10"/>
        <v>-6.0800000000000298E-3</v>
      </c>
      <c r="AG14" s="21">
        <f t="shared" si="11"/>
        <v>-1.097999999999999E-2</v>
      </c>
      <c r="AH14" s="11">
        <f t="shared" si="12"/>
        <v>2.0494830132939512E-2</v>
      </c>
      <c r="AI14">
        <v>2.5000000000000001E-2</v>
      </c>
      <c r="AJ14">
        <v>-2.5000000000000001E-2</v>
      </c>
      <c r="AK14">
        <v>1.5E-3</v>
      </c>
      <c r="AL14">
        <v>-1.5E-3</v>
      </c>
      <c r="AM14">
        <v>1.5E-3</v>
      </c>
      <c r="AN14">
        <v>-1.5E-3</v>
      </c>
      <c r="AO14" s="16">
        <v>2.5000000000000001E-2</v>
      </c>
      <c r="AP14" s="16">
        <v>-2.5000000000000001E-2</v>
      </c>
      <c r="AQ14">
        <v>1.4999999999999999E-2</v>
      </c>
      <c r="AR14">
        <v>-1.4999999999999999E-2</v>
      </c>
      <c r="AS14">
        <v>1E-3</v>
      </c>
      <c r="AT14">
        <v>-1E-3</v>
      </c>
      <c r="AU14">
        <v>1E-3</v>
      </c>
      <c r="AV14">
        <v>-1E-3</v>
      </c>
      <c r="AW14" s="16">
        <v>1.4999999999999999E-2</v>
      </c>
      <c r="AX14" s="16">
        <v>-1.4999999999999999E-2</v>
      </c>
    </row>
    <row r="15" spans="1:279" customFormat="1">
      <c r="A15" s="2">
        <v>10</v>
      </c>
      <c r="B15" s="2">
        <v>3.1110000000000002</v>
      </c>
      <c r="C15" s="2">
        <v>0.29020000000000001</v>
      </c>
      <c r="D15" s="2">
        <v>0.27967999999999998</v>
      </c>
      <c r="E15" s="2">
        <v>27.49</v>
      </c>
      <c r="F15" s="17">
        <f t="shared" si="0"/>
        <v>44250.818877314814</v>
      </c>
      <c r="G15" s="9">
        <v>44250.818877314814</v>
      </c>
      <c r="H15" s="25">
        <v>1</v>
      </c>
      <c r="I15" s="5">
        <v>3.1190000000000002</v>
      </c>
      <c r="J15" s="5">
        <v>0.28849999999999998</v>
      </c>
      <c r="K15" s="5">
        <v>0.28129999999999999</v>
      </c>
      <c r="L15" s="5">
        <v>26.527000000000001</v>
      </c>
      <c r="M15" s="5">
        <v>2</v>
      </c>
      <c r="N15" s="5">
        <v>3.1179999999999999</v>
      </c>
      <c r="O15" s="5">
        <v>0.28739999999999999</v>
      </c>
      <c r="P15" s="5">
        <v>0.27139999999999997</v>
      </c>
      <c r="Q15" s="5">
        <v>27.608000000000001</v>
      </c>
      <c r="R15" s="5">
        <v>3</v>
      </c>
      <c r="S15" s="5">
        <v>3.1179999999999999</v>
      </c>
      <c r="T15" s="5">
        <v>0.28349000000000002</v>
      </c>
      <c r="U15" s="5">
        <v>0.26834000000000002</v>
      </c>
      <c r="V15" s="5">
        <v>27.576000000000001</v>
      </c>
      <c r="W15" s="22">
        <f t="shared" si="1"/>
        <v>6.0000000000002274E-3</v>
      </c>
      <c r="X15" s="21">
        <f t="shared" si="2"/>
        <v>-1.0600000000000054E-3</v>
      </c>
      <c r="Y15" s="21">
        <f t="shared" si="3"/>
        <v>-8.4000000000000741E-4</v>
      </c>
      <c r="Z15" s="11">
        <f t="shared" si="4"/>
        <v>-1.533036377134378E-2</v>
      </c>
      <c r="AA15" s="22">
        <f t="shared" si="5"/>
        <v>2.9999999999996696E-3</v>
      </c>
      <c r="AB15" s="21">
        <f t="shared" si="6"/>
        <v>-3.5300000000000331E-3</v>
      </c>
      <c r="AC15" s="21">
        <f t="shared" si="7"/>
        <v>-9.220000000000006E-3</v>
      </c>
      <c r="AD15" s="11">
        <f t="shared" si="8"/>
        <v>1.7416545718433873E-3</v>
      </c>
      <c r="AE15" s="22">
        <f t="shared" si="9"/>
        <v>-1.9000000000000128E-2</v>
      </c>
      <c r="AF15" s="21">
        <f t="shared" si="10"/>
        <v>-6.0000000000000053E-3</v>
      </c>
      <c r="AG15" s="21">
        <f t="shared" si="11"/>
        <v>-1.1059999999999959E-2</v>
      </c>
      <c r="AH15" s="11">
        <f t="shared" si="12"/>
        <v>1.8316100443131589E-2</v>
      </c>
      <c r="AI15">
        <v>2.5000000000000001E-2</v>
      </c>
      <c r="AJ15">
        <v>-2.5000000000000001E-2</v>
      </c>
      <c r="AK15">
        <v>1.5E-3</v>
      </c>
      <c r="AL15">
        <v>-1.5E-3</v>
      </c>
      <c r="AM15">
        <v>1.5E-3</v>
      </c>
      <c r="AN15">
        <v>-1.5E-3</v>
      </c>
      <c r="AO15" s="16">
        <v>2.5000000000000001E-2</v>
      </c>
      <c r="AP15" s="16">
        <v>-2.5000000000000001E-2</v>
      </c>
      <c r="AQ15">
        <v>1.4999999999999999E-2</v>
      </c>
      <c r="AR15">
        <v>-1.4999999999999999E-2</v>
      </c>
      <c r="AS15">
        <v>1E-3</v>
      </c>
      <c r="AT15">
        <v>-1E-3</v>
      </c>
      <c r="AU15">
        <v>1E-3</v>
      </c>
      <c r="AV15">
        <v>-1E-3</v>
      </c>
      <c r="AW15" s="16">
        <v>1.4999999999999999E-2</v>
      </c>
      <c r="AX15" s="16">
        <v>-1.4999999999999999E-2</v>
      </c>
      <c r="JS15">
        <v>30.502684236212787</v>
      </c>
    </row>
    <row r="16" spans="1:279" customFormat="1">
      <c r="A16" s="2">
        <v>11</v>
      </c>
      <c r="B16" s="2">
        <v>3.1179999999999999</v>
      </c>
      <c r="C16" s="2">
        <v>0.28660999999999998</v>
      </c>
      <c r="D16" s="2">
        <v>0.27249000000000001</v>
      </c>
      <c r="E16" s="2">
        <v>28.34</v>
      </c>
      <c r="F16" s="17">
        <f t="shared" si="0"/>
        <v>44250.826886574076</v>
      </c>
      <c r="G16" s="9">
        <v>44250.826886574076</v>
      </c>
      <c r="H16" s="25">
        <v>1</v>
      </c>
      <c r="I16" s="5">
        <v>3.1179999999999999</v>
      </c>
      <c r="J16" s="5">
        <v>0.28859000000000001</v>
      </c>
      <c r="K16" s="5">
        <v>0.28144999999999998</v>
      </c>
      <c r="L16" s="5">
        <v>26.553000000000001</v>
      </c>
      <c r="M16" s="5">
        <v>2</v>
      </c>
      <c r="N16" s="5">
        <v>3.1160000000000001</v>
      </c>
      <c r="O16" s="5">
        <v>0.28750999999999999</v>
      </c>
      <c r="P16" s="5">
        <v>0.27167999999999998</v>
      </c>
      <c r="Q16" s="5">
        <v>27.65</v>
      </c>
      <c r="R16" s="5">
        <v>3</v>
      </c>
      <c r="S16" s="5">
        <v>3.1160000000000001</v>
      </c>
      <c r="T16" s="5">
        <v>0.28342000000000001</v>
      </c>
      <c r="U16" s="5">
        <v>0.26834999999999998</v>
      </c>
      <c r="V16" s="5">
        <v>27.579000000000001</v>
      </c>
      <c r="W16" s="22">
        <f t="shared" si="1"/>
        <v>4.9999999999998934E-3</v>
      </c>
      <c r="X16" s="21">
        <f t="shared" si="2"/>
        <v>-9.6999999999997089E-4</v>
      </c>
      <c r="Y16" s="21">
        <f t="shared" si="3"/>
        <v>-6.9000000000002393E-4</v>
      </c>
      <c r="Z16" s="11">
        <f t="shared" si="4"/>
        <v>-1.4365256124721615E-2</v>
      </c>
      <c r="AA16" s="22">
        <f t="shared" si="5"/>
        <v>9.9999999999988987E-4</v>
      </c>
      <c r="AB16" s="21">
        <f t="shared" si="6"/>
        <v>-3.4200000000000341E-3</v>
      </c>
      <c r="AC16" s="21">
        <f t="shared" si="7"/>
        <v>-8.9400000000000035E-3</v>
      </c>
      <c r="AD16" s="11">
        <f t="shared" si="8"/>
        <v>3.2656023222061847E-3</v>
      </c>
      <c r="AE16" s="22">
        <f t="shared" si="9"/>
        <v>-2.0999999999999908E-2</v>
      </c>
      <c r="AF16" s="21">
        <f t="shared" si="10"/>
        <v>-6.0700000000000198E-3</v>
      </c>
      <c r="AG16" s="21">
        <f t="shared" si="11"/>
        <v>-1.1050000000000004E-2</v>
      </c>
      <c r="AH16" s="11">
        <f t="shared" si="12"/>
        <v>1.8426883308715114E-2</v>
      </c>
      <c r="AI16">
        <v>2.5000000000000001E-2</v>
      </c>
      <c r="AJ16">
        <v>-2.5000000000000001E-2</v>
      </c>
      <c r="AK16">
        <v>1.5E-3</v>
      </c>
      <c r="AL16">
        <v>-1.5E-3</v>
      </c>
      <c r="AM16">
        <v>1.5E-3</v>
      </c>
      <c r="AN16">
        <v>-1.5E-3</v>
      </c>
      <c r="AO16" s="16">
        <v>2.5000000000000001E-2</v>
      </c>
      <c r="AP16" s="16">
        <v>-2.5000000000000001E-2</v>
      </c>
      <c r="AQ16">
        <v>1.4999999999999999E-2</v>
      </c>
      <c r="AR16">
        <v>-1.4999999999999999E-2</v>
      </c>
      <c r="AS16">
        <v>1E-3</v>
      </c>
      <c r="AT16">
        <v>-1E-3</v>
      </c>
      <c r="AU16">
        <v>1E-3</v>
      </c>
      <c r="AV16">
        <v>-1E-3</v>
      </c>
      <c r="AW16" s="16">
        <v>1.4999999999999999E-2</v>
      </c>
      <c r="AX16" s="16">
        <v>-1.4999999999999999E-2</v>
      </c>
      <c r="BA16">
        <v>3.1179999999999999</v>
      </c>
      <c r="BB16">
        <v>0.28864000000000001</v>
      </c>
      <c r="BC16">
        <v>0.28143000000000001</v>
      </c>
      <c r="BD16">
        <v>26.529</v>
      </c>
      <c r="BF16">
        <v>3.1150000000000002</v>
      </c>
      <c r="BG16">
        <v>0.28743000000000002</v>
      </c>
      <c r="BH16">
        <v>0.27149000000000001</v>
      </c>
      <c r="BI16">
        <v>27.620999999999999</v>
      </c>
      <c r="JP16">
        <v>30.502684236212787</v>
      </c>
      <c r="JQ16">
        <v>28.935185185185187</v>
      </c>
    </row>
    <row r="17" spans="1:279" customFormat="1">
      <c r="A17" s="2">
        <v>12</v>
      </c>
      <c r="B17" s="2">
        <v>3.1110000000000002</v>
      </c>
      <c r="C17" s="2">
        <v>0.28952</v>
      </c>
      <c r="D17" s="2">
        <v>0.27585999999999999</v>
      </c>
      <c r="E17" s="2">
        <v>28.72</v>
      </c>
      <c r="F17" s="17">
        <f t="shared" si="0"/>
        <v>44251.680844907409</v>
      </c>
      <c r="G17" s="9">
        <v>44251.680844907409</v>
      </c>
      <c r="H17" s="25">
        <v>1</v>
      </c>
      <c r="I17" s="5">
        <v>3.1120000000000001</v>
      </c>
      <c r="J17" s="5">
        <v>0.28854000000000002</v>
      </c>
      <c r="K17" s="5">
        <v>0.28129999999999999</v>
      </c>
      <c r="L17" s="5">
        <v>26.555</v>
      </c>
      <c r="M17" s="5">
        <v>2</v>
      </c>
      <c r="N17" s="5">
        <v>3.1080000000000001</v>
      </c>
      <c r="O17" s="5">
        <v>0.28749000000000002</v>
      </c>
      <c r="P17" s="5">
        <v>0.27168999999999999</v>
      </c>
      <c r="Q17" s="5">
        <v>27.669</v>
      </c>
      <c r="R17" s="5">
        <v>3</v>
      </c>
      <c r="S17" s="5">
        <v>3.1110000000000002</v>
      </c>
      <c r="T17" s="5">
        <v>0.28349000000000002</v>
      </c>
      <c r="U17" s="5">
        <v>0.26841999999999999</v>
      </c>
      <c r="V17" s="5">
        <v>27.64</v>
      </c>
      <c r="W17" s="22">
        <f t="shared" si="1"/>
        <v>-9.9999999999988987E-4</v>
      </c>
      <c r="X17" s="21">
        <f t="shared" si="2"/>
        <v>-1.0199999999999654E-3</v>
      </c>
      <c r="Y17" s="21">
        <f t="shared" si="3"/>
        <v>-8.4000000000000741E-4</v>
      </c>
      <c r="Z17" s="11">
        <f t="shared" si="4"/>
        <v>-1.4291017074981482E-2</v>
      </c>
      <c r="AA17" s="22">
        <f t="shared" si="5"/>
        <v>-7.0000000000001172E-3</v>
      </c>
      <c r="AB17" s="21">
        <f t="shared" si="6"/>
        <v>-3.4399999999999986E-3</v>
      </c>
      <c r="AC17" s="21">
        <f t="shared" si="7"/>
        <v>-8.9299999999999935E-3</v>
      </c>
      <c r="AD17" s="11">
        <f t="shared" si="8"/>
        <v>3.9550072568941275E-3</v>
      </c>
      <c r="AE17" s="22">
        <f t="shared" si="9"/>
        <v>-2.5999999999999801E-2</v>
      </c>
      <c r="AF17" s="21">
        <f t="shared" si="10"/>
        <v>-6.0000000000000053E-3</v>
      </c>
      <c r="AG17" s="21">
        <f t="shared" si="11"/>
        <v>-1.097999999999999E-2</v>
      </c>
      <c r="AH17" s="11">
        <f t="shared" si="12"/>
        <v>2.0679468242245314E-2</v>
      </c>
      <c r="AI17">
        <v>2.5000000000000001E-2</v>
      </c>
      <c r="AJ17">
        <v>-2.5000000000000001E-2</v>
      </c>
      <c r="AK17">
        <v>1.5E-3</v>
      </c>
      <c r="AL17">
        <v>-1.5E-3</v>
      </c>
      <c r="AM17">
        <v>1.5E-3</v>
      </c>
      <c r="AN17">
        <v>-1.5E-3</v>
      </c>
      <c r="AO17" s="16">
        <v>2.5000000000000001E-2</v>
      </c>
      <c r="AP17" s="16">
        <v>-2.5000000000000001E-2</v>
      </c>
      <c r="AQ17">
        <v>1.4999999999999999E-2</v>
      </c>
      <c r="AR17">
        <v>-1.4999999999999999E-2</v>
      </c>
      <c r="AS17">
        <v>1E-3</v>
      </c>
      <c r="AT17">
        <v>-1E-3</v>
      </c>
      <c r="AU17">
        <v>1E-3</v>
      </c>
      <c r="AV17">
        <v>-1E-3</v>
      </c>
      <c r="AW17" s="16">
        <v>1.4999999999999999E-2</v>
      </c>
      <c r="AX17" s="16">
        <v>-1.4999999999999999E-2</v>
      </c>
    </row>
    <row r="18" spans="1:279" customFormat="1">
      <c r="A18" s="2">
        <v>13</v>
      </c>
      <c r="B18" s="2">
        <v>3.113</v>
      </c>
      <c r="C18" s="2">
        <v>0.28610999999999998</v>
      </c>
      <c r="D18" s="2">
        <v>0.27067000000000002</v>
      </c>
      <c r="E18" s="2">
        <v>28.44</v>
      </c>
      <c r="F18" s="17">
        <f t="shared" si="0"/>
        <v>44252.755486111113</v>
      </c>
      <c r="G18" s="9">
        <v>44252.755486111113</v>
      </c>
      <c r="H18" s="25">
        <v>1</v>
      </c>
      <c r="I18" s="5">
        <v>3.1160000000000001</v>
      </c>
      <c r="J18" s="5">
        <v>0.28852</v>
      </c>
      <c r="K18" s="5">
        <v>0.28138999999999997</v>
      </c>
      <c r="L18" s="5">
        <v>26.558</v>
      </c>
      <c r="M18" s="5">
        <v>2</v>
      </c>
      <c r="N18" s="5">
        <v>3.113</v>
      </c>
      <c r="O18" s="5">
        <v>0.28736</v>
      </c>
      <c r="P18" s="5">
        <v>0.27150999999999997</v>
      </c>
      <c r="Q18" s="5">
        <v>27.652999999999999</v>
      </c>
      <c r="R18" s="5">
        <v>3</v>
      </c>
      <c r="S18" s="5">
        <v>3.1139999999999999</v>
      </c>
      <c r="T18" s="5">
        <v>0.28342000000000001</v>
      </c>
      <c r="U18" s="5">
        <v>0.26834000000000002</v>
      </c>
      <c r="V18" s="5">
        <v>27.666</v>
      </c>
      <c r="W18" s="22">
        <f t="shared" si="1"/>
        <v>3.0000000000001137E-3</v>
      </c>
      <c r="X18" s="21">
        <f t="shared" si="2"/>
        <v>-1.0399999999999854E-3</v>
      </c>
      <c r="Y18" s="21">
        <f t="shared" si="3"/>
        <v>-7.5000000000002842E-4</v>
      </c>
      <c r="Z18" s="11">
        <f t="shared" si="4"/>
        <v>-1.4179658500371284E-2</v>
      </c>
      <c r="AA18" s="22">
        <f t="shared" si="5"/>
        <v>-2.0000000000002238E-3</v>
      </c>
      <c r="AB18" s="21">
        <f t="shared" si="6"/>
        <v>-3.5700000000000176E-3</v>
      </c>
      <c r="AC18" s="21">
        <f t="shared" si="7"/>
        <v>-9.110000000000007E-3</v>
      </c>
      <c r="AD18" s="11">
        <f t="shared" si="8"/>
        <v>3.3744557329462577E-3</v>
      </c>
      <c r="AE18" s="22">
        <f t="shared" si="9"/>
        <v>-2.3000000000000131E-2</v>
      </c>
      <c r="AF18" s="21">
        <f t="shared" si="10"/>
        <v>-6.0700000000000198E-3</v>
      </c>
      <c r="AG18" s="21">
        <f t="shared" si="11"/>
        <v>-1.1059999999999959E-2</v>
      </c>
      <c r="AH18" s="11">
        <f t="shared" si="12"/>
        <v>2.1639586410635125E-2</v>
      </c>
      <c r="AI18">
        <v>2.5000000000000001E-2</v>
      </c>
      <c r="AJ18">
        <v>-2.5000000000000001E-2</v>
      </c>
      <c r="AK18">
        <v>1.5E-3</v>
      </c>
      <c r="AL18">
        <v>-1.5E-3</v>
      </c>
      <c r="AM18">
        <v>1.5E-3</v>
      </c>
      <c r="AN18">
        <v>-1.5E-3</v>
      </c>
      <c r="AO18" s="16">
        <v>2.5000000000000001E-2</v>
      </c>
      <c r="AP18" s="16">
        <v>-2.5000000000000001E-2</v>
      </c>
      <c r="AQ18">
        <v>1.4999999999999999E-2</v>
      </c>
      <c r="AR18">
        <v>-1.4999999999999999E-2</v>
      </c>
      <c r="AS18">
        <v>1E-3</v>
      </c>
      <c r="AT18">
        <v>-1E-3</v>
      </c>
      <c r="AU18">
        <v>1E-3</v>
      </c>
      <c r="AV18">
        <v>-1E-3</v>
      </c>
      <c r="AW18" s="16">
        <v>1.4999999999999999E-2</v>
      </c>
      <c r="AX18" s="16">
        <v>-1.4999999999999999E-2</v>
      </c>
      <c r="JQ18">
        <v>24.187306501547987</v>
      </c>
      <c r="JR18">
        <v>27.64263600176913</v>
      </c>
      <c r="JS18">
        <v>24.187306501547987</v>
      </c>
    </row>
    <row r="19" spans="1:279" customFormat="1">
      <c r="A19" s="2">
        <v>14</v>
      </c>
      <c r="B19" s="2">
        <v>3.1139999999999999</v>
      </c>
      <c r="C19" s="2">
        <v>0.28849999999999998</v>
      </c>
      <c r="D19" s="2">
        <v>0.27400999999999998</v>
      </c>
      <c r="E19" s="2">
        <v>28.67</v>
      </c>
      <c r="F19" s="17">
        <f t="shared" si="0"/>
        <v>44253.687118055554</v>
      </c>
      <c r="G19" s="9">
        <v>44253.687118055554</v>
      </c>
      <c r="H19" s="25">
        <v>1</v>
      </c>
      <c r="I19" s="5">
        <v>3.1160000000000001</v>
      </c>
      <c r="J19" s="5">
        <v>0.28854000000000002</v>
      </c>
      <c r="K19" s="5">
        <v>0.28128999999999998</v>
      </c>
      <c r="L19" s="5">
        <v>26.548999999999999</v>
      </c>
      <c r="M19" s="5">
        <v>2</v>
      </c>
      <c r="N19" s="5">
        <v>3.1139999999999999</v>
      </c>
      <c r="O19" s="5">
        <v>0.28738000000000002</v>
      </c>
      <c r="P19" s="5">
        <v>0.27144000000000001</v>
      </c>
      <c r="Q19" s="5">
        <v>27.65</v>
      </c>
      <c r="R19" s="5">
        <v>3</v>
      </c>
      <c r="S19" s="5">
        <v>3.1150000000000002</v>
      </c>
      <c r="T19" s="5">
        <v>0.28326000000000001</v>
      </c>
      <c r="U19" s="5">
        <v>0.26798</v>
      </c>
      <c r="V19" s="5">
        <v>27.62</v>
      </c>
      <c r="W19" s="22">
        <f t="shared" si="1"/>
        <v>3.0000000000001137E-3</v>
      </c>
      <c r="X19" s="21">
        <f t="shared" si="2"/>
        <v>-1.0199999999999654E-3</v>
      </c>
      <c r="Y19" s="21">
        <f t="shared" si="3"/>
        <v>-8.5000000000001741E-4</v>
      </c>
      <c r="Z19" s="11">
        <f t="shared" si="4"/>
        <v>-1.4513734224201991E-2</v>
      </c>
      <c r="AA19" s="22">
        <f t="shared" si="5"/>
        <v>-1.000000000000334E-3</v>
      </c>
      <c r="AB19" s="21">
        <f t="shared" si="6"/>
        <v>-3.5499999999999976E-3</v>
      </c>
      <c r="AC19" s="21">
        <f t="shared" si="7"/>
        <v>-9.179999999999966E-3</v>
      </c>
      <c r="AD19" s="11">
        <f t="shared" si="8"/>
        <v>3.2656023222061847E-3</v>
      </c>
      <c r="AE19" s="22">
        <f t="shared" si="9"/>
        <v>-2.1999999999999797E-2</v>
      </c>
      <c r="AF19" s="21">
        <f t="shared" si="10"/>
        <v>-6.2300000000000133E-3</v>
      </c>
      <c r="AG19" s="21">
        <f t="shared" si="11"/>
        <v>-1.1419999999999986E-2</v>
      </c>
      <c r="AH19" s="11">
        <f t="shared" si="12"/>
        <v>1.994091580502233E-2</v>
      </c>
      <c r="AI19">
        <v>2.5000000000000001E-2</v>
      </c>
      <c r="AJ19">
        <v>-2.5000000000000001E-2</v>
      </c>
      <c r="AK19">
        <v>1.5E-3</v>
      </c>
      <c r="AL19">
        <v>-1.5E-3</v>
      </c>
      <c r="AM19">
        <v>1.5E-3</v>
      </c>
      <c r="AN19">
        <v>-1.5E-3</v>
      </c>
      <c r="AO19" s="16">
        <v>2.5000000000000001E-2</v>
      </c>
      <c r="AP19" s="16">
        <v>-2.5000000000000001E-2</v>
      </c>
      <c r="AQ19">
        <v>1.4999999999999999E-2</v>
      </c>
      <c r="AR19">
        <v>-1.4999999999999999E-2</v>
      </c>
      <c r="AS19">
        <v>1E-3</v>
      </c>
      <c r="AT19">
        <v>-1E-3</v>
      </c>
      <c r="AU19">
        <v>1E-3</v>
      </c>
      <c r="AV19">
        <v>-1E-3</v>
      </c>
      <c r="AW19" s="16">
        <v>1.4999999999999999E-2</v>
      </c>
      <c r="AX19" s="16">
        <v>-1.4999999999999999E-2</v>
      </c>
    </row>
    <row r="20" spans="1:279" customFormat="1">
      <c r="A20" s="2">
        <v>15</v>
      </c>
      <c r="B20" s="2">
        <v>3.1190000000000002</v>
      </c>
      <c r="C20" s="2">
        <v>0.28587000000000001</v>
      </c>
      <c r="D20" s="2">
        <v>0.27098</v>
      </c>
      <c r="E20" s="2">
        <v>27.88</v>
      </c>
      <c r="F20" s="17" t="str">
        <f t="shared" si="0"/>
        <v/>
      </c>
      <c r="G20" s="9"/>
      <c r="H20" s="25">
        <v>1</v>
      </c>
      <c r="I20" s="5"/>
      <c r="J20" s="5"/>
      <c r="K20" s="5"/>
      <c r="L20" s="5"/>
      <c r="M20" s="5">
        <v>2</v>
      </c>
      <c r="N20" s="5"/>
      <c r="O20" s="5"/>
      <c r="P20" s="5"/>
      <c r="Q20" s="5"/>
      <c r="R20" s="5">
        <v>3</v>
      </c>
      <c r="S20" s="5"/>
      <c r="T20" s="5"/>
      <c r="U20" s="5"/>
      <c r="V20" s="5"/>
      <c r="W20" s="22">
        <f t="shared" si="1"/>
        <v>-3.113</v>
      </c>
      <c r="X20" s="21">
        <f t="shared" si="2"/>
        <v>-0.28955999999999998</v>
      </c>
      <c r="Y20" s="21">
        <f t="shared" si="3"/>
        <v>-0.28214</v>
      </c>
      <c r="Z20" s="11">
        <f t="shared" si="4"/>
        <v>-1</v>
      </c>
      <c r="AA20" s="22">
        <f t="shared" si="5"/>
        <v>-3.1150000000000002</v>
      </c>
      <c r="AB20" s="21">
        <f t="shared" si="6"/>
        <v>-0.29093000000000002</v>
      </c>
      <c r="AC20" s="21">
        <f t="shared" si="7"/>
        <v>-0.28061999999999998</v>
      </c>
      <c r="AD20" s="11">
        <f t="shared" si="8"/>
        <v>-1</v>
      </c>
      <c r="AE20" s="22">
        <f t="shared" si="9"/>
        <v>-3.137</v>
      </c>
      <c r="AF20" s="21">
        <f t="shared" si="10"/>
        <v>-0.28949000000000003</v>
      </c>
      <c r="AG20" s="21">
        <f t="shared" si="11"/>
        <v>-0.27939999999999998</v>
      </c>
      <c r="AH20" s="11">
        <f t="shared" si="12"/>
        <v>-1</v>
      </c>
      <c r="AI20">
        <v>2.5000000000000001E-2</v>
      </c>
      <c r="AJ20">
        <v>-2.5000000000000001E-2</v>
      </c>
      <c r="AK20">
        <v>1.5E-3</v>
      </c>
      <c r="AL20">
        <v>-1.5E-3</v>
      </c>
      <c r="AM20">
        <v>1.5E-3</v>
      </c>
      <c r="AN20">
        <v>-1.5E-3</v>
      </c>
      <c r="AO20" s="16">
        <v>2.5000000000000001E-2</v>
      </c>
      <c r="AP20" s="16">
        <v>-2.5000000000000001E-2</v>
      </c>
      <c r="AQ20">
        <v>1.4999999999999999E-2</v>
      </c>
      <c r="AR20">
        <v>-1.4999999999999999E-2</v>
      </c>
      <c r="AS20">
        <v>1E-3</v>
      </c>
      <c r="AT20">
        <v>-1E-3</v>
      </c>
      <c r="AU20">
        <v>1E-3</v>
      </c>
      <c r="AV20">
        <v>-1E-3</v>
      </c>
      <c r="AW20" s="16">
        <v>1.4999999999999999E-2</v>
      </c>
      <c r="AX20" s="16">
        <v>-1.4999999999999999E-2</v>
      </c>
      <c r="JP20">
        <v>27.64263600176913</v>
      </c>
      <c r="JQ20">
        <v>26.386152547143258</v>
      </c>
    </row>
    <row r="21" spans="1:279" customFormat="1">
      <c r="A21" s="2">
        <v>16</v>
      </c>
      <c r="B21" s="2">
        <v>3.1190000000000002</v>
      </c>
      <c r="C21" s="2">
        <v>0.28927999999999998</v>
      </c>
      <c r="D21" s="2">
        <v>0.27653</v>
      </c>
      <c r="E21" s="2">
        <v>28.54</v>
      </c>
      <c r="F21" s="17" t="str">
        <f t="shared" si="0"/>
        <v/>
      </c>
      <c r="G21" s="9"/>
      <c r="H21" s="25">
        <v>1</v>
      </c>
      <c r="I21" s="5"/>
      <c r="J21" s="5"/>
      <c r="K21" s="5"/>
      <c r="L21" s="5"/>
      <c r="M21" s="5">
        <v>2</v>
      </c>
      <c r="N21" s="5"/>
      <c r="O21" s="5"/>
      <c r="P21" s="5"/>
      <c r="Q21" s="5"/>
      <c r="R21" s="5">
        <v>3</v>
      </c>
      <c r="S21" s="5"/>
      <c r="T21" s="5"/>
      <c r="U21" s="5"/>
      <c r="V21" s="5"/>
      <c r="W21" s="22">
        <f t="shared" si="1"/>
        <v>-3.113</v>
      </c>
      <c r="X21" s="21">
        <f t="shared" si="2"/>
        <v>-0.28955999999999998</v>
      </c>
      <c r="Y21" s="21">
        <f t="shared" si="3"/>
        <v>-0.28214</v>
      </c>
      <c r="Z21" s="11">
        <f t="shared" si="4"/>
        <v>-1</v>
      </c>
      <c r="AA21" s="22">
        <f t="shared" si="5"/>
        <v>-3.1150000000000002</v>
      </c>
      <c r="AB21" s="21">
        <f t="shared" si="6"/>
        <v>-0.29093000000000002</v>
      </c>
      <c r="AC21" s="21">
        <f t="shared" si="7"/>
        <v>-0.28061999999999998</v>
      </c>
      <c r="AD21" s="11">
        <f t="shared" si="8"/>
        <v>-1</v>
      </c>
      <c r="AE21" s="22">
        <f t="shared" si="9"/>
        <v>-3.137</v>
      </c>
      <c r="AF21" s="21">
        <f t="shared" si="10"/>
        <v>-0.28949000000000003</v>
      </c>
      <c r="AG21" s="21">
        <f t="shared" si="11"/>
        <v>-0.27939999999999998</v>
      </c>
      <c r="AH21" s="11">
        <f t="shared" si="12"/>
        <v>-1</v>
      </c>
      <c r="AI21">
        <v>2.5000000000000001E-2</v>
      </c>
      <c r="AJ21">
        <v>-2.5000000000000001E-2</v>
      </c>
      <c r="AK21">
        <v>1.5E-3</v>
      </c>
      <c r="AL21">
        <v>-1.5E-3</v>
      </c>
      <c r="AM21">
        <v>1.5E-3</v>
      </c>
      <c r="AN21">
        <v>-1.5E-3</v>
      </c>
      <c r="AO21" s="16">
        <v>2.5000000000000001E-2</v>
      </c>
      <c r="AP21" s="16">
        <v>-2.5000000000000001E-2</v>
      </c>
      <c r="AQ21">
        <v>1.4999999999999999E-2</v>
      </c>
      <c r="AR21">
        <v>-1.4999999999999999E-2</v>
      </c>
      <c r="AS21">
        <v>1E-3</v>
      </c>
      <c r="AT21">
        <v>-1E-3</v>
      </c>
      <c r="AU21">
        <v>1E-3</v>
      </c>
      <c r="AV21">
        <v>-1E-3</v>
      </c>
      <c r="AW21" s="16">
        <v>1.4999999999999999E-2</v>
      </c>
      <c r="AX21" s="16">
        <v>-1.4999999999999999E-2</v>
      </c>
      <c r="JP21">
        <v>28.935185185185187</v>
      </c>
      <c r="JQ21">
        <v>28.935185185185187</v>
      </c>
    </row>
    <row r="22" spans="1:279" customFormat="1">
      <c r="A22" s="2">
        <v>17</v>
      </c>
      <c r="B22" s="2">
        <v>3.1179999999999999</v>
      </c>
      <c r="C22" s="2">
        <v>0.28658</v>
      </c>
      <c r="D22" s="2">
        <v>0.27185999999999999</v>
      </c>
      <c r="E22" s="2">
        <v>28.08</v>
      </c>
      <c r="F22" s="17" t="str">
        <f t="shared" si="0"/>
        <v/>
      </c>
      <c r="G22" s="9"/>
      <c r="H22" s="25">
        <v>1</v>
      </c>
      <c r="I22" s="5"/>
      <c r="J22" s="5"/>
      <c r="K22" s="5"/>
      <c r="L22" s="5"/>
      <c r="M22" s="5">
        <v>2</v>
      </c>
      <c r="N22" s="5"/>
      <c r="O22" s="5"/>
      <c r="P22" s="5"/>
      <c r="Q22" s="5"/>
      <c r="R22" s="5">
        <v>3</v>
      </c>
      <c r="S22" s="5"/>
      <c r="T22" s="5"/>
      <c r="U22" s="5"/>
      <c r="V22" s="5"/>
      <c r="W22" s="22">
        <f t="shared" si="1"/>
        <v>-3.113</v>
      </c>
      <c r="X22" s="21">
        <f t="shared" si="2"/>
        <v>-0.28955999999999998</v>
      </c>
      <c r="Y22" s="21">
        <f t="shared" si="3"/>
        <v>-0.28214</v>
      </c>
      <c r="Z22" s="11">
        <f t="shared" si="4"/>
        <v>-1</v>
      </c>
      <c r="AA22" s="22">
        <f t="shared" si="5"/>
        <v>-3.1150000000000002</v>
      </c>
      <c r="AB22" s="21">
        <f t="shared" si="6"/>
        <v>-0.29093000000000002</v>
      </c>
      <c r="AC22" s="21">
        <f t="shared" si="7"/>
        <v>-0.28061999999999998</v>
      </c>
      <c r="AD22" s="11">
        <f t="shared" si="8"/>
        <v>-1</v>
      </c>
      <c r="AE22" s="22">
        <f t="shared" si="9"/>
        <v>-3.137</v>
      </c>
      <c r="AF22" s="21">
        <f t="shared" si="10"/>
        <v>-0.28949000000000003</v>
      </c>
      <c r="AG22" s="21">
        <f t="shared" si="11"/>
        <v>-0.27939999999999998</v>
      </c>
      <c r="AH22" s="11">
        <f t="shared" si="12"/>
        <v>-1</v>
      </c>
      <c r="AI22">
        <v>2.5000000000000001E-2</v>
      </c>
      <c r="AJ22">
        <v>-2.5000000000000001E-2</v>
      </c>
      <c r="AK22">
        <v>1.5E-3</v>
      </c>
      <c r="AL22">
        <v>-1.5E-3</v>
      </c>
      <c r="AM22">
        <v>1.5E-3</v>
      </c>
      <c r="AN22">
        <v>-1.5E-3</v>
      </c>
      <c r="AO22" s="16">
        <v>2.5000000000000001E-2</v>
      </c>
      <c r="AP22" s="16">
        <v>-2.5000000000000001E-2</v>
      </c>
      <c r="AQ22">
        <v>1.4999999999999999E-2</v>
      </c>
      <c r="AR22">
        <v>-1.4999999999999999E-2</v>
      </c>
      <c r="AS22">
        <v>1E-3</v>
      </c>
      <c r="AT22">
        <v>-1E-3</v>
      </c>
      <c r="AU22">
        <v>1E-3</v>
      </c>
      <c r="AV22">
        <v>-1E-3</v>
      </c>
      <c r="AW22" s="16">
        <v>1.4999999999999999E-2</v>
      </c>
      <c r="AX22" s="16">
        <v>-1.4999999999999999E-2</v>
      </c>
    </row>
    <row r="23" spans="1:279" customFormat="1">
      <c r="A23" s="2">
        <v>18</v>
      </c>
      <c r="B23" s="2">
        <v>3.121</v>
      </c>
      <c r="C23" s="2">
        <v>0.28902</v>
      </c>
      <c r="D23" s="2">
        <v>0.27583999999999997</v>
      </c>
      <c r="E23" s="2">
        <v>28.6</v>
      </c>
      <c r="F23" s="17" t="str">
        <f t="shared" si="0"/>
        <v/>
      </c>
      <c r="G23" s="9"/>
      <c r="H23" s="25">
        <v>1</v>
      </c>
      <c r="I23" s="5"/>
      <c r="J23" s="5"/>
      <c r="K23" s="5"/>
      <c r="L23" s="5"/>
      <c r="M23" s="5">
        <v>2</v>
      </c>
      <c r="N23" s="5"/>
      <c r="O23" s="5"/>
      <c r="P23" s="5"/>
      <c r="Q23" s="5"/>
      <c r="R23" s="5">
        <v>3</v>
      </c>
      <c r="S23" s="5"/>
      <c r="T23" s="5"/>
      <c r="U23" s="5"/>
      <c r="V23" s="5"/>
      <c r="W23" s="22">
        <f t="shared" si="1"/>
        <v>-3.113</v>
      </c>
      <c r="X23" s="21">
        <f t="shared" si="2"/>
        <v>-0.28955999999999998</v>
      </c>
      <c r="Y23" s="21">
        <f t="shared" si="3"/>
        <v>-0.28214</v>
      </c>
      <c r="Z23" s="11">
        <f t="shared" si="4"/>
        <v>-1</v>
      </c>
      <c r="AA23" s="22">
        <f t="shared" si="5"/>
        <v>-3.1150000000000002</v>
      </c>
      <c r="AB23" s="21">
        <f t="shared" si="6"/>
        <v>-0.29093000000000002</v>
      </c>
      <c r="AC23" s="21">
        <f t="shared" si="7"/>
        <v>-0.28061999999999998</v>
      </c>
      <c r="AD23" s="11">
        <f t="shared" si="8"/>
        <v>-1</v>
      </c>
      <c r="AE23" s="22">
        <f t="shared" si="9"/>
        <v>-3.137</v>
      </c>
      <c r="AF23" s="21">
        <f t="shared" si="10"/>
        <v>-0.28949000000000003</v>
      </c>
      <c r="AG23" s="21">
        <f t="shared" si="11"/>
        <v>-0.27939999999999998</v>
      </c>
      <c r="AH23" s="11">
        <f t="shared" si="12"/>
        <v>-1</v>
      </c>
      <c r="AI23">
        <v>2.5000000000000001E-2</v>
      </c>
      <c r="AJ23">
        <v>-2.5000000000000001E-2</v>
      </c>
      <c r="AK23">
        <v>1.5E-3</v>
      </c>
      <c r="AL23">
        <v>-1.5E-3</v>
      </c>
      <c r="AM23">
        <v>1.5E-3</v>
      </c>
      <c r="AN23">
        <v>-1.5E-3</v>
      </c>
      <c r="AO23" s="16">
        <v>2.5000000000000001E-2</v>
      </c>
      <c r="AP23" s="16">
        <v>-2.5000000000000001E-2</v>
      </c>
      <c r="AQ23">
        <v>1.4999999999999999E-2</v>
      </c>
      <c r="AR23">
        <v>-1.4999999999999999E-2</v>
      </c>
      <c r="AS23">
        <v>1E-3</v>
      </c>
      <c r="AT23">
        <v>-1E-3</v>
      </c>
      <c r="AU23">
        <v>1E-3</v>
      </c>
      <c r="AV23">
        <v>-1E-3</v>
      </c>
      <c r="AW23" s="16">
        <v>1.4999999999999999E-2</v>
      </c>
      <c r="AX23" s="16">
        <v>-1.4999999999999999E-2</v>
      </c>
    </row>
    <row r="24" spans="1:279" customFormat="1">
      <c r="A24" s="2">
        <v>19</v>
      </c>
      <c r="B24" s="2">
        <v>3.121</v>
      </c>
      <c r="C24" s="2">
        <v>0.28721000000000002</v>
      </c>
      <c r="D24" s="2">
        <v>0.27334999999999998</v>
      </c>
      <c r="E24" s="2">
        <v>28.21</v>
      </c>
      <c r="F24" s="17" t="str">
        <f t="shared" si="0"/>
        <v/>
      </c>
      <c r="G24" s="9"/>
      <c r="H24" s="25">
        <v>1</v>
      </c>
      <c r="I24" s="5"/>
      <c r="J24" s="5"/>
      <c r="K24" s="5"/>
      <c r="L24" s="5"/>
      <c r="M24" s="5">
        <v>2</v>
      </c>
      <c r="N24" s="5"/>
      <c r="O24" s="5"/>
      <c r="P24" s="5"/>
      <c r="Q24" s="5"/>
      <c r="R24" s="5">
        <v>3</v>
      </c>
      <c r="S24" s="5"/>
      <c r="T24" s="5"/>
      <c r="U24" s="5"/>
      <c r="V24" s="5"/>
      <c r="W24" s="22">
        <f t="shared" si="1"/>
        <v>-3.113</v>
      </c>
      <c r="X24" s="21">
        <f t="shared" si="2"/>
        <v>-0.28955999999999998</v>
      </c>
      <c r="Y24" s="21">
        <f t="shared" si="3"/>
        <v>-0.28214</v>
      </c>
      <c r="Z24" s="11">
        <f t="shared" si="4"/>
        <v>-1</v>
      </c>
      <c r="AA24" s="22">
        <f t="shared" si="5"/>
        <v>-3.1150000000000002</v>
      </c>
      <c r="AB24" s="21">
        <f t="shared" si="6"/>
        <v>-0.29093000000000002</v>
      </c>
      <c r="AC24" s="21">
        <f t="shared" si="7"/>
        <v>-0.28061999999999998</v>
      </c>
      <c r="AD24" s="11">
        <f t="shared" si="8"/>
        <v>-1</v>
      </c>
      <c r="AE24" s="22">
        <f t="shared" si="9"/>
        <v>-3.137</v>
      </c>
      <c r="AF24" s="21">
        <f t="shared" si="10"/>
        <v>-0.28949000000000003</v>
      </c>
      <c r="AG24" s="21">
        <f t="shared" si="11"/>
        <v>-0.27939999999999998</v>
      </c>
      <c r="AH24" s="11">
        <f t="shared" si="12"/>
        <v>-1</v>
      </c>
      <c r="AI24">
        <v>2.5000000000000001E-2</v>
      </c>
      <c r="AJ24">
        <v>-2.5000000000000001E-2</v>
      </c>
      <c r="AK24">
        <v>1.5E-3</v>
      </c>
      <c r="AL24">
        <v>-1.5E-3</v>
      </c>
      <c r="AM24">
        <v>1.5E-3</v>
      </c>
      <c r="AN24">
        <v>-1.5E-3</v>
      </c>
      <c r="AO24" s="16">
        <v>2.5000000000000001E-2</v>
      </c>
      <c r="AP24" s="16">
        <v>-2.5000000000000001E-2</v>
      </c>
      <c r="AQ24">
        <v>1.4999999999999999E-2</v>
      </c>
      <c r="AR24">
        <v>-1.4999999999999999E-2</v>
      </c>
      <c r="AS24">
        <v>1E-3</v>
      </c>
      <c r="AT24">
        <v>-1E-3</v>
      </c>
      <c r="AU24">
        <v>1E-3</v>
      </c>
      <c r="AV24">
        <v>-1E-3</v>
      </c>
      <c r="AW24" s="16">
        <v>1.4999999999999999E-2</v>
      </c>
      <c r="AX24" s="16">
        <v>-1.4999999999999999E-2</v>
      </c>
    </row>
    <row r="25" spans="1:279" customFormat="1">
      <c r="A25" s="2">
        <v>20</v>
      </c>
      <c r="B25" s="2">
        <v>3.12</v>
      </c>
      <c r="C25" s="2">
        <v>0.28645999999999999</v>
      </c>
      <c r="D25" s="2">
        <v>0.27035999999999999</v>
      </c>
      <c r="E25" s="2">
        <v>28.19</v>
      </c>
      <c r="F25" s="17" t="str">
        <f t="shared" si="0"/>
        <v/>
      </c>
      <c r="G25" s="9"/>
      <c r="H25" s="25">
        <v>1</v>
      </c>
      <c r="I25" s="5"/>
      <c r="J25" s="5"/>
      <c r="K25" s="5"/>
      <c r="L25" s="5"/>
      <c r="M25" s="5">
        <v>2</v>
      </c>
      <c r="N25" s="5"/>
      <c r="O25" s="5"/>
      <c r="P25" s="5"/>
      <c r="Q25" s="5"/>
      <c r="R25" s="5">
        <v>3</v>
      </c>
      <c r="S25" s="5"/>
      <c r="T25" s="5"/>
      <c r="U25" s="5"/>
      <c r="V25" s="5"/>
      <c r="W25" s="22">
        <f t="shared" si="1"/>
        <v>-3.113</v>
      </c>
      <c r="X25" s="21">
        <f t="shared" si="2"/>
        <v>-0.28955999999999998</v>
      </c>
      <c r="Y25" s="21">
        <f t="shared" si="3"/>
        <v>-0.28214</v>
      </c>
      <c r="Z25" s="11">
        <f t="shared" si="4"/>
        <v>-1</v>
      </c>
      <c r="AA25" s="22">
        <f t="shared" si="5"/>
        <v>-3.1150000000000002</v>
      </c>
      <c r="AB25" s="21">
        <f t="shared" si="6"/>
        <v>-0.29093000000000002</v>
      </c>
      <c r="AC25" s="21">
        <f t="shared" si="7"/>
        <v>-0.28061999999999998</v>
      </c>
      <c r="AD25" s="11">
        <f t="shared" si="8"/>
        <v>-1</v>
      </c>
      <c r="AE25" s="22">
        <f t="shared" si="9"/>
        <v>-3.137</v>
      </c>
      <c r="AF25" s="21">
        <f t="shared" si="10"/>
        <v>-0.28949000000000003</v>
      </c>
      <c r="AG25" s="21">
        <f t="shared" si="11"/>
        <v>-0.27939999999999998</v>
      </c>
      <c r="AH25" s="11">
        <f t="shared" si="12"/>
        <v>-1</v>
      </c>
      <c r="AI25">
        <v>2.5000000000000001E-2</v>
      </c>
      <c r="AJ25">
        <v>-2.5000000000000001E-2</v>
      </c>
      <c r="AK25">
        <v>1.5E-3</v>
      </c>
      <c r="AL25">
        <v>-1.5E-3</v>
      </c>
      <c r="AM25">
        <v>1.5E-3</v>
      </c>
      <c r="AN25">
        <v>-1.5E-3</v>
      </c>
      <c r="AO25" s="16">
        <v>2.5000000000000001E-2</v>
      </c>
      <c r="AP25" s="16">
        <v>-2.5000000000000001E-2</v>
      </c>
      <c r="AQ25">
        <v>1.4999999999999999E-2</v>
      </c>
      <c r="AR25">
        <v>-1.4999999999999999E-2</v>
      </c>
      <c r="AS25">
        <v>1E-3</v>
      </c>
      <c r="AT25">
        <v>-1E-3</v>
      </c>
      <c r="AU25">
        <v>1E-3</v>
      </c>
      <c r="AV25">
        <v>-1E-3</v>
      </c>
      <c r="AW25" s="16">
        <v>1.4999999999999999E-2</v>
      </c>
      <c r="AX25" s="16">
        <v>-1.4999999999999999E-2</v>
      </c>
    </row>
    <row r="26" spans="1:279" customFormat="1">
      <c r="A26" s="2">
        <v>21</v>
      </c>
      <c r="B26" s="2">
        <v>3.1259999999999999</v>
      </c>
      <c r="C26" s="2">
        <v>0.28303</v>
      </c>
      <c r="D26" s="2">
        <v>0.26646999999999998</v>
      </c>
      <c r="E26" s="2">
        <v>27.94</v>
      </c>
      <c r="F26" s="17" t="str">
        <f t="shared" si="0"/>
        <v/>
      </c>
      <c r="G26" s="9"/>
      <c r="H26" s="25">
        <v>1</v>
      </c>
      <c r="I26" s="5"/>
      <c r="J26" s="5"/>
      <c r="K26" s="5"/>
      <c r="L26" s="5"/>
      <c r="M26" s="5">
        <v>2</v>
      </c>
      <c r="N26" s="5"/>
      <c r="O26" s="5"/>
      <c r="P26" s="5"/>
      <c r="Q26" s="5"/>
      <c r="R26" s="5">
        <v>3</v>
      </c>
      <c r="S26" s="5"/>
      <c r="T26" s="5"/>
      <c r="U26" s="5"/>
      <c r="V26" s="5"/>
      <c r="W26" s="22">
        <f t="shared" si="1"/>
        <v>-3.113</v>
      </c>
      <c r="X26" s="21">
        <f t="shared" si="2"/>
        <v>-0.28955999999999998</v>
      </c>
      <c r="Y26" s="21">
        <f t="shared" si="3"/>
        <v>-0.28214</v>
      </c>
      <c r="Z26" s="11">
        <f t="shared" si="4"/>
        <v>-1</v>
      </c>
      <c r="AA26" s="22">
        <f t="shared" si="5"/>
        <v>-3.1150000000000002</v>
      </c>
      <c r="AB26" s="21">
        <f t="shared" si="6"/>
        <v>-0.29093000000000002</v>
      </c>
      <c r="AC26" s="21">
        <f t="shared" si="7"/>
        <v>-0.28061999999999998</v>
      </c>
      <c r="AD26" s="11">
        <f t="shared" si="8"/>
        <v>-1</v>
      </c>
      <c r="AE26" s="22">
        <f t="shared" si="9"/>
        <v>-3.137</v>
      </c>
      <c r="AF26" s="21">
        <f t="shared" si="10"/>
        <v>-0.28949000000000003</v>
      </c>
      <c r="AG26" s="21">
        <f t="shared" si="11"/>
        <v>-0.27939999999999998</v>
      </c>
      <c r="AH26" s="11">
        <f t="shared" si="12"/>
        <v>-1</v>
      </c>
      <c r="AI26">
        <v>2.5000000000000001E-2</v>
      </c>
      <c r="AJ26">
        <v>-2.5000000000000001E-2</v>
      </c>
      <c r="AK26">
        <v>1.5E-3</v>
      </c>
      <c r="AL26">
        <v>-1.5E-3</v>
      </c>
      <c r="AM26">
        <v>1.5E-3</v>
      </c>
      <c r="AN26">
        <v>-1.5E-3</v>
      </c>
      <c r="AO26" s="16">
        <v>2.5000000000000001E-2</v>
      </c>
      <c r="AP26" s="16">
        <v>-2.5000000000000001E-2</v>
      </c>
      <c r="AQ26">
        <v>1.4999999999999999E-2</v>
      </c>
      <c r="AR26">
        <v>-1.4999999999999999E-2</v>
      </c>
      <c r="AS26">
        <v>1E-3</v>
      </c>
      <c r="AT26">
        <v>-1E-3</v>
      </c>
      <c r="AU26">
        <v>1E-3</v>
      </c>
      <c r="AV26">
        <v>-1E-3</v>
      </c>
      <c r="AW26" s="16">
        <v>1.4999999999999999E-2</v>
      </c>
      <c r="AX26" s="16">
        <v>-1.4999999999999999E-2</v>
      </c>
    </row>
    <row r="27" spans="1:279" customFormat="1">
      <c r="A27" s="2">
        <v>22</v>
      </c>
      <c r="B27" s="2">
        <v>3.117</v>
      </c>
      <c r="C27" s="2">
        <v>0.28138000000000002</v>
      </c>
      <c r="D27" s="2">
        <v>0.26371</v>
      </c>
      <c r="E27" s="2">
        <v>27.9</v>
      </c>
      <c r="F27" s="17" t="str">
        <f t="shared" si="0"/>
        <v/>
      </c>
      <c r="G27" s="9"/>
      <c r="H27" s="25">
        <v>1</v>
      </c>
      <c r="I27" s="5"/>
      <c r="J27" s="5"/>
      <c r="K27" s="5"/>
      <c r="L27" s="5"/>
      <c r="M27" s="5">
        <v>2</v>
      </c>
      <c r="N27" s="5"/>
      <c r="O27" s="5"/>
      <c r="P27" s="5"/>
      <c r="Q27" s="5"/>
      <c r="R27" s="5">
        <v>3</v>
      </c>
      <c r="S27" s="5"/>
      <c r="T27" s="5"/>
      <c r="U27" s="5"/>
      <c r="V27" s="5"/>
      <c r="W27" s="22">
        <f t="shared" si="1"/>
        <v>-3.113</v>
      </c>
      <c r="X27" s="21">
        <f t="shared" si="2"/>
        <v>-0.28955999999999998</v>
      </c>
      <c r="Y27" s="21">
        <f t="shared" si="3"/>
        <v>-0.28214</v>
      </c>
      <c r="Z27" s="11">
        <f t="shared" si="4"/>
        <v>-1</v>
      </c>
      <c r="AA27" s="22">
        <f t="shared" si="5"/>
        <v>-3.1150000000000002</v>
      </c>
      <c r="AB27" s="21">
        <f t="shared" si="6"/>
        <v>-0.29093000000000002</v>
      </c>
      <c r="AC27" s="21">
        <f t="shared" si="7"/>
        <v>-0.28061999999999998</v>
      </c>
      <c r="AD27" s="11">
        <f t="shared" si="8"/>
        <v>-1</v>
      </c>
      <c r="AE27" s="22">
        <f t="shared" si="9"/>
        <v>-3.137</v>
      </c>
      <c r="AF27" s="21">
        <f t="shared" si="10"/>
        <v>-0.28949000000000003</v>
      </c>
      <c r="AG27" s="21">
        <f t="shared" si="11"/>
        <v>-0.27939999999999998</v>
      </c>
      <c r="AH27" s="11">
        <f t="shared" si="12"/>
        <v>-1</v>
      </c>
      <c r="AI27">
        <v>2.5000000000000001E-2</v>
      </c>
      <c r="AJ27">
        <v>-2.5000000000000001E-2</v>
      </c>
      <c r="AK27">
        <v>1.5E-3</v>
      </c>
      <c r="AL27">
        <v>-1.5E-3</v>
      </c>
      <c r="AM27">
        <v>1.5E-3</v>
      </c>
      <c r="AN27">
        <v>-1.5E-3</v>
      </c>
      <c r="AO27" s="16">
        <v>2.5000000000000001E-2</v>
      </c>
      <c r="AP27" s="16">
        <v>-2.5000000000000001E-2</v>
      </c>
      <c r="AQ27">
        <v>1.4999999999999999E-2</v>
      </c>
      <c r="AR27">
        <v>-1.4999999999999999E-2</v>
      </c>
      <c r="AS27">
        <v>1E-3</v>
      </c>
      <c r="AT27">
        <v>-1E-3</v>
      </c>
      <c r="AU27">
        <v>1E-3</v>
      </c>
      <c r="AV27">
        <v>-1E-3</v>
      </c>
      <c r="AW27" s="16">
        <v>1.4999999999999999E-2</v>
      </c>
      <c r="AX27" s="16">
        <v>-1.4999999999999999E-2</v>
      </c>
    </row>
    <row r="28" spans="1:279" customFormat="1">
      <c r="A28" s="2">
        <v>23</v>
      </c>
      <c r="B28" s="2">
        <v>3.1160000000000001</v>
      </c>
      <c r="C28" s="2">
        <v>0.28238000000000002</v>
      </c>
      <c r="D28" s="2">
        <v>0.26517000000000002</v>
      </c>
      <c r="E28" s="2">
        <v>28.01</v>
      </c>
      <c r="F28" s="17" t="str">
        <f t="shared" si="0"/>
        <v/>
      </c>
      <c r="G28" s="9"/>
      <c r="H28" s="25">
        <v>1</v>
      </c>
      <c r="I28" s="5"/>
      <c r="J28" s="5"/>
      <c r="K28" s="5"/>
      <c r="L28" s="5"/>
      <c r="M28" s="5">
        <v>2</v>
      </c>
      <c r="N28" s="5"/>
      <c r="O28" s="5"/>
      <c r="P28" s="5"/>
      <c r="Q28" s="5"/>
      <c r="R28" s="5">
        <v>3</v>
      </c>
      <c r="S28" s="5"/>
      <c r="T28" s="5"/>
      <c r="U28" s="5"/>
      <c r="V28" s="5"/>
      <c r="W28" s="22">
        <f t="shared" si="1"/>
        <v>-3.113</v>
      </c>
      <c r="X28" s="21">
        <f t="shared" si="2"/>
        <v>-0.28955999999999998</v>
      </c>
      <c r="Y28" s="21">
        <f t="shared" si="3"/>
        <v>-0.28214</v>
      </c>
      <c r="Z28" s="11">
        <f t="shared" si="4"/>
        <v>-1</v>
      </c>
      <c r="AA28" s="22">
        <f t="shared" si="5"/>
        <v>-3.1150000000000002</v>
      </c>
      <c r="AB28" s="21">
        <f t="shared" si="6"/>
        <v>-0.29093000000000002</v>
      </c>
      <c r="AC28" s="21">
        <f t="shared" si="7"/>
        <v>-0.28061999999999998</v>
      </c>
      <c r="AD28" s="11">
        <f t="shared" si="8"/>
        <v>-1</v>
      </c>
      <c r="AE28" s="22">
        <f t="shared" si="9"/>
        <v>-3.137</v>
      </c>
      <c r="AF28" s="21">
        <f t="shared" si="10"/>
        <v>-0.28949000000000003</v>
      </c>
      <c r="AG28" s="21">
        <f t="shared" si="11"/>
        <v>-0.27939999999999998</v>
      </c>
      <c r="AH28" s="11">
        <f t="shared" si="12"/>
        <v>-1</v>
      </c>
      <c r="AI28">
        <v>2.5000000000000001E-2</v>
      </c>
      <c r="AJ28">
        <v>-2.5000000000000001E-2</v>
      </c>
      <c r="AK28">
        <v>1.5E-3</v>
      </c>
      <c r="AL28">
        <v>-1.5E-3</v>
      </c>
      <c r="AM28">
        <v>1.5E-3</v>
      </c>
      <c r="AN28">
        <v>-1.5E-3</v>
      </c>
      <c r="AO28" s="16">
        <v>2.5000000000000001E-2</v>
      </c>
      <c r="AP28" s="16">
        <v>-2.5000000000000001E-2</v>
      </c>
      <c r="AQ28">
        <v>1.4999999999999999E-2</v>
      </c>
      <c r="AR28">
        <v>-1.4999999999999999E-2</v>
      </c>
      <c r="AS28">
        <v>1E-3</v>
      </c>
      <c r="AT28">
        <v>-1E-3</v>
      </c>
      <c r="AU28">
        <v>1E-3</v>
      </c>
      <c r="AV28">
        <v>-1E-3</v>
      </c>
      <c r="AW28" s="16">
        <v>1.4999999999999999E-2</v>
      </c>
      <c r="AX28" s="16">
        <v>-1.4999999999999999E-2</v>
      </c>
    </row>
    <row r="29" spans="1:279" customFormat="1">
      <c r="A29" s="2">
        <v>24</v>
      </c>
      <c r="B29" s="2">
        <v>3.1179999999999999</v>
      </c>
      <c r="C29" s="2">
        <v>0.28328999999999999</v>
      </c>
      <c r="D29" s="2">
        <v>0.26704</v>
      </c>
      <c r="E29" s="2">
        <v>27.8</v>
      </c>
      <c r="F29" s="17" t="str">
        <f t="shared" si="0"/>
        <v/>
      </c>
      <c r="G29" s="9"/>
      <c r="H29" s="25">
        <v>1</v>
      </c>
      <c r="I29" s="5"/>
      <c r="J29" s="5"/>
      <c r="K29" s="5"/>
      <c r="L29" s="5"/>
      <c r="M29" s="5">
        <v>2</v>
      </c>
      <c r="N29" s="5"/>
      <c r="O29" s="5"/>
      <c r="P29" s="5"/>
      <c r="Q29" s="5"/>
      <c r="R29" s="5">
        <v>3</v>
      </c>
      <c r="S29" s="5"/>
      <c r="T29" s="5"/>
      <c r="U29" s="5"/>
      <c r="V29" s="5"/>
      <c r="W29" s="22">
        <f t="shared" si="1"/>
        <v>-3.113</v>
      </c>
      <c r="X29" s="21">
        <f t="shared" si="2"/>
        <v>-0.28955999999999998</v>
      </c>
      <c r="Y29" s="21">
        <f t="shared" si="3"/>
        <v>-0.28214</v>
      </c>
      <c r="Z29" s="11">
        <f t="shared" si="4"/>
        <v>-1</v>
      </c>
      <c r="AA29" s="22">
        <f t="shared" si="5"/>
        <v>-3.1150000000000002</v>
      </c>
      <c r="AB29" s="21">
        <f t="shared" si="6"/>
        <v>-0.29093000000000002</v>
      </c>
      <c r="AC29" s="21">
        <f t="shared" si="7"/>
        <v>-0.28061999999999998</v>
      </c>
      <c r="AD29" s="11">
        <f t="shared" si="8"/>
        <v>-1</v>
      </c>
      <c r="AE29" s="22">
        <f t="shared" si="9"/>
        <v>-3.137</v>
      </c>
      <c r="AF29" s="21">
        <f t="shared" si="10"/>
        <v>-0.28949000000000003</v>
      </c>
      <c r="AG29" s="21">
        <f t="shared" si="11"/>
        <v>-0.27939999999999998</v>
      </c>
      <c r="AH29" s="11">
        <f t="shared" si="12"/>
        <v>-1</v>
      </c>
      <c r="AI29">
        <v>2.5000000000000001E-2</v>
      </c>
      <c r="AJ29">
        <v>-2.5000000000000001E-2</v>
      </c>
      <c r="AK29">
        <v>1.5E-3</v>
      </c>
      <c r="AL29">
        <v>-1.5E-3</v>
      </c>
      <c r="AM29">
        <v>1.5E-3</v>
      </c>
      <c r="AN29">
        <v>-1.5E-3</v>
      </c>
      <c r="AO29" s="16">
        <v>2.5000000000000001E-2</v>
      </c>
      <c r="AP29" s="16">
        <v>-2.5000000000000001E-2</v>
      </c>
      <c r="AQ29">
        <v>1.4999999999999999E-2</v>
      </c>
      <c r="AR29">
        <v>-1.4999999999999999E-2</v>
      </c>
      <c r="AS29">
        <v>1E-3</v>
      </c>
      <c r="AT29">
        <v>-1E-3</v>
      </c>
      <c r="AU29">
        <v>1E-3</v>
      </c>
      <c r="AV29">
        <v>-1E-3</v>
      </c>
      <c r="AW29" s="16">
        <v>1.4999999999999999E-2</v>
      </c>
      <c r="AX29" s="16">
        <v>-1.4999999999999999E-2</v>
      </c>
    </row>
    <row r="30" spans="1:279" customFormat="1">
      <c r="A30" s="2">
        <v>25</v>
      </c>
      <c r="B30" s="2">
        <v>3.1230000000000002</v>
      </c>
      <c r="C30" s="2">
        <v>0.28216999999999998</v>
      </c>
      <c r="D30" s="2">
        <v>0.26518000000000003</v>
      </c>
      <c r="E30" s="2">
        <v>27.98</v>
      </c>
      <c r="F30" s="17" t="str">
        <f t="shared" si="0"/>
        <v/>
      </c>
      <c r="G30" s="9"/>
      <c r="H30" s="25">
        <v>1</v>
      </c>
      <c r="I30" s="5"/>
      <c r="J30" s="5"/>
      <c r="K30" s="5"/>
      <c r="L30" s="5"/>
      <c r="M30" s="5">
        <v>2</v>
      </c>
      <c r="N30" s="5"/>
      <c r="O30" s="5"/>
      <c r="P30" s="5"/>
      <c r="Q30" s="5"/>
      <c r="R30" s="5">
        <v>3</v>
      </c>
      <c r="S30" s="5"/>
      <c r="T30" s="5"/>
      <c r="U30" s="5"/>
      <c r="V30" s="5"/>
      <c r="W30" s="22">
        <f t="shared" si="1"/>
        <v>-3.113</v>
      </c>
      <c r="X30" s="21">
        <f t="shared" si="2"/>
        <v>-0.28955999999999998</v>
      </c>
      <c r="Y30" s="21">
        <f t="shared" si="3"/>
        <v>-0.28214</v>
      </c>
      <c r="Z30" s="11">
        <f t="shared" si="4"/>
        <v>-1</v>
      </c>
      <c r="AA30" s="22">
        <f t="shared" si="5"/>
        <v>-3.1150000000000002</v>
      </c>
      <c r="AB30" s="21">
        <f t="shared" si="6"/>
        <v>-0.29093000000000002</v>
      </c>
      <c r="AC30" s="21">
        <f t="shared" si="7"/>
        <v>-0.28061999999999998</v>
      </c>
      <c r="AD30" s="11">
        <f t="shared" si="8"/>
        <v>-1</v>
      </c>
      <c r="AE30" s="22">
        <f t="shared" si="9"/>
        <v>-3.137</v>
      </c>
      <c r="AF30" s="21">
        <f t="shared" si="10"/>
        <v>-0.28949000000000003</v>
      </c>
      <c r="AG30" s="21">
        <f t="shared" si="11"/>
        <v>-0.27939999999999998</v>
      </c>
      <c r="AH30" s="11">
        <f t="shared" si="12"/>
        <v>-1</v>
      </c>
      <c r="AI30">
        <v>2.5000000000000001E-2</v>
      </c>
      <c r="AJ30">
        <v>-2.5000000000000001E-2</v>
      </c>
      <c r="AK30">
        <v>1.5E-3</v>
      </c>
      <c r="AL30">
        <v>-1.5E-3</v>
      </c>
      <c r="AM30">
        <v>1.5E-3</v>
      </c>
      <c r="AN30">
        <v>-1.5E-3</v>
      </c>
      <c r="AO30" s="16">
        <v>2.5000000000000001E-2</v>
      </c>
      <c r="AP30" s="16">
        <v>-2.5000000000000001E-2</v>
      </c>
      <c r="AQ30">
        <v>1.4999999999999999E-2</v>
      </c>
      <c r="AR30">
        <v>-1.4999999999999999E-2</v>
      </c>
      <c r="AS30">
        <v>1E-3</v>
      </c>
      <c r="AT30">
        <v>-1E-3</v>
      </c>
      <c r="AU30">
        <v>1E-3</v>
      </c>
      <c r="AV30">
        <v>-1E-3</v>
      </c>
      <c r="AW30" s="16">
        <v>1.4999999999999999E-2</v>
      </c>
      <c r="AX30" s="16">
        <v>-1.4999999999999999E-2</v>
      </c>
    </row>
    <row r="31" spans="1:279" customFormat="1">
      <c r="A31" s="2">
        <v>26</v>
      </c>
      <c r="B31" s="2">
        <v>3.11</v>
      </c>
      <c r="C31" s="2">
        <v>0.28345999999999999</v>
      </c>
      <c r="D31" s="2">
        <v>0.26833000000000001</v>
      </c>
      <c r="E31" s="2">
        <v>27.89</v>
      </c>
      <c r="F31" s="17" t="str">
        <f t="shared" si="0"/>
        <v/>
      </c>
      <c r="G31" s="9"/>
      <c r="H31" s="25">
        <v>1</v>
      </c>
      <c r="I31" s="5"/>
      <c r="J31" s="5"/>
      <c r="K31" s="5"/>
      <c r="L31" s="5"/>
      <c r="M31" s="5">
        <v>2</v>
      </c>
      <c r="N31" s="5"/>
      <c r="O31" s="5"/>
      <c r="P31" s="5"/>
      <c r="Q31" s="5"/>
      <c r="R31" s="5">
        <v>3</v>
      </c>
      <c r="S31" s="5"/>
      <c r="T31" s="5"/>
      <c r="U31" s="5"/>
      <c r="V31" s="5"/>
      <c r="W31" s="22">
        <f t="shared" si="1"/>
        <v>-3.113</v>
      </c>
      <c r="X31" s="21">
        <f t="shared" si="2"/>
        <v>-0.28955999999999998</v>
      </c>
      <c r="Y31" s="21">
        <f t="shared" si="3"/>
        <v>-0.28214</v>
      </c>
      <c r="Z31" s="11">
        <f t="shared" si="4"/>
        <v>-1</v>
      </c>
      <c r="AA31" s="22">
        <f t="shared" si="5"/>
        <v>-3.1150000000000002</v>
      </c>
      <c r="AB31" s="21">
        <f t="shared" si="6"/>
        <v>-0.29093000000000002</v>
      </c>
      <c r="AC31" s="21">
        <f t="shared" si="7"/>
        <v>-0.28061999999999998</v>
      </c>
      <c r="AD31" s="11">
        <f t="shared" si="8"/>
        <v>-1</v>
      </c>
      <c r="AE31" s="22">
        <f t="shared" si="9"/>
        <v>-3.137</v>
      </c>
      <c r="AF31" s="21">
        <f t="shared" si="10"/>
        <v>-0.28949000000000003</v>
      </c>
      <c r="AG31" s="21">
        <f t="shared" si="11"/>
        <v>-0.27939999999999998</v>
      </c>
      <c r="AH31" s="11">
        <f t="shared" si="12"/>
        <v>-1</v>
      </c>
      <c r="AI31">
        <v>2.5000000000000001E-2</v>
      </c>
      <c r="AJ31">
        <v>-2.5000000000000001E-2</v>
      </c>
      <c r="AK31">
        <v>1.5E-3</v>
      </c>
      <c r="AL31">
        <v>-1.5E-3</v>
      </c>
      <c r="AM31">
        <v>1.5E-3</v>
      </c>
      <c r="AN31">
        <v>-1.5E-3</v>
      </c>
      <c r="AO31" s="16">
        <v>2.5000000000000001E-2</v>
      </c>
      <c r="AP31" s="16">
        <v>-2.5000000000000001E-2</v>
      </c>
      <c r="AQ31">
        <v>1.4999999999999999E-2</v>
      </c>
      <c r="AR31">
        <v>-1.4999999999999999E-2</v>
      </c>
      <c r="AS31">
        <v>1E-3</v>
      </c>
      <c r="AT31">
        <v>-1E-3</v>
      </c>
      <c r="AU31">
        <v>1E-3</v>
      </c>
      <c r="AV31">
        <v>-1E-3</v>
      </c>
      <c r="AW31" s="16">
        <v>1.4999999999999999E-2</v>
      </c>
      <c r="AX31" s="16">
        <v>-1.4999999999999999E-2</v>
      </c>
    </row>
    <row r="32" spans="1:279" customFormat="1">
      <c r="A32" s="2">
        <v>27</v>
      </c>
      <c r="B32" s="2">
        <v>3.1110000000000002</v>
      </c>
      <c r="C32" s="2">
        <v>0.28401999999999999</v>
      </c>
      <c r="D32" s="2">
        <v>0.27034999999999998</v>
      </c>
      <c r="E32" s="2">
        <v>28.02</v>
      </c>
      <c r="F32" s="17" t="str">
        <f t="shared" si="0"/>
        <v/>
      </c>
      <c r="G32" s="9"/>
      <c r="H32" s="25">
        <v>1</v>
      </c>
      <c r="I32" s="5"/>
      <c r="J32" s="5"/>
      <c r="K32" s="5"/>
      <c r="L32" s="5"/>
      <c r="M32" s="5">
        <v>2</v>
      </c>
      <c r="N32" s="5"/>
      <c r="O32" s="5"/>
      <c r="P32" s="5"/>
      <c r="Q32" s="5"/>
      <c r="R32" s="5">
        <v>3</v>
      </c>
      <c r="S32" s="5"/>
      <c r="T32" s="5"/>
      <c r="U32" s="5"/>
      <c r="V32" s="5"/>
      <c r="W32" s="22">
        <f t="shared" si="1"/>
        <v>-3.113</v>
      </c>
      <c r="X32" s="21">
        <f t="shared" si="2"/>
        <v>-0.28955999999999998</v>
      </c>
      <c r="Y32" s="21">
        <f t="shared" si="3"/>
        <v>-0.28214</v>
      </c>
      <c r="Z32" s="11">
        <f t="shared" si="4"/>
        <v>-1</v>
      </c>
      <c r="AA32" s="22">
        <f t="shared" si="5"/>
        <v>-3.1150000000000002</v>
      </c>
      <c r="AB32" s="21">
        <f t="shared" si="6"/>
        <v>-0.29093000000000002</v>
      </c>
      <c r="AC32" s="21">
        <f t="shared" si="7"/>
        <v>-0.28061999999999998</v>
      </c>
      <c r="AD32" s="11">
        <f t="shared" si="8"/>
        <v>-1</v>
      </c>
      <c r="AE32" s="22">
        <f t="shared" si="9"/>
        <v>-3.137</v>
      </c>
      <c r="AF32" s="21">
        <f t="shared" si="10"/>
        <v>-0.28949000000000003</v>
      </c>
      <c r="AG32" s="21">
        <f t="shared" si="11"/>
        <v>-0.27939999999999998</v>
      </c>
      <c r="AH32" s="11">
        <f t="shared" si="12"/>
        <v>-1</v>
      </c>
      <c r="AI32">
        <v>2.5000000000000001E-2</v>
      </c>
      <c r="AJ32">
        <v>-2.5000000000000001E-2</v>
      </c>
      <c r="AK32">
        <v>1.5E-3</v>
      </c>
      <c r="AL32">
        <v>-1.5E-3</v>
      </c>
      <c r="AM32">
        <v>1.5E-3</v>
      </c>
      <c r="AN32">
        <v>-1.5E-3</v>
      </c>
      <c r="AO32" s="16">
        <v>2.5000000000000001E-2</v>
      </c>
      <c r="AP32" s="16">
        <v>-2.5000000000000001E-2</v>
      </c>
      <c r="AQ32">
        <v>1.4999999999999999E-2</v>
      </c>
      <c r="AR32">
        <v>-1.4999999999999999E-2</v>
      </c>
      <c r="AS32">
        <v>1E-3</v>
      </c>
      <c r="AT32">
        <v>-1E-3</v>
      </c>
      <c r="AU32">
        <v>1E-3</v>
      </c>
      <c r="AV32">
        <v>-1E-3</v>
      </c>
      <c r="AW32" s="16">
        <v>1.4999999999999999E-2</v>
      </c>
      <c r="AX32" s="16">
        <v>-1.4999999999999999E-2</v>
      </c>
    </row>
    <row r="33" spans="1:279" customFormat="1">
      <c r="A33" s="2">
        <v>28</v>
      </c>
      <c r="B33" s="2">
        <v>3.1110000000000002</v>
      </c>
      <c r="C33" s="2">
        <v>0.28258</v>
      </c>
      <c r="D33" s="2">
        <v>0.26682</v>
      </c>
      <c r="E33" s="2">
        <v>28.12</v>
      </c>
      <c r="F33" s="17" t="str">
        <f t="shared" si="0"/>
        <v/>
      </c>
      <c r="G33" s="9"/>
      <c r="H33" s="25">
        <v>1</v>
      </c>
      <c r="I33" s="5"/>
      <c r="J33" s="5"/>
      <c r="K33" s="5"/>
      <c r="L33" s="5"/>
      <c r="M33" s="5">
        <v>2</v>
      </c>
      <c r="N33" s="5"/>
      <c r="O33" s="5"/>
      <c r="P33" s="5"/>
      <c r="Q33" s="5"/>
      <c r="R33" s="5">
        <v>3</v>
      </c>
      <c r="S33" s="5"/>
      <c r="T33" s="5"/>
      <c r="U33" s="5"/>
      <c r="V33" s="5"/>
      <c r="W33" s="22">
        <f t="shared" si="1"/>
        <v>-3.113</v>
      </c>
      <c r="X33" s="21">
        <f t="shared" si="2"/>
        <v>-0.28955999999999998</v>
      </c>
      <c r="Y33" s="21">
        <f t="shared" si="3"/>
        <v>-0.28214</v>
      </c>
      <c r="Z33" s="11">
        <f t="shared" si="4"/>
        <v>-1</v>
      </c>
      <c r="AA33" s="22">
        <f t="shared" si="5"/>
        <v>-3.1150000000000002</v>
      </c>
      <c r="AB33" s="21">
        <f t="shared" si="6"/>
        <v>-0.29093000000000002</v>
      </c>
      <c r="AC33" s="21">
        <f t="shared" si="7"/>
        <v>-0.28061999999999998</v>
      </c>
      <c r="AD33" s="11">
        <f t="shared" si="8"/>
        <v>-1</v>
      </c>
      <c r="AE33" s="22">
        <f t="shared" si="9"/>
        <v>-3.137</v>
      </c>
      <c r="AF33" s="21">
        <f t="shared" si="10"/>
        <v>-0.28949000000000003</v>
      </c>
      <c r="AG33" s="21">
        <f t="shared" si="11"/>
        <v>-0.27939999999999998</v>
      </c>
      <c r="AH33" s="11">
        <f t="shared" si="12"/>
        <v>-1</v>
      </c>
      <c r="AI33">
        <v>2.5000000000000001E-2</v>
      </c>
      <c r="AJ33">
        <v>-2.5000000000000001E-2</v>
      </c>
      <c r="AK33">
        <v>1.5E-3</v>
      </c>
      <c r="AL33">
        <v>-1.5E-3</v>
      </c>
      <c r="AM33">
        <v>1.5E-3</v>
      </c>
      <c r="AN33">
        <v>-1.5E-3</v>
      </c>
      <c r="AO33" s="16">
        <v>2.5000000000000001E-2</v>
      </c>
      <c r="AP33" s="16">
        <v>-2.5000000000000001E-2</v>
      </c>
      <c r="AQ33">
        <v>1.4999999999999999E-2</v>
      </c>
      <c r="AR33">
        <v>-1.4999999999999999E-2</v>
      </c>
      <c r="AS33">
        <v>1E-3</v>
      </c>
      <c r="AT33">
        <v>-1E-3</v>
      </c>
      <c r="AU33">
        <v>1E-3</v>
      </c>
      <c r="AV33">
        <v>-1E-3</v>
      </c>
      <c r="AW33" s="16">
        <v>1.4999999999999999E-2</v>
      </c>
      <c r="AX33" s="16">
        <v>-1.4999999999999999E-2</v>
      </c>
      <c r="JR33">
        <v>12.849506578947368</v>
      </c>
    </row>
    <row r="34" spans="1:279" customFormat="1">
      <c r="A34" s="2">
        <v>29</v>
      </c>
      <c r="B34" s="2">
        <v>3.109</v>
      </c>
      <c r="C34" s="2">
        <v>0.28355000000000002</v>
      </c>
      <c r="D34" s="2">
        <v>0.26949000000000001</v>
      </c>
      <c r="E34" s="2">
        <v>28.1</v>
      </c>
      <c r="F34" s="17" t="str">
        <f t="shared" si="0"/>
        <v/>
      </c>
      <c r="G34" s="9"/>
      <c r="H34" s="25">
        <v>1</v>
      </c>
      <c r="I34" s="5"/>
      <c r="J34" s="5"/>
      <c r="K34" s="5"/>
      <c r="L34" s="5"/>
      <c r="M34" s="5">
        <v>2</v>
      </c>
      <c r="N34" s="5"/>
      <c r="O34" s="5"/>
      <c r="P34" s="5"/>
      <c r="Q34" s="5"/>
      <c r="R34" s="5">
        <v>3</v>
      </c>
      <c r="S34" s="5"/>
      <c r="T34" s="5"/>
      <c r="U34" s="5"/>
      <c r="V34" s="5"/>
      <c r="W34" s="22">
        <f t="shared" si="1"/>
        <v>-3.113</v>
      </c>
      <c r="X34" s="21">
        <f t="shared" si="2"/>
        <v>-0.28955999999999998</v>
      </c>
      <c r="Y34" s="21">
        <f t="shared" si="3"/>
        <v>-0.28214</v>
      </c>
      <c r="Z34" s="11">
        <f t="shared" si="4"/>
        <v>-1</v>
      </c>
      <c r="AA34" s="22">
        <f t="shared" si="5"/>
        <v>-3.1150000000000002</v>
      </c>
      <c r="AB34" s="21">
        <f t="shared" si="6"/>
        <v>-0.29093000000000002</v>
      </c>
      <c r="AC34" s="21">
        <f t="shared" si="7"/>
        <v>-0.28061999999999998</v>
      </c>
      <c r="AD34" s="11">
        <f t="shared" si="8"/>
        <v>-1</v>
      </c>
      <c r="AE34" s="22">
        <f t="shared" si="9"/>
        <v>-3.137</v>
      </c>
      <c r="AF34" s="21">
        <f t="shared" si="10"/>
        <v>-0.28949000000000003</v>
      </c>
      <c r="AG34" s="21">
        <f t="shared" si="11"/>
        <v>-0.27939999999999998</v>
      </c>
      <c r="AH34" s="11">
        <f t="shared" si="12"/>
        <v>-1</v>
      </c>
      <c r="AI34">
        <v>2.5000000000000001E-2</v>
      </c>
      <c r="AJ34">
        <v>-2.5000000000000001E-2</v>
      </c>
      <c r="AK34">
        <v>1.5E-3</v>
      </c>
      <c r="AL34">
        <v>-1.5E-3</v>
      </c>
      <c r="AM34">
        <v>1.5E-3</v>
      </c>
      <c r="AN34">
        <v>-1.5E-3</v>
      </c>
      <c r="AO34" s="16">
        <v>2.5000000000000001E-2</v>
      </c>
      <c r="AP34" s="16">
        <v>-2.5000000000000001E-2</v>
      </c>
      <c r="AQ34">
        <v>1.4999999999999999E-2</v>
      </c>
      <c r="AR34">
        <v>-1.4999999999999999E-2</v>
      </c>
      <c r="AS34">
        <v>1E-3</v>
      </c>
      <c r="AT34">
        <v>-1E-3</v>
      </c>
      <c r="AU34">
        <v>1E-3</v>
      </c>
      <c r="AV34">
        <v>-1E-3</v>
      </c>
      <c r="AW34" s="16">
        <v>1.4999999999999999E-2</v>
      </c>
      <c r="AX34" s="16">
        <v>-1.4999999999999999E-2</v>
      </c>
      <c r="JR34">
        <v>12.849506578947368</v>
      </c>
      <c r="JS34">
        <v>12.849506578947368</v>
      </c>
    </row>
    <row r="35" spans="1:279" customFormat="1">
      <c r="A35" s="2">
        <v>30</v>
      </c>
      <c r="B35" s="2">
        <v>3.1120000000000001</v>
      </c>
      <c r="C35" s="2">
        <v>0.28297</v>
      </c>
      <c r="D35" s="2">
        <v>0.26766000000000001</v>
      </c>
      <c r="E35" s="2">
        <v>28</v>
      </c>
      <c r="F35" s="17" t="str">
        <f t="shared" si="0"/>
        <v/>
      </c>
      <c r="G35" s="9"/>
      <c r="H35" s="25">
        <v>1</v>
      </c>
      <c r="I35" s="5"/>
      <c r="J35" s="5"/>
      <c r="K35" s="5"/>
      <c r="L35" s="5"/>
      <c r="M35" s="5">
        <v>2</v>
      </c>
      <c r="N35" s="5"/>
      <c r="O35" s="5"/>
      <c r="P35" s="5"/>
      <c r="Q35" s="5"/>
      <c r="R35" s="5">
        <v>3</v>
      </c>
      <c r="S35" s="5"/>
      <c r="T35" s="5"/>
      <c r="U35" s="5"/>
      <c r="V35" s="5"/>
      <c r="W35" s="22">
        <f t="shared" si="1"/>
        <v>-3.113</v>
      </c>
      <c r="X35" s="21">
        <f t="shared" si="2"/>
        <v>-0.28955999999999998</v>
      </c>
      <c r="Y35" s="21">
        <f t="shared" si="3"/>
        <v>-0.28214</v>
      </c>
      <c r="Z35" s="11">
        <f t="shared" si="4"/>
        <v>-1</v>
      </c>
      <c r="AA35" s="22">
        <f t="shared" si="5"/>
        <v>-3.1150000000000002</v>
      </c>
      <c r="AB35" s="21">
        <f t="shared" si="6"/>
        <v>-0.29093000000000002</v>
      </c>
      <c r="AC35" s="21">
        <f t="shared" si="7"/>
        <v>-0.28061999999999998</v>
      </c>
      <c r="AD35" s="11">
        <f t="shared" si="8"/>
        <v>-1</v>
      </c>
      <c r="AE35" s="22">
        <f t="shared" si="9"/>
        <v>-3.137</v>
      </c>
      <c r="AF35" s="21">
        <f t="shared" si="10"/>
        <v>-0.28949000000000003</v>
      </c>
      <c r="AG35" s="21">
        <f t="shared" si="11"/>
        <v>-0.27939999999999998</v>
      </c>
      <c r="AH35" s="11">
        <f t="shared" si="12"/>
        <v>-1</v>
      </c>
      <c r="AI35">
        <v>2.5000000000000001E-2</v>
      </c>
      <c r="AJ35">
        <v>-2.5000000000000001E-2</v>
      </c>
      <c r="AK35">
        <v>1.5E-3</v>
      </c>
      <c r="AL35">
        <v>-1.5E-3</v>
      </c>
      <c r="AM35">
        <v>1.5E-3</v>
      </c>
      <c r="AN35">
        <v>-1.5E-3</v>
      </c>
      <c r="AO35" s="16">
        <v>2.5000000000000001E-2</v>
      </c>
      <c r="AP35" s="16">
        <v>-2.5000000000000001E-2</v>
      </c>
      <c r="AQ35">
        <v>1.4999999999999999E-2</v>
      </c>
      <c r="AR35">
        <v>-1.4999999999999999E-2</v>
      </c>
      <c r="AS35">
        <v>1E-3</v>
      </c>
      <c r="AT35">
        <v>-1E-3</v>
      </c>
      <c r="AU35">
        <v>1E-3</v>
      </c>
      <c r="AV35">
        <v>-1E-3</v>
      </c>
      <c r="AW35" s="16">
        <v>1.4999999999999999E-2</v>
      </c>
      <c r="AX35" s="16">
        <v>-1.4999999999999999E-2</v>
      </c>
    </row>
    <row r="36" spans="1:279" customFormat="1">
      <c r="F36" s="17" t="str">
        <f t="shared" si="0"/>
        <v/>
      </c>
      <c r="G36" s="9"/>
      <c r="H36" s="25">
        <v>1</v>
      </c>
      <c r="I36" s="5"/>
      <c r="J36" s="5"/>
      <c r="K36" s="5"/>
      <c r="L36" s="5"/>
      <c r="M36" s="5">
        <v>2</v>
      </c>
      <c r="N36" s="5"/>
      <c r="O36" s="5"/>
      <c r="P36" s="5"/>
      <c r="Q36" s="5"/>
      <c r="R36" s="5">
        <v>3</v>
      </c>
      <c r="S36" s="5"/>
      <c r="T36" s="5"/>
      <c r="U36" s="5"/>
      <c r="V36" s="5"/>
      <c r="W36" s="22">
        <f t="shared" si="1"/>
        <v>-3.113</v>
      </c>
      <c r="X36" s="21">
        <f t="shared" si="2"/>
        <v>-0.28955999999999998</v>
      </c>
      <c r="Y36" s="21">
        <f t="shared" si="3"/>
        <v>-0.28214</v>
      </c>
      <c r="Z36" s="11">
        <f t="shared" si="4"/>
        <v>-1</v>
      </c>
      <c r="AA36" s="22">
        <f t="shared" si="5"/>
        <v>-3.1150000000000002</v>
      </c>
      <c r="AB36" s="21">
        <f t="shared" si="6"/>
        <v>-0.29093000000000002</v>
      </c>
      <c r="AC36" s="21">
        <f t="shared" si="7"/>
        <v>-0.28061999999999998</v>
      </c>
      <c r="AD36" s="11">
        <f t="shared" si="8"/>
        <v>-1</v>
      </c>
      <c r="AE36" s="22">
        <f t="shared" si="9"/>
        <v>-3.137</v>
      </c>
      <c r="AF36" s="21">
        <f t="shared" si="10"/>
        <v>-0.28949000000000003</v>
      </c>
      <c r="AG36" s="21">
        <f t="shared" si="11"/>
        <v>-0.27939999999999998</v>
      </c>
      <c r="AH36" s="11">
        <f t="shared" si="12"/>
        <v>-1</v>
      </c>
      <c r="AI36">
        <v>2.5000000000000001E-2</v>
      </c>
      <c r="AJ36">
        <v>-2.5000000000000001E-2</v>
      </c>
      <c r="AK36">
        <v>1.5E-3</v>
      </c>
      <c r="AL36">
        <v>-1.5E-3</v>
      </c>
      <c r="AM36">
        <v>1.5E-3</v>
      </c>
      <c r="AN36">
        <v>-1.5E-3</v>
      </c>
      <c r="AO36" s="16">
        <v>2.5000000000000001E-2</v>
      </c>
      <c r="AP36" s="16">
        <v>-2.5000000000000001E-2</v>
      </c>
      <c r="AQ36">
        <v>1.4999999999999999E-2</v>
      </c>
      <c r="AR36">
        <v>-1.4999999999999999E-2</v>
      </c>
      <c r="AS36">
        <v>1E-3</v>
      </c>
      <c r="AT36">
        <v>-1E-3</v>
      </c>
      <c r="AU36">
        <v>1E-3</v>
      </c>
      <c r="AV36">
        <v>-1E-3</v>
      </c>
      <c r="AW36" s="16">
        <v>1.4999999999999999E-2</v>
      </c>
      <c r="AX36" s="16">
        <v>-1.4999999999999999E-2</v>
      </c>
    </row>
    <row r="37" spans="1:279" customFormat="1">
      <c r="F37" s="17" t="str">
        <f t="shared" si="0"/>
        <v/>
      </c>
      <c r="G37" s="9"/>
      <c r="H37" s="25">
        <v>1</v>
      </c>
      <c r="I37" s="5"/>
      <c r="J37" s="5"/>
      <c r="K37" s="5"/>
      <c r="L37" s="5"/>
      <c r="M37" s="5">
        <v>2</v>
      </c>
      <c r="N37" s="5"/>
      <c r="O37" s="5"/>
      <c r="P37" s="5"/>
      <c r="Q37" s="5"/>
      <c r="R37" s="5">
        <v>3</v>
      </c>
      <c r="S37" s="5"/>
      <c r="T37" s="5"/>
      <c r="U37" s="5"/>
      <c r="V37" s="5"/>
      <c r="W37" s="22">
        <f t="shared" si="1"/>
        <v>-3.113</v>
      </c>
      <c r="X37" s="21">
        <f t="shared" si="2"/>
        <v>-0.28955999999999998</v>
      </c>
      <c r="Y37" s="21">
        <f t="shared" si="3"/>
        <v>-0.28214</v>
      </c>
      <c r="Z37" s="11">
        <f t="shared" si="4"/>
        <v>-1</v>
      </c>
      <c r="AA37" s="22">
        <f t="shared" si="5"/>
        <v>-3.1150000000000002</v>
      </c>
      <c r="AB37" s="21">
        <f t="shared" si="6"/>
        <v>-0.29093000000000002</v>
      </c>
      <c r="AC37" s="21">
        <f t="shared" si="7"/>
        <v>-0.28061999999999998</v>
      </c>
      <c r="AD37" s="11">
        <f t="shared" si="8"/>
        <v>-1</v>
      </c>
      <c r="AE37" s="22">
        <f t="shared" si="9"/>
        <v>-3.137</v>
      </c>
      <c r="AF37" s="21">
        <f t="shared" si="10"/>
        <v>-0.28949000000000003</v>
      </c>
      <c r="AG37" s="21">
        <f t="shared" si="11"/>
        <v>-0.27939999999999998</v>
      </c>
      <c r="AH37" s="11">
        <f t="shared" si="12"/>
        <v>-1</v>
      </c>
      <c r="AI37">
        <v>2.5000000000000001E-2</v>
      </c>
      <c r="AJ37">
        <v>-2.5000000000000001E-2</v>
      </c>
      <c r="AK37">
        <v>1.5E-3</v>
      </c>
      <c r="AL37">
        <v>-1.5E-3</v>
      </c>
      <c r="AM37">
        <v>1.5E-3</v>
      </c>
      <c r="AN37">
        <v>-1.5E-3</v>
      </c>
      <c r="AO37" s="16">
        <v>2.5000000000000001E-2</v>
      </c>
      <c r="AP37" s="16">
        <v>-2.5000000000000001E-2</v>
      </c>
      <c r="AQ37">
        <v>1.4999999999999999E-2</v>
      </c>
      <c r="AR37">
        <v>-1.4999999999999999E-2</v>
      </c>
      <c r="AS37">
        <v>1E-3</v>
      </c>
      <c r="AT37">
        <v>-1E-3</v>
      </c>
      <c r="AU37">
        <v>1E-3</v>
      </c>
      <c r="AV37">
        <v>-1E-3</v>
      </c>
      <c r="AW37" s="16">
        <v>1.4999999999999999E-2</v>
      </c>
      <c r="AX37" s="16">
        <v>-1.4999999999999999E-2</v>
      </c>
    </row>
    <row r="38" spans="1:279" customFormat="1">
      <c r="F38" s="17" t="str">
        <f t="shared" si="0"/>
        <v/>
      </c>
      <c r="G38" s="9"/>
      <c r="H38" s="25">
        <v>1</v>
      </c>
      <c r="I38" s="5"/>
      <c r="J38" s="5"/>
      <c r="K38" s="5"/>
      <c r="L38" s="5"/>
      <c r="M38" s="5">
        <v>2</v>
      </c>
      <c r="N38" s="5"/>
      <c r="O38" s="5"/>
      <c r="P38" s="5"/>
      <c r="Q38" s="5"/>
      <c r="R38" s="5">
        <v>3</v>
      </c>
      <c r="S38" s="5"/>
      <c r="T38" s="5"/>
      <c r="U38" s="5"/>
      <c r="V38" s="5"/>
      <c r="W38" s="22">
        <f t="shared" si="1"/>
        <v>-3.113</v>
      </c>
      <c r="X38" s="21">
        <f t="shared" si="2"/>
        <v>-0.28955999999999998</v>
      </c>
      <c r="Y38" s="21">
        <f t="shared" si="3"/>
        <v>-0.28214</v>
      </c>
      <c r="Z38" s="11">
        <f t="shared" si="4"/>
        <v>-1</v>
      </c>
      <c r="AA38" s="22">
        <f t="shared" si="5"/>
        <v>-3.1150000000000002</v>
      </c>
      <c r="AB38" s="21">
        <f t="shared" si="6"/>
        <v>-0.29093000000000002</v>
      </c>
      <c r="AC38" s="21">
        <f t="shared" si="7"/>
        <v>-0.28061999999999998</v>
      </c>
      <c r="AD38" s="11">
        <f t="shared" si="8"/>
        <v>-1</v>
      </c>
      <c r="AE38" s="22">
        <f t="shared" si="9"/>
        <v>-3.137</v>
      </c>
      <c r="AF38" s="21">
        <f t="shared" si="10"/>
        <v>-0.28949000000000003</v>
      </c>
      <c r="AG38" s="21">
        <f t="shared" si="11"/>
        <v>-0.27939999999999998</v>
      </c>
      <c r="AH38" s="11">
        <f t="shared" si="12"/>
        <v>-1</v>
      </c>
      <c r="AI38">
        <v>2.5000000000000001E-2</v>
      </c>
      <c r="AJ38">
        <v>-2.5000000000000001E-2</v>
      </c>
      <c r="AK38">
        <v>1.5E-3</v>
      </c>
      <c r="AL38">
        <v>-1.5E-3</v>
      </c>
      <c r="AM38">
        <v>1.5E-3</v>
      </c>
      <c r="AN38">
        <v>-1.5E-3</v>
      </c>
      <c r="AO38" s="16">
        <v>2.5000000000000001E-2</v>
      </c>
      <c r="AP38" s="16">
        <v>-2.5000000000000001E-2</v>
      </c>
      <c r="AQ38">
        <v>1.4999999999999999E-2</v>
      </c>
      <c r="AR38">
        <v>-1.4999999999999999E-2</v>
      </c>
      <c r="AS38">
        <v>1E-3</v>
      </c>
      <c r="AT38">
        <v>-1E-3</v>
      </c>
      <c r="AU38">
        <v>1E-3</v>
      </c>
      <c r="AV38">
        <v>-1E-3</v>
      </c>
      <c r="AW38" s="16">
        <v>1.4999999999999999E-2</v>
      </c>
      <c r="AX38" s="16">
        <v>-1.4999999999999999E-2</v>
      </c>
    </row>
    <row r="39" spans="1:279" customFormat="1">
      <c r="F39" s="17" t="str">
        <f t="shared" si="0"/>
        <v/>
      </c>
      <c r="G39" s="9"/>
      <c r="H39" s="2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22" t="e">
        <f t="shared" si="1"/>
        <v>#N/A</v>
      </c>
      <c r="X39" s="21" t="e">
        <f t="shared" si="2"/>
        <v>#N/A</v>
      </c>
      <c r="Y39" s="21" t="e">
        <f t="shared" si="3"/>
        <v>#N/A</v>
      </c>
      <c r="Z39" s="11" t="e">
        <f t="shared" si="4"/>
        <v>#N/A</v>
      </c>
      <c r="AA39" s="22" t="e">
        <f t="shared" si="5"/>
        <v>#N/A</v>
      </c>
      <c r="AB39" s="21" t="e">
        <f t="shared" si="6"/>
        <v>#N/A</v>
      </c>
      <c r="AC39" s="21" t="e">
        <f t="shared" si="7"/>
        <v>#N/A</v>
      </c>
      <c r="AD39" s="11" t="e">
        <f t="shared" si="8"/>
        <v>#N/A</v>
      </c>
      <c r="AE39" s="22" t="e">
        <f t="shared" si="9"/>
        <v>#N/A</v>
      </c>
      <c r="AF39" s="21" t="e">
        <f t="shared" si="10"/>
        <v>#N/A</v>
      </c>
      <c r="AG39" s="21" t="e">
        <f t="shared" si="11"/>
        <v>#N/A</v>
      </c>
      <c r="AH39" s="11" t="e">
        <f t="shared" si="12"/>
        <v>#N/A</v>
      </c>
      <c r="AI39">
        <v>2.5000000000000001E-2</v>
      </c>
      <c r="AJ39">
        <v>-2.5000000000000001E-2</v>
      </c>
      <c r="AK39">
        <v>1.5E-3</v>
      </c>
      <c r="AL39">
        <v>-1.5E-3</v>
      </c>
      <c r="AM39">
        <v>1.5E-3</v>
      </c>
      <c r="AN39">
        <v>-1.5E-3</v>
      </c>
      <c r="AO39" s="16">
        <v>2.5000000000000001E-2</v>
      </c>
      <c r="AP39" s="16">
        <v>-2.5000000000000001E-2</v>
      </c>
      <c r="AQ39">
        <v>1.4999999999999999E-2</v>
      </c>
      <c r="AR39">
        <v>-1.4999999999999999E-2</v>
      </c>
      <c r="AS39">
        <v>1E-3</v>
      </c>
      <c r="AT39">
        <v>-1E-3</v>
      </c>
      <c r="AU39">
        <v>1E-3</v>
      </c>
      <c r="AV39">
        <v>-1E-3</v>
      </c>
      <c r="AW39" s="16">
        <v>1.4999999999999999E-2</v>
      </c>
      <c r="AX39" s="16">
        <v>-1.4999999999999999E-2</v>
      </c>
    </row>
    <row r="40" spans="1:279" customFormat="1">
      <c r="F40" s="17" t="str">
        <f t="shared" si="0"/>
        <v/>
      </c>
      <c r="G40" s="9"/>
      <c r="H40" s="2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22" t="e">
        <f t="shared" si="1"/>
        <v>#N/A</v>
      </c>
      <c r="X40" s="21" t="e">
        <f t="shared" si="2"/>
        <v>#N/A</v>
      </c>
      <c r="Y40" s="21" t="e">
        <f t="shared" si="3"/>
        <v>#N/A</v>
      </c>
      <c r="Z40" s="11" t="e">
        <f t="shared" si="4"/>
        <v>#N/A</v>
      </c>
      <c r="AA40" s="22" t="e">
        <f t="shared" si="5"/>
        <v>#N/A</v>
      </c>
      <c r="AB40" s="21" t="e">
        <f t="shared" si="6"/>
        <v>#N/A</v>
      </c>
      <c r="AC40" s="21" t="e">
        <f t="shared" si="7"/>
        <v>#N/A</v>
      </c>
      <c r="AD40" s="11" t="e">
        <f t="shared" si="8"/>
        <v>#N/A</v>
      </c>
      <c r="AE40" s="22" t="e">
        <f t="shared" si="9"/>
        <v>#N/A</v>
      </c>
      <c r="AF40" s="21" t="e">
        <f t="shared" si="10"/>
        <v>#N/A</v>
      </c>
      <c r="AG40" s="21" t="e">
        <f t="shared" si="11"/>
        <v>#N/A</v>
      </c>
      <c r="AH40" s="11" t="e">
        <f t="shared" si="12"/>
        <v>#N/A</v>
      </c>
      <c r="AI40">
        <v>2.5000000000000001E-2</v>
      </c>
      <c r="AJ40">
        <v>-2.5000000000000001E-2</v>
      </c>
      <c r="AK40">
        <v>1.5E-3</v>
      </c>
      <c r="AL40">
        <v>-1.5E-3</v>
      </c>
      <c r="AM40">
        <v>1.5E-3</v>
      </c>
      <c r="AN40">
        <v>-1.5E-3</v>
      </c>
      <c r="AO40" s="16">
        <v>2.5000000000000001E-2</v>
      </c>
      <c r="AP40" s="16">
        <v>-2.5000000000000001E-2</v>
      </c>
      <c r="AQ40">
        <v>1.4999999999999999E-2</v>
      </c>
      <c r="AR40">
        <v>-1.4999999999999999E-2</v>
      </c>
      <c r="AS40">
        <v>1E-3</v>
      </c>
      <c r="AT40">
        <v>-1E-3</v>
      </c>
      <c r="AU40">
        <v>1E-3</v>
      </c>
      <c r="AV40">
        <v>-1E-3</v>
      </c>
      <c r="AW40" s="16">
        <v>1.4999999999999999E-2</v>
      </c>
      <c r="AX40" s="16">
        <v>-1.4999999999999999E-2</v>
      </c>
    </row>
    <row r="41" spans="1:279" customFormat="1">
      <c r="F41" s="17" t="str">
        <f t="shared" si="0"/>
        <v/>
      </c>
      <c r="G41" s="9"/>
      <c r="H41" s="25"/>
      <c r="I41" s="5"/>
      <c r="J41" s="5"/>
      <c r="K41" s="5"/>
      <c r="L41" s="5"/>
      <c r="M41" s="5">
        <v>2</v>
      </c>
      <c r="N41" s="5"/>
      <c r="O41" s="5"/>
      <c r="P41" s="5"/>
      <c r="Q41" s="5"/>
      <c r="R41" s="5">
        <v>3</v>
      </c>
      <c r="S41" s="5"/>
      <c r="T41" s="5"/>
      <c r="U41" s="5"/>
      <c r="V41" s="5"/>
      <c r="W41" s="22" t="e">
        <f t="shared" si="1"/>
        <v>#N/A</v>
      </c>
      <c r="X41" s="21" t="e">
        <f t="shared" si="2"/>
        <v>#N/A</v>
      </c>
      <c r="Y41" s="21" t="e">
        <f t="shared" si="3"/>
        <v>#N/A</v>
      </c>
      <c r="Z41" s="11" t="e">
        <f t="shared" si="4"/>
        <v>#N/A</v>
      </c>
      <c r="AA41" s="22">
        <f t="shared" si="5"/>
        <v>-3.1150000000000002</v>
      </c>
      <c r="AB41" s="21">
        <f t="shared" si="6"/>
        <v>-0.29093000000000002</v>
      </c>
      <c r="AC41" s="21">
        <f t="shared" si="7"/>
        <v>-0.28061999999999998</v>
      </c>
      <c r="AD41" s="11">
        <f t="shared" si="8"/>
        <v>-1</v>
      </c>
      <c r="AE41" s="22">
        <f t="shared" si="9"/>
        <v>-3.137</v>
      </c>
      <c r="AF41" s="21">
        <f t="shared" si="10"/>
        <v>-0.28949000000000003</v>
      </c>
      <c r="AG41" s="21">
        <f t="shared" si="11"/>
        <v>-0.27939999999999998</v>
      </c>
      <c r="AH41" s="11">
        <f t="shared" si="12"/>
        <v>-1</v>
      </c>
      <c r="AI41">
        <v>2.5000000000000001E-2</v>
      </c>
      <c r="AJ41">
        <v>-2.5000000000000001E-2</v>
      </c>
      <c r="AK41">
        <v>1.5E-3</v>
      </c>
      <c r="AL41">
        <v>-1.5E-3</v>
      </c>
      <c r="AM41">
        <v>1.5E-3</v>
      </c>
      <c r="AN41">
        <v>-1.5E-3</v>
      </c>
      <c r="AO41" s="16">
        <v>2.5000000000000001E-2</v>
      </c>
      <c r="AP41" s="16">
        <v>-2.5000000000000001E-2</v>
      </c>
      <c r="AQ41">
        <v>1.4999999999999999E-2</v>
      </c>
      <c r="AR41">
        <v>-1.4999999999999999E-2</v>
      </c>
      <c r="AS41">
        <v>1E-3</v>
      </c>
      <c r="AT41">
        <v>-1E-3</v>
      </c>
      <c r="AU41">
        <v>1E-3</v>
      </c>
      <c r="AV41">
        <v>-1E-3</v>
      </c>
      <c r="AW41" s="16">
        <v>1.4999999999999999E-2</v>
      </c>
      <c r="AX41" s="16">
        <v>-1.4999999999999999E-2</v>
      </c>
    </row>
    <row r="42" spans="1:279" customFormat="1">
      <c r="F42" s="17" t="str">
        <f t="shared" si="0"/>
        <v/>
      </c>
      <c r="G42" s="9"/>
      <c r="H42" s="2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22" t="e">
        <f t="shared" si="1"/>
        <v>#N/A</v>
      </c>
      <c r="X42" s="21" t="e">
        <f t="shared" si="2"/>
        <v>#N/A</v>
      </c>
      <c r="Y42" s="21" t="e">
        <f t="shared" si="3"/>
        <v>#N/A</v>
      </c>
      <c r="Z42" s="11" t="e">
        <f t="shared" si="4"/>
        <v>#N/A</v>
      </c>
      <c r="AA42" s="22" t="e">
        <f t="shared" si="5"/>
        <v>#N/A</v>
      </c>
      <c r="AB42" s="21" t="e">
        <f t="shared" si="6"/>
        <v>#N/A</v>
      </c>
      <c r="AC42" s="21" t="e">
        <f t="shared" si="7"/>
        <v>#N/A</v>
      </c>
      <c r="AD42" s="11" t="e">
        <f t="shared" si="8"/>
        <v>#N/A</v>
      </c>
      <c r="AE42" s="22" t="e">
        <f t="shared" si="9"/>
        <v>#N/A</v>
      </c>
      <c r="AF42" s="21" t="e">
        <f t="shared" si="10"/>
        <v>#N/A</v>
      </c>
      <c r="AG42" s="21" t="e">
        <f t="shared" si="11"/>
        <v>#N/A</v>
      </c>
      <c r="AH42" s="11" t="e">
        <f t="shared" si="12"/>
        <v>#N/A</v>
      </c>
      <c r="AI42">
        <v>2.5000000000000001E-2</v>
      </c>
      <c r="AJ42">
        <v>-2.5000000000000001E-2</v>
      </c>
      <c r="AK42">
        <v>1.5E-3</v>
      </c>
      <c r="AL42">
        <v>-1.5E-3</v>
      </c>
      <c r="AM42">
        <v>1.5E-3</v>
      </c>
      <c r="AN42">
        <v>-1.5E-3</v>
      </c>
      <c r="AO42" s="16">
        <v>2.5000000000000001E-2</v>
      </c>
      <c r="AP42" s="16">
        <v>-2.5000000000000001E-2</v>
      </c>
      <c r="AQ42">
        <v>1.4999999999999999E-2</v>
      </c>
      <c r="AR42">
        <v>-1.4999999999999999E-2</v>
      </c>
      <c r="AS42">
        <v>1E-3</v>
      </c>
      <c r="AT42">
        <v>-1E-3</v>
      </c>
      <c r="AU42">
        <v>1E-3</v>
      </c>
      <c r="AV42">
        <v>-1E-3</v>
      </c>
      <c r="AW42" s="16">
        <v>1.4999999999999999E-2</v>
      </c>
      <c r="AX42" s="16">
        <v>-1.4999999999999999E-2</v>
      </c>
    </row>
    <row r="43" spans="1:279" customFormat="1">
      <c r="F43" s="17" t="str">
        <f t="shared" si="0"/>
        <v/>
      </c>
      <c r="G43" s="9"/>
      <c r="H43" s="2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22" t="e">
        <f t="shared" si="1"/>
        <v>#N/A</v>
      </c>
      <c r="X43" s="21" t="e">
        <f t="shared" si="2"/>
        <v>#N/A</v>
      </c>
      <c r="Y43" s="21" t="e">
        <f t="shared" si="3"/>
        <v>#N/A</v>
      </c>
      <c r="Z43" s="11" t="e">
        <f t="shared" si="4"/>
        <v>#N/A</v>
      </c>
      <c r="AA43" s="22" t="e">
        <f t="shared" si="5"/>
        <v>#N/A</v>
      </c>
      <c r="AB43" s="21" t="e">
        <f t="shared" si="6"/>
        <v>#N/A</v>
      </c>
      <c r="AC43" s="21" t="e">
        <f t="shared" si="7"/>
        <v>#N/A</v>
      </c>
      <c r="AD43" s="11" t="e">
        <f t="shared" si="8"/>
        <v>#N/A</v>
      </c>
      <c r="AE43" s="22" t="e">
        <f t="shared" si="9"/>
        <v>#N/A</v>
      </c>
      <c r="AF43" s="21" t="e">
        <f t="shared" si="10"/>
        <v>#N/A</v>
      </c>
      <c r="AG43" s="21" t="e">
        <f t="shared" si="11"/>
        <v>#N/A</v>
      </c>
      <c r="AH43" s="11" t="e">
        <f t="shared" si="12"/>
        <v>#N/A</v>
      </c>
      <c r="AI43">
        <v>2.5000000000000001E-2</v>
      </c>
      <c r="AJ43">
        <v>-2.5000000000000001E-2</v>
      </c>
      <c r="AK43">
        <v>1.5E-3</v>
      </c>
      <c r="AL43">
        <v>-1.5E-3</v>
      </c>
      <c r="AM43">
        <v>1.5E-3</v>
      </c>
      <c r="AN43">
        <v>-1.5E-3</v>
      </c>
      <c r="AO43" s="16">
        <v>2.5000000000000001E-2</v>
      </c>
      <c r="AP43" s="16">
        <v>-2.5000000000000001E-2</v>
      </c>
      <c r="AQ43">
        <v>1.4999999999999999E-2</v>
      </c>
      <c r="AR43">
        <v>-1.4999999999999999E-2</v>
      </c>
      <c r="AS43">
        <v>1E-3</v>
      </c>
      <c r="AT43">
        <v>-1E-3</v>
      </c>
      <c r="AU43">
        <v>1E-3</v>
      </c>
      <c r="AV43">
        <v>-1E-3</v>
      </c>
      <c r="AW43" s="16">
        <v>1.4999999999999999E-2</v>
      </c>
      <c r="AX43" s="16">
        <v>-1.4999999999999999E-2</v>
      </c>
    </row>
    <row r="44" spans="1:279" customFormat="1">
      <c r="F44" s="17" t="str">
        <f t="shared" si="0"/>
        <v/>
      </c>
      <c r="G44" s="9"/>
      <c r="H44" s="2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22" t="e">
        <f t="shared" si="1"/>
        <v>#N/A</v>
      </c>
      <c r="X44" s="21" t="e">
        <f t="shared" si="2"/>
        <v>#N/A</v>
      </c>
      <c r="Y44" s="21" t="e">
        <f t="shared" si="3"/>
        <v>#N/A</v>
      </c>
      <c r="Z44" s="11" t="e">
        <f t="shared" si="4"/>
        <v>#N/A</v>
      </c>
      <c r="AA44" s="22" t="e">
        <f t="shared" si="5"/>
        <v>#N/A</v>
      </c>
      <c r="AB44" s="21" t="e">
        <f t="shared" si="6"/>
        <v>#N/A</v>
      </c>
      <c r="AC44" s="21" t="e">
        <f t="shared" si="7"/>
        <v>#N/A</v>
      </c>
      <c r="AD44" s="11" t="e">
        <f t="shared" si="8"/>
        <v>#N/A</v>
      </c>
      <c r="AE44" s="22" t="e">
        <f t="shared" si="9"/>
        <v>#N/A</v>
      </c>
      <c r="AF44" s="21" t="e">
        <f t="shared" si="10"/>
        <v>#N/A</v>
      </c>
      <c r="AG44" s="21" t="e">
        <f t="shared" si="11"/>
        <v>#N/A</v>
      </c>
      <c r="AH44" s="11" t="e">
        <f t="shared" si="12"/>
        <v>#N/A</v>
      </c>
      <c r="AI44">
        <v>2.5000000000000001E-2</v>
      </c>
      <c r="AJ44">
        <v>-2.5000000000000001E-2</v>
      </c>
      <c r="AK44">
        <v>1.5E-3</v>
      </c>
      <c r="AL44">
        <v>-1.5E-3</v>
      </c>
      <c r="AM44">
        <v>1.5E-3</v>
      </c>
      <c r="AN44">
        <v>-1.5E-3</v>
      </c>
      <c r="AO44" s="16">
        <v>2.5000000000000001E-2</v>
      </c>
      <c r="AP44" s="16">
        <v>-2.5000000000000001E-2</v>
      </c>
      <c r="AQ44">
        <v>1.4999999999999999E-2</v>
      </c>
      <c r="AR44">
        <v>-1.4999999999999999E-2</v>
      </c>
      <c r="AS44">
        <v>1E-3</v>
      </c>
      <c r="AT44">
        <v>-1E-3</v>
      </c>
      <c r="AU44">
        <v>1E-3</v>
      </c>
      <c r="AV44">
        <v>-1E-3</v>
      </c>
      <c r="AW44" s="16">
        <v>1.4999999999999999E-2</v>
      </c>
      <c r="AX44" s="16">
        <v>-1.4999999999999999E-2</v>
      </c>
    </row>
    <row r="45" spans="1:279" customFormat="1">
      <c r="F45" s="17" t="str">
        <f t="shared" si="0"/>
        <v/>
      </c>
      <c r="G45" s="9"/>
      <c r="H45" s="2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22" t="e">
        <f t="shared" si="1"/>
        <v>#N/A</v>
      </c>
      <c r="X45" s="21" t="e">
        <f t="shared" si="2"/>
        <v>#N/A</v>
      </c>
      <c r="Y45" s="21" t="e">
        <f t="shared" si="3"/>
        <v>#N/A</v>
      </c>
      <c r="Z45" s="11" t="e">
        <f t="shared" si="4"/>
        <v>#N/A</v>
      </c>
      <c r="AA45" s="22" t="e">
        <f t="shared" si="5"/>
        <v>#N/A</v>
      </c>
      <c r="AB45" s="21" t="e">
        <f t="shared" si="6"/>
        <v>#N/A</v>
      </c>
      <c r="AC45" s="21" t="e">
        <f t="shared" si="7"/>
        <v>#N/A</v>
      </c>
      <c r="AD45" s="11" t="e">
        <f t="shared" si="8"/>
        <v>#N/A</v>
      </c>
      <c r="AE45" s="22" t="e">
        <f t="shared" si="9"/>
        <v>#N/A</v>
      </c>
      <c r="AF45" s="21" t="e">
        <f t="shared" si="10"/>
        <v>#N/A</v>
      </c>
      <c r="AG45" s="21" t="e">
        <f t="shared" si="11"/>
        <v>#N/A</v>
      </c>
      <c r="AH45" s="11" t="e">
        <f t="shared" si="12"/>
        <v>#N/A</v>
      </c>
      <c r="AI45">
        <v>2.5000000000000001E-2</v>
      </c>
      <c r="AJ45">
        <v>-2.5000000000000001E-2</v>
      </c>
      <c r="AK45">
        <v>1.5E-3</v>
      </c>
      <c r="AL45">
        <v>-1.5E-3</v>
      </c>
      <c r="AM45">
        <v>1.5E-3</v>
      </c>
      <c r="AN45">
        <v>-1.5E-3</v>
      </c>
      <c r="AO45" s="16">
        <v>2.5000000000000001E-2</v>
      </c>
      <c r="AP45" s="16">
        <v>-2.5000000000000001E-2</v>
      </c>
      <c r="AQ45">
        <v>1.4999999999999999E-2</v>
      </c>
      <c r="AR45">
        <v>-1.4999999999999999E-2</v>
      </c>
      <c r="AS45">
        <v>1E-3</v>
      </c>
      <c r="AT45">
        <v>-1E-3</v>
      </c>
      <c r="AU45">
        <v>1E-3</v>
      </c>
      <c r="AV45">
        <v>-1E-3</v>
      </c>
      <c r="AW45" s="16">
        <v>1.4999999999999999E-2</v>
      </c>
      <c r="AX45" s="16">
        <v>-1.4999999999999999E-2</v>
      </c>
    </row>
    <row r="46" spans="1:279" customFormat="1">
      <c r="F46" s="17" t="str">
        <f t="shared" si="0"/>
        <v/>
      </c>
      <c r="G46" s="9"/>
      <c r="H46" s="2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22" t="e">
        <f t="shared" si="1"/>
        <v>#N/A</v>
      </c>
      <c r="X46" s="21" t="e">
        <f t="shared" si="2"/>
        <v>#N/A</v>
      </c>
      <c r="Y46" s="21" t="e">
        <f t="shared" si="3"/>
        <v>#N/A</v>
      </c>
      <c r="Z46" s="11" t="e">
        <f t="shared" si="4"/>
        <v>#N/A</v>
      </c>
      <c r="AA46" s="22" t="e">
        <f t="shared" si="5"/>
        <v>#N/A</v>
      </c>
      <c r="AB46" s="21" t="e">
        <f t="shared" si="6"/>
        <v>#N/A</v>
      </c>
      <c r="AC46" s="21" t="e">
        <f t="shared" si="7"/>
        <v>#N/A</v>
      </c>
      <c r="AD46" s="11" t="e">
        <f t="shared" si="8"/>
        <v>#N/A</v>
      </c>
      <c r="AE46" s="22" t="e">
        <f t="shared" si="9"/>
        <v>#N/A</v>
      </c>
      <c r="AF46" s="21" t="e">
        <f t="shared" si="10"/>
        <v>#N/A</v>
      </c>
      <c r="AG46" s="21" t="e">
        <f t="shared" si="11"/>
        <v>#N/A</v>
      </c>
      <c r="AH46" s="11" t="e">
        <f t="shared" si="12"/>
        <v>#N/A</v>
      </c>
      <c r="AI46">
        <v>2.5000000000000001E-2</v>
      </c>
      <c r="AJ46">
        <v>-2.5000000000000001E-2</v>
      </c>
      <c r="AK46">
        <v>1.5E-3</v>
      </c>
      <c r="AL46">
        <v>-1.5E-3</v>
      </c>
      <c r="AM46">
        <v>1.5E-3</v>
      </c>
      <c r="AN46">
        <v>-1.5E-3</v>
      </c>
      <c r="AO46" s="16">
        <v>2.5000000000000001E-2</v>
      </c>
      <c r="AP46" s="16">
        <v>-2.5000000000000001E-2</v>
      </c>
      <c r="AQ46">
        <v>1.4999999999999999E-2</v>
      </c>
      <c r="AR46">
        <v>-1.4999999999999999E-2</v>
      </c>
      <c r="AS46">
        <v>1E-3</v>
      </c>
      <c r="AT46">
        <v>-1E-3</v>
      </c>
      <c r="AU46">
        <v>1E-3</v>
      </c>
      <c r="AV46">
        <v>-1E-3</v>
      </c>
      <c r="AW46" s="16">
        <v>1.4999999999999999E-2</v>
      </c>
      <c r="AX46" s="16">
        <v>-1.4999999999999999E-2</v>
      </c>
      <c r="JR46">
        <v>12.849506578947368</v>
      </c>
      <c r="JS46">
        <v>25.699013157894736</v>
      </c>
    </row>
    <row r="47" spans="1:279" customFormat="1">
      <c r="F47" s="17" t="str">
        <f t="shared" si="0"/>
        <v/>
      </c>
      <c r="G47" s="9"/>
      <c r="H47" s="2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22" t="e">
        <f t="shared" si="1"/>
        <v>#N/A</v>
      </c>
      <c r="X47" s="21" t="e">
        <f t="shared" si="2"/>
        <v>#N/A</v>
      </c>
      <c r="Y47" s="21" t="e">
        <f t="shared" si="3"/>
        <v>#N/A</v>
      </c>
      <c r="Z47" s="11" t="e">
        <f t="shared" si="4"/>
        <v>#N/A</v>
      </c>
      <c r="AA47" s="22" t="e">
        <f t="shared" si="5"/>
        <v>#N/A</v>
      </c>
      <c r="AB47" s="21" t="e">
        <f t="shared" si="6"/>
        <v>#N/A</v>
      </c>
      <c r="AC47" s="21" t="e">
        <f t="shared" si="7"/>
        <v>#N/A</v>
      </c>
      <c r="AD47" s="11" t="e">
        <f t="shared" si="8"/>
        <v>#N/A</v>
      </c>
      <c r="AE47" s="22" t="e">
        <f t="shared" si="9"/>
        <v>#N/A</v>
      </c>
      <c r="AF47" s="21" t="e">
        <f t="shared" si="10"/>
        <v>#N/A</v>
      </c>
      <c r="AG47" s="21" t="e">
        <f t="shared" si="11"/>
        <v>#N/A</v>
      </c>
      <c r="AH47" s="11" t="e">
        <f t="shared" si="12"/>
        <v>#N/A</v>
      </c>
      <c r="AI47">
        <v>2.5000000000000001E-2</v>
      </c>
      <c r="AJ47">
        <v>-2.5000000000000001E-2</v>
      </c>
      <c r="AK47">
        <v>1.5E-3</v>
      </c>
      <c r="AL47">
        <v>-1.5E-3</v>
      </c>
      <c r="AM47">
        <v>1.5E-3</v>
      </c>
      <c r="AN47">
        <v>-1.5E-3</v>
      </c>
      <c r="AO47" s="16">
        <v>2.5000000000000001E-2</v>
      </c>
      <c r="AP47" s="16">
        <v>-2.5000000000000001E-2</v>
      </c>
      <c r="AQ47">
        <v>1.4999999999999999E-2</v>
      </c>
      <c r="AR47">
        <v>-1.4999999999999999E-2</v>
      </c>
      <c r="AS47">
        <v>1E-3</v>
      </c>
      <c r="AT47">
        <v>-1E-3</v>
      </c>
      <c r="AU47">
        <v>1E-3</v>
      </c>
      <c r="AV47">
        <v>-1E-3</v>
      </c>
      <c r="AW47" s="16">
        <v>1.4999999999999999E-2</v>
      </c>
      <c r="AX47" s="16">
        <v>-1.4999999999999999E-2</v>
      </c>
    </row>
    <row r="48" spans="1:279" customFormat="1">
      <c r="F48" s="17" t="str">
        <f t="shared" si="0"/>
        <v/>
      </c>
      <c r="G48" s="9"/>
      <c r="H48" s="2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22" t="e">
        <f t="shared" si="1"/>
        <v>#N/A</v>
      </c>
      <c r="X48" s="21" t="e">
        <f t="shared" si="2"/>
        <v>#N/A</v>
      </c>
      <c r="Y48" s="21" t="e">
        <f t="shared" si="3"/>
        <v>#N/A</v>
      </c>
      <c r="Z48" s="11" t="e">
        <f t="shared" si="4"/>
        <v>#N/A</v>
      </c>
      <c r="AA48" s="22" t="e">
        <f t="shared" si="5"/>
        <v>#N/A</v>
      </c>
      <c r="AB48" s="21" t="e">
        <f t="shared" si="6"/>
        <v>#N/A</v>
      </c>
      <c r="AC48" s="21" t="e">
        <f t="shared" si="7"/>
        <v>#N/A</v>
      </c>
      <c r="AD48" s="11" t="e">
        <f t="shared" si="8"/>
        <v>#N/A</v>
      </c>
      <c r="AE48" s="22" t="e">
        <f t="shared" si="9"/>
        <v>#N/A</v>
      </c>
      <c r="AF48" s="21" t="e">
        <f t="shared" si="10"/>
        <v>#N/A</v>
      </c>
      <c r="AG48" s="21" t="e">
        <f t="shared" si="11"/>
        <v>#N/A</v>
      </c>
      <c r="AH48" s="11" t="e">
        <f t="shared" si="12"/>
        <v>#N/A</v>
      </c>
      <c r="AI48">
        <v>2.5000000000000001E-2</v>
      </c>
      <c r="AJ48">
        <v>-2.5000000000000001E-2</v>
      </c>
      <c r="AK48">
        <v>1.5E-3</v>
      </c>
      <c r="AL48">
        <v>-1.5E-3</v>
      </c>
      <c r="AM48">
        <v>1.5E-3</v>
      </c>
      <c r="AN48">
        <v>-1.5E-3</v>
      </c>
      <c r="AO48" s="16">
        <v>2.5000000000000001E-2</v>
      </c>
      <c r="AP48" s="16">
        <v>-2.5000000000000001E-2</v>
      </c>
      <c r="AQ48">
        <v>1.4999999999999999E-2</v>
      </c>
      <c r="AR48">
        <v>-1.4999999999999999E-2</v>
      </c>
      <c r="AS48">
        <v>1E-3</v>
      </c>
      <c r="AT48">
        <v>-1E-3</v>
      </c>
      <c r="AU48">
        <v>1E-3</v>
      </c>
      <c r="AV48">
        <v>-1E-3</v>
      </c>
      <c r="AW48" s="16">
        <v>1.4999999999999999E-2</v>
      </c>
      <c r="AX48" s="16">
        <v>-1.4999999999999999E-2</v>
      </c>
      <c r="JQ48">
        <v>12.849506578947368</v>
      </c>
      <c r="JR48">
        <v>12.849506578947368</v>
      </c>
      <c r="JS48">
        <v>12.849506578947368</v>
      </c>
    </row>
    <row r="49" spans="6:279" customFormat="1">
      <c r="F49" s="17" t="str">
        <f t="shared" si="0"/>
        <v/>
      </c>
      <c r="G49" s="9"/>
      <c r="H49" s="2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22" t="e">
        <f t="shared" si="1"/>
        <v>#N/A</v>
      </c>
      <c r="X49" s="21" t="e">
        <f t="shared" si="2"/>
        <v>#N/A</v>
      </c>
      <c r="Y49" s="21" t="e">
        <f t="shared" si="3"/>
        <v>#N/A</v>
      </c>
      <c r="Z49" s="11" t="e">
        <f t="shared" si="4"/>
        <v>#N/A</v>
      </c>
      <c r="AA49" s="22" t="e">
        <f t="shared" si="5"/>
        <v>#N/A</v>
      </c>
      <c r="AB49" s="21" t="e">
        <f t="shared" si="6"/>
        <v>#N/A</v>
      </c>
      <c r="AC49" s="21" t="e">
        <f t="shared" si="7"/>
        <v>#N/A</v>
      </c>
      <c r="AD49" s="11" t="e">
        <f t="shared" si="8"/>
        <v>#N/A</v>
      </c>
      <c r="AE49" s="22" t="e">
        <f t="shared" si="9"/>
        <v>#N/A</v>
      </c>
      <c r="AF49" s="21" t="e">
        <f t="shared" si="10"/>
        <v>#N/A</v>
      </c>
      <c r="AG49" s="21" t="e">
        <f t="shared" si="11"/>
        <v>#N/A</v>
      </c>
      <c r="AH49" s="11" t="e">
        <f t="shared" si="12"/>
        <v>#N/A</v>
      </c>
      <c r="AI49">
        <v>2.5000000000000001E-2</v>
      </c>
      <c r="AJ49">
        <v>-2.5000000000000001E-2</v>
      </c>
      <c r="AK49">
        <v>1.5E-3</v>
      </c>
      <c r="AL49">
        <v>-1.5E-3</v>
      </c>
      <c r="AM49">
        <v>1.5E-3</v>
      </c>
      <c r="AN49">
        <v>-1.5E-3</v>
      </c>
      <c r="AO49" s="16">
        <v>2.5000000000000001E-2</v>
      </c>
      <c r="AP49" s="16">
        <v>-2.5000000000000001E-2</v>
      </c>
      <c r="AQ49">
        <v>1.4999999999999999E-2</v>
      </c>
      <c r="AR49">
        <v>-1.4999999999999999E-2</v>
      </c>
      <c r="AS49">
        <v>1E-3</v>
      </c>
      <c r="AT49">
        <v>-1E-3</v>
      </c>
      <c r="AU49">
        <v>1E-3</v>
      </c>
      <c r="AV49">
        <v>-1E-3</v>
      </c>
      <c r="AW49" s="16">
        <v>1.4999999999999999E-2</v>
      </c>
      <c r="AX49" s="16">
        <v>-1.4999999999999999E-2</v>
      </c>
    </row>
    <row r="50" spans="6:279" customFormat="1">
      <c r="F50" s="17" t="str">
        <f t="shared" si="0"/>
        <v/>
      </c>
      <c r="G50" s="9"/>
      <c r="H50" s="2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22" t="e">
        <f t="shared" si="1"/>
        <v>#N/A</v>
      </c>
      <c r="X50" s="21" t="e">
        <f t="shared" si="2"/>
        <v>#N/A</v>
      </c>
      <c r="Y50" s="21" t="e">
        <f t="shared" si="3"/>
        <v>#N/A</v>
      </c>
      <c r="Z50" s="11" t="e">
        <f t="shared" si="4"/>
        <v>#N/A</v>
      </c>
      <c r="AA50" s="22" t="e">
        <f t="shared" si="5"/>
        <v>#N/A</v>
      </c>
      <c r="AB50" s="21" t="e">
        <f t="shared" si="6"/>
        <v>#N/A</v>
      </c>
      <c r="AC50" s="21" t="e">
        <f t="shared" si="7"/>
        <v>#N/A</v>
      </c>
      <c r="AD50" s="11" t="e">
        <f t="shared" si="8"/>
        <v>#N/A</v>
      </c>
      <c r="AE50" s="22" t="e">
        <f t="shared" si="9"/>
        <v>#N/A</v>
      </c>
      <c r="AF50" s="21" t="e">
        <f t="shared" si="10"/>
        <v>#N/A</v>
      </c>
      <c r="AG50" s="21" t="e">
        <f t="shared" si="11"/>
        <v>#N/A</v>
      </c>
      <c r="AH50" s="11" t="e">
        <f t="shared" si="12"/>
        <v>#N/A</v>
      </c>
      <c r="AI50">
        <v>2.5000000000000001E-2</v>
      </c>
      <c r="AJ50">
        <v>-2.5000000000000001E-2</v>
      </c>
      <c r="AK50">
        <v>1.5E-3</v>
      </c>
      <c r="AL50">
        <v>-1.5E-3</v>
      </c>
      <c r="AM50">
        <v>1.5E-3</v>
      </c>
      <c r="AN50">
        <v>-1.5E-3</v>
      </c>
      <c r="AO50" s="16">
        <v>2.5000000000000001E-2</v>
      </c>
      <c r="AP50" s="16">
        <v>-2.5000000000000001E-2</v>
      </c>
      <c r="AQ50">
        <v>1.4999999999999999E-2</v>
      </c>
      <c r="AR50">
        <v>-1.4999999999999999E-2</v>
      </c>
      <c r="AS50">
        <v>1E-3</v>
      </c>
      <c r="AT50">
        <v>-1E-3</v>
      </c>
      <c r="AU50">
        <v>1E-3</v>
      </c>
      <c r="AV50">
        <v>-1E-3</v>
      </c>
      <c r="AW50" s="16">
        <v>1.4999999999999999E-2</v>
      </c>
      <c r="AX50" s="16">
        <v>-1.4999999999999999E-2</v>
      </c>
    </row>
    <row r="51" spans="6:279" customFormat="1">
      <c r="F51" s="17" t="str">
        <f t="shared" si="0"/>
        <v/>
      </c>
      <c r="G51" s="9"/>
      <c r="H51" s="2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22" t="e">
        <f t="shared" si="1"/>
        <v>#N/A</v>
      </c>
      <c r="X51" s="21" t="e">
        <f t="shared" si="2"/>
        <v>#N/A</v>
      </c>
      <c r="Y51" s="21" t="e">
        <f t="shared" si="3"/>
        <v>#N/A</v>
      </c>
      <c r="Z51" s="11" t="e">
        <f t="shared" si="4"/>
        <v>#N/A</v>
      </c>
      <c r="AA51" s="22" t="e">
        <f t="shared" si="5"/>
        <v>#N/A</v>
      </c>
      <c r="AB51" s="21" t="e">
        <f t="shared" si="6"/>
        <v>#N/A</v>
      </c>
      <c r="AC51" s="21" t="e">
        <f t="shared" si="7"/>
        <v>#N/A</v>
      </c>
      <c r="AD51" s="11" t="e">
        <f t="shared" si="8"/>
        <v>#N/A</v>
      </c>
      <c r="AE51" s="22" t="e">
        <f t="shared" si="9"/>
        <v>#N/A</v>
      </c>
      <c r="AF51" s="21" t="e">
        <f t="shared" si="10"/>
        <v>#N/A</v>
      </c>
      <c r="AG51" s="21" t="e">
        <f t="shared" si="11"/>
        <v>#N/A</v>
      </c>
      <c r="AH51" s="11" t="e">
        <f t="shared" si="12"/>
        <v>#N/A</v>
      </c>
      <c r="AI51">
        <v>2.5000000000000001E-2</v>
      </c>
      <c r="AJ51">
        <v>-2.5000000000000001E-2</v>
      </c>
      <c r="AK51">
        <v>1.5E-3</v>
      </c>
      <c r="AL51">
        <v>-1.5E-3</v>
      </c>
      <c r="AM51">
        <v>1.5E-3</v>
      </c>
      <c r="AN51">
        <v>-1.5E-3</v>
      </c>
      <c r="AO51" s="16">
        <v>2.5000000000000001E-2</v>
      </c>
      <c r="AP51" s="16">
        <v>-2.5000000000000001E-2</v>
      </c>
      <c r="AQ51">
        <v>1.4999999999999999E-2</v>
      </c>
      <c r="AR51">
        <v>-1.4999999999999999E-2</v>
      </c>
      <c r="AS51">
        <v>1E-3</v>
      </c>
      <c r="AT51">
        <v>-1E-3</v>
      </c>
      <c r="AU51">
        <v>1E-3</v>
      </c>
      <c r="AV51">
        <v>-1E-3</v>
      </c>
      <c r="AW51" s="16">
        <v>1.4999999999999999E-2</v>
      </c>
      <c r="AX51" s="16">
        <v>-1.4999999999999999E-2</v>
      </c>
    </row>
    <row r="52" spans="6:279" customFormat="1">
      <c r="F52" s="17" t="str">
        <f t="shared" si="0"/>
        <v/>
      </c>
      <c r="G52" s="9"/>
      <c r="H52" s="2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22" t="e">
        <f t="shared" si="1"/>
        <v>#N/A</v>
      </c>
      <c r="X52" s="21" t="e">
        <f t="shared" si="2"/>
        <v>#N/A</v>
      </c>
      <c r="Y52" s="21" t="e">
        <f t="shared" si="3"/>
        <v>#N/A</v>
      </c>
      <c r="Z52" s="11" t="e">
        <f t="shared" si="4"/>
        <v>#N/A</v>
      </c>
      <c r="AA52" s="22" t="e">
        <f t="shared" si="5"/>
        <v>#N/A</v>
      </c>
      <c r="AB52" s="21" t="e">
        <f t="shared" si="6"/>
        <v>#N/A</v>
      </c>
      <c r="AC52" s="21" t="e">
        <f t="shared" si="7"/>
        <v>#N/A</v>
      </c>
      <c r="AD52" s="11" t="e">
        <f t="shared" si="8"/>
        <v>#N/A</v>
      </c>
      <c r="AE52" s="22" t="e">
        <f t="shared" si="9"/>
        <v>#N/A</v>
      </c>
      <c r="AF52" s="21" t="e">
        <f t="shared" si="10"/>
        <v>#N/A</v>
      </c>
      <c r="AG52" s="21" t="e">
        <f t="shared" si="11"/>
        <v>#N/A</v>
      </c>
      <c r="AH52" s="11" t="e">
        <f t="shared" si="12"/>
        <v>#N/A</v>
      </c>
      <c r="AI52">
        <v>2.5000000000000001E-2</v>
      </c>
      <c r="AJ52">
        <v>-2.5000000000000001E-2</v>
      </c>
      <c r="AK52">
        <v>1.5E-3</v>
      </c>
      <c r="AL52">
        <v>-1.5E-3</v>
      </c>
      <c r="AM52">
        <v>1.5E-3</v>
      </c>
      <c r="AN52">
        <v>-1.5E-3</v>
      </c>
      <c r="AO52" s="16">
        <v>2.5000000000000001E-2</v>
      </c>
      <c r="AP52" s="16">
        <v>-2.5000000000000001E-2</v>
      </c>
      <c r="AQ52">
        <v>1.4999999999999999E-2</v>
      </c>
      <c r="AR52">
        <v>-1.4999999999999999E-2</v>
      </c>
      <c r="AS52">
        <v>1E-3</v>
      </c>
      <c r="AT52">
        <v>-1E-3</v>
      </c>
      <c r="AU52">
        <v>1E-3</v>
      </c>
      <c r="AV52">
        <v>-1E-3</v>
      </c>
      <c r="AW52" s="16">
        <v>1.4999999999999999E-2</v>
      </c>
      <c r="AX52" s="16">
        <v>-1.4999999999999999E-2</v>
      </c>
    </row>
    <row r="53" spans="6:279" customFormat="1">
      <c r="F53" s="17" t="str">
        <f t="shared" si="0"/>
        <v/>
      </c>
      <c r="G53" s="9"/>
      <c r="H53" s="2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22" t="e">
        <f t="shared" si="1"/>
        <v>#N/A</v>
      </c>
      <c r="X53" s="21" t="e">
        <f t="shared" si="2"/>
        <v>#N/A</v>
      </c>
      <c r="Y53" s="21" t="e">
        <f t="shared" si="3"/>
        <v>#N/A</v>
      </c>
      <c r="Z53" s="11" t="e">
        <f t="shared" si="4"/>
        <v>#N/A</v>
      </c>
      <c r="AA53" s="22" t="e">
        <f t="shared" si="5"/>
        <v>#N/A</v>
      </c>
      <c r="AB53" s="21" t="e">
        <f t="shared" si="6"/>
        <v>#N/A</v>
      </c>
      <c r="AC53" s="21" t="e">
        <f t="shared" si="7"/>
        <v>#N/A</v>
      </c>
      <c r="AD53" s="11" t="e">
        <f t="shared" si="8"/>
        <v>#N/A</v>
      </c>
      <c r="AE53" s="22" t="e">
        <f t="shared" si="9"/>
        <v>#N/A</v>
      </c>
      <c r="AF53" s="21" t="e">
        <f t="shared" si="10"/>
        <v>#N/A</v>
      </c>
      <c r="AG53" s="21" t="e">
        <f t="shared" si="11"/>
        <v>#N/A</v>
      </c>
      <c r="AH53" s="11" t="e">
        <f t="shared" si="12"/>
        <v>#N/A</v>
      </c>
      <c r="AI53">
        <v>2.5000000000000001E-2</v>
      </c>
      <c r="AJ53">
        <v>-2.5000000000000001E-2</v>
      </c>
      <c r="AK53">
        <v>1.5E-3</v>
      </c>
      <c r="AL53">
        <v>-1.5E-3</v>
      </c>
      <c r="AM53">
        <v>1.5E-3</v>
      </c>
      <c r="AN53">
        <v>-1.5E-3</v>
      </c>
      <c r="AO53" s="16">
        <v>2.5000000000000001E-2</v>
      </c>
      <c r="AP53" s="16">
        <v>-2.5000000000000001E-2</v>
      </c>
      <c r="AQ53">
        <v>1.4999999999999999E-2</v>
      </c>
      <c r="AR53">
        <v>-1.4999999999999999E-2</v>
      </c>
      <c r="AS53">
        <v>1E-3</v>
      </c>
      <c r="AT53">
        <v>-1E-3</v>
      </c>
      <c r="AU53">
        <v>1E-3</v>
      </c>
      <c r="AV53">
        <v>-1E-3</v>
      </c>
      <c r="AW53" s="16">
        <v>1.4999999999999999E-2</v>
      </c>
      <c r="AX53" s="16">
        <v>-1.4999999999999999E-2</v>
      </c>
      <c r="JR53">
        <v>12.849506578947368</v>
      </c>
    </row>
    <row r="54" spans="6:279" customFormat="1">
      <c r="F54" s="17" t="str">
        <f t="shared" si="0"/>
        <v/>
      </c>
      <c r="G54" s="9"/>
      <c r="H54" s="2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22" t="e">
        <f t="shared" si="1"/>
        <v>#N/A</v>
      </c>
      <c r="X54" s="21" t="e">
        <f t="shared" si="2"/>
        <v>#N/A</v>
      </c>
      <c r="Y54" s="21" t="e">
        <f t="shared" si="3"/>
        <v>#N/A</v>
      </c>
      <c r="Z54" s="11" t="e">
        <f t="shared" si="4"/>
        <v>#N/A</v>
      </c>
      <c r="AA54" s="22" t="e">
        <f t="shared" si="5"/>
        <v>#N/A</v>
      </c>
      <c r="AB54" s="21" t="e">
        <f t="shared" si="6"/>
        <v>#N/A</v>
      </c>
      <c r="AC54" s="21" t="e">
        <f t="shared" si="7"/>
        <v>#N/A</v>
      </c>
      <c r="AD54" s="11" t="e">
        <f t="shared" si="8"/>
        <v>#N/A</v>
      </c>
      <c r="AE54" s="22" t="e">
        <f t="shared" si="9"/>
        <v>#N/A</v>
      </c>
      <c r="AF54" s="21" t="e">
        <f t="shared" si="10"/>
        <v>#N/A</v>
      </c>
      <c r="AG54" s="21" t="e">
        <f t="shared" si="11"/>
        <v>#N/A</v>
      </c>
      <c r="AH54" s="11" t="e">
        <f t="shared" si="12"/>
        <v>#N/A</v>
      </c>
      <c r="AI54">
        <v>2.5000000000000001E-2</v>
      </c>
      <c r="AJ54">
        <v>-2.5000000000000001E-2</v>
      </c>
      <c r="AK54">
        <v>1.5E-3</v>
      </c>
      <c r="AL54">
        <v>-1.5E-3</v>
      </c>
      <c r="AM54">
        <v>1.5E-3</v>
      </c>
      <c r="AN54">
        <v>-1.5E-3</v>
      </c>
      <c r="AO54" s="16">
        <v>2.5000000000000001E-2</v>
      </c>
      <c r="AP54" s="16">
        <v>-2.5000000000000001E-2</v>
      </c>
      <c r="AQ54">
        <v>1.4999999999999999E-2</v>
      </c>
      <c r="AR54">
        <v>-1.4999999999999999E-2</v>
      </c>
      <c r="AS54">
        <v>1E-3</v>
      </c>
      <c r="AT54">
        <v>-1E-3</v>
      </c>
      <c r="AU54">
        <v>1E-3</v>
      </c>
      <c r="AV54">
        <v>-1E-3</v>
      </c>
      <c r="AW54" s="16">
        <v>1.4999999999999999E-2</v>
      </c>
      <c r="AX54" s="16">
        <v>-1.4999999999999999E-2</v>
      </c>
    </row>
    <row r="55" spans="6:279" customFormat="1">
      <c r="F55" s="17" t="str">
        <f t="shared" si="0"/>
        <v/>
      </c>
      <c r="G55" s="9"/>
      <c r="H55" s="2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22" t="e">
        <f t="shared" si="1"/>
        <v>#N/A</v>
      </c>
      <c r="X55" s="21" t="e">
        <f t="shared" si="2"/>
        <v>#N/A</v>
      </c>
      <c r="Y55" s="21" t="e">
        <f t="shared" si="3"/>
        <v>#N/A</v>
      </c>
      <c r="Z55" s="11" t="e">
        <f t="shared" si="4"/>
        <v>#N/A</v>
      </c>
      <c r="AA55" s="22" t="e">
        <f t="shared" si="5"/>
        <v>#N/A</v>
      </c>
      <c r="AB55" s="21" t="e">
        <f t="shared" si="6"/>
        <v>#N/A</v>
      </c>
      <c r="AC55" s="21" t="e">
        <f t="shared" si="7"/>
        <v>#N/A</v>
      </c>
      <c r="AD55" s="11" t="e">
        <f t="shared" si="8"/>
        <v>#N/A</v>
      </c>
      <c r="AE55" s="22" t="e">
        <f t="shared" si="9"/>
        <v>#N/A</v>
      </c>
      <c r="AF55" s="21" t="e">
        <f t="shared" si="10"/>
        <v>#N/A</v>
      </c>
      <c r="AG55" s="21" t="e">
        <f t="shared" si="11"/>
        <v>#N/A</v>
      </c>
      <c r="AH55" s="11" t="e">
        <f t="shared" si="12"/>
        <v>#N/A</v>
      </c>
      <c r="AI55">
        <v>2.5000000000000001E-2</v>
      </c>
      <c r="AJ55">
        <v>-2.5000000000000001E-2</v>
      </c>
      <c r="AK55">
        <v>1.5E-3</v>
      </c>
      <c r="AL55">
        <v>-1.5E-3</v>
      </c>
      <c r="AM55">
        <v>1.5E-3</v>
      </c>
      <c r="AN55">
        <v>-1.5E-3</v>
      </c>
      <c r="AO55" s="16">
        <v>2.5000000000000001E-2</v>
      </c>
      <c r="AP55" s="16">
        <v>-2.5000000000000001E-2</v>
      </c>
      <c r="AQ55">
        <v>1.4999999999999999E-2</v>
      </c>
      <c r="AR55">
        <v>-1.4999999999999999E-2</v>
      </c>
      <c r="AS55">
        <v>1E-3</v>
      </c>
      <c r="AT55">
        <v>-1E-3</v>
      </c>
      <c r="AU55">
        <v>1E-3</v>
      </c>
      <c r="AV55">
        <v>-1E-3</v>
      </c>
      <c r="AW55" s="16">
        <v>1.4999999999999999E-2</v>
      </c>
      <c r="AX55" s="16">
        <v>-1.4999999999999999E-2</v>
      </c>
      <c r="JR55">
        <v>12.849506578947368</v>
      </c>
      <c r="JS55">
        <v>12.849506578947368</v>
      </c>
    </row>
    <row r="56" spans="6:279" customFormat="1">
      <c r="F56" s="17" t="str">
        <f t="shared" si="0"/>
        <v/>
      </c>
      <c r="G56" s="9"/>
      <c r="H56" s="2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22" t="e">
        <f t="shared" si="1"/>
        <v>#N/A</v>
      </c>
      <c r="X56" s="21" t="e">
        <f t="shared" si="2"/>
        <v>#N/A</v>
      </c>
      <c r="Y56" s="21" t="e">
        <f t="shared" si="3"/>
        <v>#N/A</v>
      </c>
      <c r="Z56" s="11" t="e">
        <f t="shared" si="4"/>
        <v>#N/A</v>
      </c>
      <c r="AA56" s="22" t="e">
        <f t="shared" si="5"/>
        <v>#N/A</v>
      </c>
      <c r="AB56" s="21" t="e">
        <f t="shared" si="6"/>
        <v>#N/A</v>
      </c>
      <c r="AC56" s="21" t="e">
        <f t="shared" si="7"/>
        <v>#N/A</v>
      </c>
      <c r="AD56" s="11" t="e">
        <f t="shared" si="8"/>
        <v>#N/A</v>
      </c>
      <c r="AE56" s="22" t="e">
        <f t="shared" si="9"/>
        <v>#N/A</v>
      </c>
      <c r="AF56" s="21" t="e">
        <f t="shared" si="10"/>
        <v>#N/A</v>
      </c>
      <c r="AG56" s="21" t="e">
        <f t="shared" si="11"/>
        <v>#N/A</v>
      </c>
      <c r="AH56" s="11" t="e">
        <f t="shared" si="12"/>
        <v>#N/A</v>
      </c>
      <c r="AI56">
        <v>2.5000000000000001E-2</v>
      </c>
      <c r="AJ56">
        <v>-2.5000000000000001E-2</v>
      </c>
      <c r="AK56">
        <v>1.5E-3</v>
      </c>
      <c r="AL56">
        <v>-1.5E-3</v>
      </c>
      <c r="AM56">
        <v>1.5E-3</v>
      </c>
      <c r="AN56">
        <v>-1.5E-3</v>
      </c>
      <c r="AO56" s="16">
        <v>2.5000000000000001E-2</v>
      </c>
      <c r="AP56" s="16">
        <v>-2.5000000000000001E-2</v>
      </c>
      <c r="AQ56">
        <v>1.4999999999999999E-2</v>
      </c>
      <c r="AR56">
        <v>-1.4999999999999999E-2</v>
      </c>
      <c r="AS56">
        <v>1E-3</v>
      </c>
      <c r="AT56">
        <v>-1E-3</v>
      </c>
      <c r="AU56">
        <v>1E-3</v>
      </c>
      <c r="AV56">
        <v>-1E-3</v>
      </c>
      <c r="AW56" s="16">
        <v>1.4999999999999999E-2</v>
      </c>
      <c r="AX56" s="16">
        <v>-1.4999999999999999E-2</v>
      </c>
      <c r="JP56">
        <v>12.849506578947368</v>
      </c>
    </row>
    <row r="57" spans="6:279" customFormat="1">
      <c r="F57" s="17" t="str">
        <f t="shared" si="0"/>
        <v/>
      </c>
      <c r="G57" s="9"/>
      <c r="H57" s="2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22" t="e">
        <f t="shared" si="1"/>
        <v>#N/A</v>
      </c>
      <c r="X57" s="21" t="e">
        <f t="shared" si="2"/>
        <v>#N/A</v>
      </c>
      <c r="Y57" s="21" t="e">
        <f t="shared" si="3"/>
        <v>#N/A</v>
      </c>
      <c r="Z57" s="11" t="e">
        <f t="shared" si="4"/>
        <v>#N/A</v>
      </c>
      <c r="AA57" s="22" t="e">
        <f t="shared" si="5"/>
        <v>#N/A</v>
      </c>
      <c r="AB57" s="21" t="e">
        <f t="shared" si="6"/>
        <v>#N/A</v>
      </c>
      <c r="AC57" s="21" t="e">
        <f t="shared" si="7"/>
        <v>#N/A</v>
      </c>
      <c r="AD57" s="11" t="e">
        <f t="shared" si="8"/>
        <v>#N/A</v>
      </c>
      <c r="AE57" s="22" t="e">
        <f t="shared" si="9"/>
        <v>#N/A</v>
      </c>
      <c r="AF57" s="21" t="e">
        <f t="shared" si="10"/>
        <v>#N/A</v>
      </c>
      <c r="AG57" s="21" t="e">
        <f t="shared" si="11"/>
        <v>#N/A</v>
      </c>
      <c r="AH57" s="11" t="e">
        <f t="shared" si="12"/>
        <v>#N/A</v>
      </c>
      <c r="AI57">
        <v>2.5000000000000001E-2</v>
      </c>
      <c r="AJ57">
        <v>-2.5000000000000001E-2</v>
      </c>
      <c r="AK57">
        <v>1.5E-3</v>
      </c>
      <c r="AL57">
        <v>-1.5E-3</v>
      </c>
      <c r="AM57">
        <v>1.5E-3</v>
      </c>
      <c r="AN57">
        <v>-1.5E-3</v>
      </c>
      <c r="AO57" s="16">
        <v>2.5000000000000001E-2</v>
      </c>
      <c r="AP57" s="16">
        <v>-2.5000000000000001E-2</v>
      </c>
      <c r="AQ57">
        <v>1.4999999999999999E-2</v>
      </c>
      <c r="AR57">
        <v>-1.4999999999999999E-2</v>
      </c>
      <c r="AS57">
        <v>1E-3</v>
      </c>
      <c r="AT57">
        <v>-1E-3</v>
      </c>
      <c r="AU57">
        <v>1E-3</v>
      </c>
      <c r="AV57">
        <v>-1E-3</v>
      </c>
      <c r="AW57" s="16">
        <v>1.4999999999999999E-2</v>
      </c>
      <c r="AX57" s="16">
        <v>-1.4999999999999999E-2</v>
      </c>
      <c r="JP57">
        <v>38.548519736842103</v>
      </c>
      <c r="JR57">
        <v>12.849506578947368</v>
      </c>
      <c r="JS57">
        <v>12.849506578947368</v>
      </c>
    </row>
    <row r="58" spans="6:279" customFormat="1">
      <c r="F58" s="17" t="str">
        <f t="shared" si="0"/>
        <v/>
      </c>
      <c r="G58" s="9"/>
      <c r="H58" s="2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22" t="e">
        <f t="shared" si="1"/>
        <v>#N/A</v>
      </c>
      <c r="X58" s="21" t="e">
        <f t="shared" si="2"/>
        <v>#N/A</v>
      </c>
      <c r="Y58" s="21" t="e">
        <f t="shared" si="3"/>
        <v>#N/A</v>
      </c>
      <c r="Z58" s="11" t="e">
        <f t="shared" si="4"/>
        <v>#N/A</v>
      </c>
      <c r="AA58" s="22" t="e">
        <f t="shared" si="5"/>
        <v>#N/A</v>
      </c>
      <c r="AB58" s="21" t="e">
        <f t="shared" si="6"/>
        <v>#N/A</v>
      </c>
      <c r="AC58" s="21" t="e">
        <f t="shared" si="7"/>
        <v>#N/A</v>
      </c>
      <c r="AD58" s="11" t="e">
        <f t="shared" si="8"/>
        <v>#N/A</v>
      </c>
      <c r="AE58" s="22" t="e">
        <f t="shared" si="9"/>
        <v>#N/A</v>
      </c>
      <c r="AF58" s="21" t="e">
        <f t="shared" si="10"/>
        <v>#N/A</v>
      </c>
      <c r="AG58" s="21" t="e">
        <f t="shared" si="11"/>
        <v>#N/A</v>
      </c>
      <c r="AH58" s="11" t="e">
        <f t="shared" si="12"/>
        <v>#N/A</v>
      </c>
      <c r="AI58">
        <v>2.5000000000000001E-2</v>
      </c>
      <c r="AJ58">
        <v>-2.5000000000000001E-2</v>
      </c>
      <c r="AK58">
        <v>1.5E-3</v>
      </c>
      <c r="AL58">
        <v>-1.5E-3</v>
      </c>
      <c r="AM58">
        <v>1.5E-3</v>
      </c>
      <c r="AN58">
        <v>-1.5E-3</v>
      </c>
      <c r="AO58" s="16">
        <v>2.5000000000000001E-2</v>
      </c>
      <c r="AP58" s="16">
        <v>-2.5000000000000001E-2</v>
      </c>
      <c r="AQ58">
        <v>1.4999999999999999E-2</v>
      </c>
      <c r="AR58">
        <v>-1.4999999999999999E-2</v>
      </c>
      <c r="AS58">
        <v>1E-3</v>
      </c>
      <c r="AT58">
        <v>-1E-3</v>
      </c>
      <c r="AU58">
        <v>1E-3</v>
      </c>
      <c r="AV58">
        <v>-1E-3</v>
      </c>
      <c r="AW58" s="16">
        <v>1.4999999999999999E-2</v>
      </c>
      <c r="AX58" s="16">
        <v>-1.4999999999999999E-2</v>
      </c>
    </row>
    <row r="59" spans="6:279" customFormat="1">
      <c r="F59" s="17" t="str">
        <f t="shared" si="0"/>
        <v/>
      </c>
      <c r="G59" s="9"/>
      <c r="H59" s="2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22" t="e">
        <f t="shared" si="1"/>
        <v>#N/A</v>
      </c>
      <c r="X59" s="21" t="e">
        <f t="shared" si="2"/>
        <v>#N/A</v>
      </c>
      <c r="Y59" s="21" t="e">
        <f t="shared" si="3"/>
        <v>#N/A</v>
      </c>
      <c r="Z59" s="11" t="e">
        <f t="shared" si="4"/>
        <v>#N/A</v>
      </c>
      <c r="AA59" s="22" t="e">
        <f t="shared" si="5"/>
        <v>#N/A</v>
      </c>
      <c r="AB59" s="21" t="e">
        <f t="shared" si="6"/>
        <v>#N/A</v>
      </c>
      <c r="AC59" s="21" t="e">
        <f t="shared" si="7"/>
        <v>#N/A</v>
      </c>
      <c r="AD59" s="11" t="e">
        <f t="shared" si="8"/>
        <v>#N/A</v>
      </c>
      <c r="AE59" s="22" t="e">
        <f t="shared" si="9"/>
        <v>#N/A</v>
      </c>
      <c r="AF59" s="21" t="e">
        <f t="shared" si="10"/>
        <v>#N/A</v>
      </c>
      <c r="AG59" s="21" t="e">
        <f t="shared" si="11"/>
        <v>#N/A</v>
      </c>
      <c r="AH59" s="11" t="e">
        <f t="shared" si="12"/>
        <v>#N/A</v>
      </c>
      <c r="AI59">
        <v>2.5000000000000001E-2</v>
      </c>
      <c r="AJ59">
        <v>-2.5000000000000001E-2</v>
      </c>
      <c r="AK59">
        <v>1.5E-3</v>
      </c>
      <c r="AL59">
        <v>-1.5E-3</v>
      </c>
      <c r="AM59">
        <v>1.5E-3</v>
      </c>
      <c r="AN59">
        <v>-1.5E-3</v>
      </c>
      <c r="AO59" s="16">
        <v>2.5000000000000001E-2</v>
      </c>
      <c r="AP59" s="16">
        <v>-2.5000000000000001E-2</v>
      </c>
      <c r="AQ59">
        <v>1.4999999999999999E-2</v>
      </c>
      <c r="AR59">
        <v>-1.4999999999999999E-2</v>
      </c>
      <c r="AS59">
        <v>1E-3</v>
      </c>
      <c r="AT59">
        <v>-1E-3</v>
      </c>
      <c r="AU59">
        <v>1E-3</v>
      </c>
      <c r="AV59">
        <v>-1E-3</v>
      </c>
      <c r="AW59" s="16">
        <v>1.4999999999999999E-2</v>
      </c>
      <c r="AX59" s="16">
        <v>-1.4999999999999999E-2</v>
      </c>
      <c r="JQ59">
        <v>12.849506578947368</v>
      </c>
      <c r="JR59">
        <v>12.849506578947368</v>
      </c>
      <c r="JS59">
        <v>38.548519736842103</v>
      </c>
    </row>
    <row r="60" spans="6:279" customFormat="1">
      <c r="F60" s="17" t="str">
        <f t="shared" si="0"/>
        <v/>
      </c>
      <c r="G60" s="9"/>
      <c r="H60" s="2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22" t="e">
        <f t="shared" si="1"/>
        <v>#N/A</v>
      </c>
      <c r="X60" s="21" t="e">
        <f t="shared" si="2"/>
        <v>#N/A</v>
      </c>
      <c r="Y60" s="21" t="e">
        <f t="shared" si="3"/>
        <v>#N/A</v>
      </c>
      <c r="Z60" s="11" t="e">
        <f t="shared" si="4"/>
        <v>#N/A</v>
      </c>
      <c r="AA60" s="22" t="e">
        <f t="shared" si="5"/>
        <v>#N/A</v>
      </c>
      <c r="AB60" s="21" t="e">
        <f t="shared" si="6"/>
        <v>#N/A</v>
      </c>
      <c r="AC60" s="21" t="e">
        <f t="shared" si="7"/>
        <v>#N/A</v>
      </c>
      <c r="AD60" s="11" t="e">
        <f t="shared" si="8"/>
        <v>#N/A</v>
      </c>
      <c r="AE60" s="22" t="e">
        <f t="shared" si="9"/>
        <v>#N/A</v>
      </c>
      <c r="AF60" s="21" t="e">
        <f t="shared" si="10"/>
        <v>#N/A</v>
      </c>
      <c r="AG60" s="21" t="e">
        <f t="shared" si="11"/>
        <v>#N/A</v>
      </c>
      <c r="AH60" s="11" t="e">
        <f t="shared" si="12"/>
        <v>#N/A</v>
      </c>
      <c r="AI60">
        <v>2.5000000000000001E-2</v>
      </c>
      <c r="AJ60">
        <v>-2.5000000000000001E-2</v>
      </c>
      <c r="AK60">
        <v>1.5E-3</v>
      </c>
      <c r="AL60">
        <v>-1.5E-3</v>
      </c>
      <c r="AM60">
        <v>1.5E-3</v>
      </c>
      <c r="AN60">
        <v>-1.5E-3</v>
      </c>
      <c r="AO60" s="16">
        <v>2.5000000000000001E-2</v>
      </c>
      <c r="AP60" s="16">
        <v>-2.5000000000000001E-2</v>
      </c>
      <c r="AQ60">
        <v>1.4999999999999999E-2</v>
      </c>
      <c r="AR60">
        <v>-1.4999999999999999E-2</v>
      </c>
      <c r="AS60">
        <v>1E-3</v>
      </c>
      <c r="AT60">
        <v>-1E-3</v>
      </c>
      <c r="AU60">
        <v>1E-3</v>
      </c>
      <c r="AV60">
        <v>-1E-3</v>
      </c>
      <c r="AW60" s="16">
        <v>1.4999999999999999E-2</v>
      </c>
      <c r="AX60" s="16">
        <v>-1.4999999999999999E-2</v>
      </c>
    </row>
    <row r="61" spans="6:279" customFormat="1">
      <c r="F61" s="17" t="str">
        <f t="shared" si="0"/>
        <v/>
      </c>
      <c r="G61" s="9"/>
      <c r="H61" s="2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22" t="e">
        <f t="shared" si="1"/>
        <v>#N/A</v>
      </c>
      <c r="X61" s="21" t="e">
        <f t="shared" si="2"/>
        <v>#N/A</v>
      </c>
      <c r="Y61" s="21" t="e">
        <f t="shared" si="3"/>
        <v>#N/A</v>
      </c>
      <c r="Z61" s="11" t="e">
        <f t="shared" si="4"/>
        <v>#N/A</v>
      </c>
      <c r="AA61" s="22" t="e">
        <f t="shared" si="5"/>
        <v>#N/A</v>
      </c>
      <c r="AB61" s="21" t="e">
        <f t="shared" si="6"/>
        <v>#N/A</v>
      </c>
      <c r="AC61" s="21" t="e">
        <f t="shared" si="7"/>
        <v>#N/A</v>
      </c>
      <c r="AD61" s="11" t="e">
        <f t="shared" si="8"/>
        <v>#N/A</v>
      </c>
      <c r="AE61" s="22" t="e">
        <f t="shared" si="9"/>
        <v>#N/A</v>
      </c>
      <c r="AF61" s="21" t="e">
        <f t="shared" si="10"/>
        <v>#N/A</v>
      </c>
      <c r="AG61" s="21" t="e">
        <f t="shared" si="11"/>
        <v>#N/A</v>
      </c>
      <c r="AH61" s="11" t="e">
        <f t="shared" si="12"/>
        <v>#N/A</v>
      </c>
      <c r="AI61">
        <v>2.5000000000000001E-2</v>
      </c>
      <c r="AJ61">
        <v>-2.5000000000000001E-2</v>
      </c>
      <c r="AK61">
        <v>1.5E-3</v>
      </c>
      <c r="AL61">
        <v>-1.5E-3</v>
      </c>
      <c r="AM61">
        <v>1.5E-3</v>
      </c>
      <c r="AN61">
        <v>-1.5E-3</v>
      </c>
      <c r="AO61" s="16">
        <v>2.5000000000000001E-2</v>
      </c>
      <c r="AP61" s="16">
        <v>-2.5000000000000001E-2</v>
      </c>
      <c r="AQ61">
        <v>1.4999999999999999E-2</v>
      </c>
      <c r="AR61">
        <v>-1.4999999999999999E-2</v>
      </c>
      <c r="AS61">
        <v>1E-3</v>
      </c>
      <c r="AT61">
        <v>-1E-3</v>
      </c>
      <c r="AU61">
        <v>1E-3</v>
      </c>
      <c r="AV61">
        <v>-1E-3</v>
      </c>
      <c r="AW61" s="16">
        <v>1.4999999999999999E-2</v>
      </c>
      <c r="AX61" s="16">
        <v>-1.4999999999999999E-2</v>
      </c>
      <c r="JS61">
        <v>12.849506578947368</v>
      </c>
    </row>
    <row r="62" spans="6:279" customFormat="1">
      <c r="F62" s="17" t="str">
        <f t="shared" si="0"/>
        <v/>
      </c>
      <c r="G62" s="9"/>
      <c r="H62" s="2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22" t="e">
        <f t="shared" si="1"/>
        <v>#N/A</v>
      </c>
      <c r="X62" s="21" t="e">
        <f t="shared" si="2"/>
        <v>#N/A</v>
      </c>
      <c r="Y62" s="21" t="e">
        <f t="shared" si="3"/>
        <v>#N/A</v>
      </c>
      <c r="Z62" s="11" t="e">
        <f t="shared" si="4"/>
        <v>#N/A</v>
      </c>
      <c r="AA62" s="22" t="e">
        <f t="shared" si="5"/>
        <v>#N/A</v>
      </c>
      <c r="AB62" s="21" t="e">
        <f t="shared" si="6"/>
        <v>#N/A</v>
      </c>
      <c r="AC62" s="21" t="e">
        <f t="shared" si="7"/>
        <v>#N/A</v>
      </c>
      <c r="AD62" s="11" t="e">
        <f t="shared" si="8"/>
        <v>#N/A</v>
      </c>
      <c r="AE62" s="22" t="e">
        <f t="shared" si="9"/>
        <v>#N/A</v>
      </c>
      <c r="AF62" s="21" t="e">
        <f t="shared" si="10"/>
        <v>#N/A</v>
      </c>
      <c r="AG62" s="21" t="e">
        <f t="shared" si="11"/>
        <v>#N/A</v>
      </c>
      <c r="AH62" s="11" t="e">
        <f t="shared" si="12"/>
        <v>#N/A</v>
      </c>
      <c r="AI62">
        <v>2.5000000000000001E-2</v>
      </c>
      <c r="AJ62">
        <v>-2.5000000000000001E-2</v>
      </c>
      <c r="AK62">
        <v>1.5E-3</v>
      </c>
      <c r="AL62">
        <v>-1.5E-3</v>
      </c>
      <c r="AM62">
        <v>1.5E-3</v>
      </c>
      <c r="AN62">
        <v>-1.5E-3</v>
      </c>
      <c r="AO62" s="16">
        <v>2.5000000000000001E-2</v>
      </c>
      <c r="AP62" s="16">
        <v>-2.5000000000000001E-2</v>
      </c>
      <c r="AQ62">
        <v>1.4999999999999999E-2</v>
      </c>
      <c r="AR62">
        <v>-1.4999999999999999E-2</v>
      </c>
      <c r="AS62">
        <v>1E-3</v>
      </c>
      <c r="AT62">
        <v>-1E-3</v>
      </c>
      <c r="AU62">
        <v>1E-3</v>
      </c>
      <c r="AV62">
        <v>-1E-3</v>
      </c>
      <c r="AW62" s="16">
        <v>1.4999999999999999E-2</v>
      </c>
      <c r="AX62" s="16">
        <v>-1.4999999999999999E-2</v>
      </c>
      <c r="JS62">
        <v>12.849506578947368</v>
      </c>
    </row>
    <row r="63" spans="6:279" customFormat="1">
      <c r="F63" s="17" t="str">
        <f t="shared" si="0"/>
        <v/>
      </c>
      <c r="G63" s="9"/>
      <c r="H63" s="2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22" t="e">
        <f t="shared" si="1"/>
        <v>#N/A</v>
      </c>
      <c r="X63" s="21" t="e">
        <f t="shared" si="2"/>
        <v>#N/A</v>
      </c>
      <c r="Y63" s="21" t="e">
        <f t="shared" si="3"/>
        <v>#N/A</v>
      </c>
      <c r="Z63" s="11" t="e">
        <f t="shared" si="4"/>
        <v>#N/A</v>
      </c>
      <c r="AA63" s="22" t="e">
        <f t="shared" si="5"/>
        <v>#N/A</v>
      </c>
      <c r="AB63" s="21" t="e">
        <f t="shared" si="6"/>
        <v>#N/A</v>
      </c>
      <c r="AC63" s="21" t="e">
        <f t="shared" si="7"/>
        <v>#N/A</v>
      </c>
      <c r="AD63" s="11" t="e">
        <f t="shared" si="8"/>
        <v>#N/A</v>
      </c>
      <c r="AE63" s="22" t="e">
        <f t="shared" si="9"/>
        <v>#N/A</v>
      </c>
      <c r="AF63" s="21" t="e">
        <f t="shared" si="10"/>
        <v>#N/A</v>
      </c>
      <c r="AG63" s="21" t="e">
        <f t="shared" si="11"/>
        <v>#N/A</v>
      </c>
      <c r="AH63" s="11" t="e">
        <f t="shared" si="12"/>
        <v>#N/A</v>
      </c>
      <c r="AI63">
        <v>2.5000000000000001E-2</v>
      </c>
      <c r="AJ63">
        <v>-2.5000000000000001E-2</v>
      </c>
      <c r="AK63">
        <v>1.5E-3</v>
      </c>
      <c r="AL63">
        <v>-1.5E-3</v>
      </c>
      <c r="AM63">
        <v>1.5E-3</v>
      </c>
      <c r="AN63">
        <v>-1.5E-3</v>
      </c>
      <c r="AO63" s="16">
        <v>2.5000000000000001E-2</v>
      </c>
      <c r="AP63" s="16">
        <v>-2.5000000000000001E-2</v>
      </c>
      <c r="AQ63">
        <v>1.4999999999999999E-2</v>
      </c>
      <c r="AR63">
        <v>-1.4999999999999999E-2</v>
      </c>
      <c r="AS63">
        <v>1E-3</v>
      </c>
      <c r="AT63">
        <v>-1E-3</v>
      </c>
      <c r="AU63">
        <v>1E-3</v>
      </c>
      <c r="AV63">
        <v>-1E-3</v>
      </c>
      <c r="AW63" s="16">
        <v>1.4999999999999999E-2</v>
      </c>
      <c r="AX63" s="16">
        <v>-1.4999999999999999E-2</v>
      </c>
      <c r="JR63">
        <v>12.849506578947368</v>
      </c>
    </row>
    <row r="64" spans="6:279" customFormat="1">
      <c r="F64" s="17" t="str">
        <f t="shared" si="0"/>
        <v/>
      </c>
      <c r="G64" s="9"/>
      <c r="H64" s="2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22" t="e">
        <f t="shared" si="1"/>
        <v>#N/A</v>
      </c>
      <c r="X64" s="21" t="e">
        <f t="shared" si="2"/>
        <v>#N/A</v>
      </c>
      <c r="Y64" s="21" t="e">
        <f t="shared" si="3"/>
        <v>#N/A</v>
      </c>
      <c r="Z64" s="11" t="e">
        <f t="shared" si="4"/>
        <v>#N/A</v>
      </c>
      <c r="AA64" s="22" t="e">
        <f t="shared" si="5"/>
        <v>#N/A</v>
      </c>
      <c r="AB64" s="21" t="e">
        <f t="shared" si="6"/>
        <v>#N/A</v>
      </c>
      <c r="AC64" s="21" t="e">
        <f t="shared" si="7"/>
        <v>#N/A</v>
      </c>
      <c r="AD64" s="11" t="e">
        <f t="shared" si="8"/>
        <v>#N/A</v>
      </c>
      <c r="AE64" s="22" t="e">
        <f t="shared" si="9"/>
        <v>#N/A</v>
      </c>
      <c r="AF64" s="21" t="e">
        <f t="shared" si="10"/>
        <v>#N/A</v>
      </c>
      <c r="AG64" s="21" t="e">
        <f t="shared" si="11"/>
        <v>#N/A</v>
      </c>
      <c r="AH64" s="11" t="e">
        <f t="shared" si="12"/>
        <v>#N/A</v>
      </c>
      <c r="AI64">
        <v>2.5000000000000001E-2</v>
      </c>
      <c r="AJ64">
        <v>-2.5000000000000001E-2</v>
      </c>
      <c r="AK64">
        <v>1.5E-3</v>
      </c>
      <c r="AL64">
        <v>-1.5E-3</v>
      </c>
      <c r="AM64">
        <v>1.5E-3</v>
      </c>
      <c r="AN64">
        <v>-1.5E-3</v>
      </c>
      <c r="AO64" s="16">
        <v>2.5000000000000001E-2</v>
      </c>
      <c r="AP64" s="16">
        <v>-2.5000000000000001E-2</v>
      </c>
      <c r="AQ64">
        <v>1.4999999999999999E-2</v>
      </c>
      <c r="AR64">
        <v>-1.4999999999999999E-2</v>
      </c>
      <c r="AS64">
        <v>1E-3</v>
      </c>
      <c r="AT64">
        <v>-1E-3</v>
      </c>
      <c r="AU64">
        <v>1E-3</v>
      </c>
      <c r="AV64">
        <v>-1E-3</v>
      </c>
      <c r="AW64" s="16">
        <v>1.4999999999999999E-2</v>
      </c>
      <c r="AX64" s="16">
        <v>-1.4999999999999999E-2</v>
      </c>
    </row>
    <row r="65" spans="6:278" customFormat="1">
      <c r="F65" s="17" t="str">
        <f t="shared" si="0"/>
        <v/>
      </c>
      <c r="G65" s="9"/>
      <c r="H65" s="2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22" t="e">
        <f t="shared" si="1"/>
        <v>#N/A</v>
      </c>
      <c r="X65" s="21" t="e">
        <f t="shared" si="2"/>
        <v>#N/A</v>
      </c>
      <c r="Y65" s="21" t="e">
        <f t="shared" si="3"/>
        <v>#N/A</v>
      </c>
      <c r="Z65" s="11" t="e">
        <f t="shared" si="4"/>
        <v>#N/A</v>
      </c>
      <c r="AA65" s="22" t="e">
        <f t="shared" si="5"/>
        <v>#N/A</v>
      </c>
      <c r="AB65" s="21" t="e">
        <f t="shared" si="6"/>
        <v>#N/A</v>
      </c>
      <c r="AC65" s="21" t="e">
        <f t="shared" si="7"/>
        <v>#N/A</v>
      </c>
      <c r="AD65" s="11" t="e">
        <f t="shared" si="8"/>
        <v>#N/A</v>
      </c>
      <c r="AE65" s="22" t="e">
        <f t="shared" si="9"/>
        <v>#N/A</v>
      </c>
      <c r="AF65" s="21" t="e">
        <f t="shared" si="10"/>
        <v>#N/A</v>
      </c>
      <c r="AG65" s="21" t="e">
        <f t="shared" si="11"/>
        <v>#N/A</v>
      </c>
      <c r="AH65" s="11" t="e">
        <f t="shared" si="12"/>
        <v>#N/A</v>
      </c>
      <c r="AI65">
        <v>2.5000000000000001E-2</v>
      </c>
      <c r="AJ65">
        <v>-2.5000000000000001E-2</v>
      </c>
      <c r="AK65">
        <v>1.5E-3</v>
      </c>
      <c r="AL65">
        <v>-1.5E-3</v>
      </c>
      <c r="AM65">
        <v>1.5E-3</v>
      </c>
      <c r="AN65">
        <v>-1.5E-3</v>
      </c>
      <c r="AO65" s="16">
        <v>2.5000000000000001E-2</v>
      </c>
      <c r="AP65" s="16">
        <v>-2.5000000000000001E-2</v>
      </c>
      <c r="AQ65">
        <v>1.4999999999999999E-2</v>
      </c>
      <c r="AR65">
        <v>-1.4999999999999999E-2</v>
      </c>
      <c r="AS65">
        <v>1E-3</v>
      </c>
      <c r="AT65">
        <v>-1E-3</v>
      </c>
      <c r="AU65">
        <v>1E-3</v>
      </c>
      <c r="AV65">
        <v>-1E-3</v>
      </c>
      <c r="AW65" s="16">
        <v>1.4999999999999999E-2</v>
      </c>
      <c r="AX65" s="16">
        <v>-1.4999999999999999E-2</v>
      </c>
      <c r="JR65">
        <v>12.849506578947368</v>
      </c>
    </row>
    <row r="66" spans="6:278" customFormat="1">
      <c r="F66" s="17" t="str">
        <f t="shared" si="0"/>
        <v/>
      </c>
      <c r="G66" s="9"/>
      <c r="H66" s="2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22" t="e">
        <f t="shared" si="1"/>
        <v>#N/A</v>
      </c>
      <c r="X66" s="21" t="e">
        <f t="shared" si="2"/>
        <v>#N/A</v>
      </c>
      <c r="Y66" s="21" t="e">
        <f t="shared" si="3"/>
        <v>#N/A</v>
      </c>
      <c r="Z66" s="11" t="e">
        <f t="shared" si="4"/>
        <v>#N/A</v>
      </c>
      <c r="AA66" s="22" t="e">
        <f t="shared" si="5"/>
        <v>#N/A</v>
      </c>
      <c r="AB66" s="21" t="e">
        <f t="shared" si="6"/>
        <v>#N/A</v>
      </c>
      <c r="AC66" s="21" t="e">
        <f t="shared" si="7"/>
        <v>#N/A</v>
      </c>
      <c r="AD66" s="11" t="e">
        <f t="shared" si="8"/>
        <v>#N/A</v>
      </c>
      <c r="AE66" s="22" t="e">
        <f t="shared" si="9"/>
        <v>#N/A</v>
      </c>
      <c r="AF66" s="21" t="e">
        <f t="shared" si="10"/>
        <v>#N/A</v>
      </c>
      <c r="AG66" s="21" t="e">
        <f t="shared" si="11"/>
        <v>#N/A</v>
      </c>
      <c r="AH66" s="11" t="e">
        <f t="shared" si="12"/>
        <v>#N/A</v>
      </c>
      <c r="AI66">
        <v>2.5000000000000001E-2</v>
      </c>
      <c r="AJ66">
        <v>-2.5000000000000001E-2</v>
      </c>
      <c r="AK66">
        <v>1.5E-3</v>
      </c>
      <c r="AL66">
        <v>-1.5E-3</v>
      </c>
      <c r="AM66">
        <v>1.5E-3</v>
      </c>
      <c r="AN66">
        <v>-1.5E-3</v>
      </c>
      <c r="AO66" s="16">
        <v>2.5000000000000001E-2</v>
      </c>
      <c r="AP66" s="16">
        <v>-2.5000000000000001E-2</v>
      </c>
      <c r="AQ66">
        <v>1.4999999999999999E-2</v>
      </c>
      <c r="AR66">
        <v>-1.4999999999999999E-2</v>
      </c>
      <c r="AS66">
        <v>1E-3</v>
      </c>
      <c r="AT66">
        <v>-1E-3</v>
      </c>
      <c r="AU66">
        <v>1E-3</v>
      </c>
      <c r="AV66">
        <v>-1E-3</v>
      </c>
      <c r="AW66" s="16">
        <v>1.4999999999999999E-2</v>
      </c>
      <c r="AX66" s="16">
        <v>-1.4999999999999999E-2</v>
      </c>
      <c r="JR66">
        <v>24.187306501547987</v>
      </c>
    </row>
    <row r="67" spans="6:278" customFormat="1">
      <c r="F67" s="17" t="str">
        <f t="shared" si="0"/>
        <v/>
      </c>
      <c r="G67" s="9"/>
      <c r="H67" s="2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22" t="e">
        <f t="shared" si="1"/>
        <v>#N/A</v>
      </c>
      <c r="X67" s="21" t="e">
        <f t="shared" si="2"/>
        <v>#N/A</v>
      </c>
      <c r="Y67" s="21" t="e">
        <f t="shared" si="3"/>
        <v>#N/A</v>
      </c>
      <c r="Z67" s="11" t="e">
        <f t="shared" si="4"/>
        <v>#N/A</v>
      </c>
      <c r="AA67" s="22" t="e">
        <f t="shared" si="5"/>
        <v>#N/A</v>
      </c>
      <c r="AB67" s="21" t="e">
        <f t="shared" si="6"/>
        <v>#N/A</v>
      </c>
      <c r="AC67" s="21" t="e">
        <f t="shared" si="7"/>
        <v>#N/A</v>
      </c>
      <c r="AD67" s="11" t="e">
        <f t="shared" si="8"/>
        <v>#N/A</v>
      </c>
      <c r="AE67" s="22" t="e">
        <f t="shared" si="9"/>
        <v>#N/A</v>
      </c>
      <c r="AF67" s="21" t="e">
        <f t="shared" si="10"/>
        <v>#N/A</v>
      </c>
      <c r="AG67" s="21" t="e">
        <f t="shared" si="11"/>
        <v>#N/A</v>
      </c>
      <c r="AH67" s="11" t="e">
        <f t="shared" si="12"/>
        <v>#N/A</v>
      </c>
      <c r="AI67">
        <v>2.5000000000000001E-2</v>
      </c>
      <c r="AJ67">
        <v>-2.5000000000000001E-2</v>
      </c>
      <c r="AK67">
        <v>1.5E-3</v>
      </c>
      <c r="AL67">
        <v>-1.5E-3</v>
      </c>
      <c r="AM67">
        <v>1.5E-3</v>
      </c>
      <c r="AN67">
        <v>-1.5E-3</v>
      </c>
      <c r="AO67" s="16">
        <v>2.5000000000000001E-2</v>
      </c>
      <c r="AP67" s="16">
        <v>-2.5000000000000001E-2</v>
      </c>
      <c r="AQ67">
        <v>1.4999999999999999E-2</v>
      </c>
      <c r="AR67">
        <v>-1.4999999999999999E-2</v>
      </c>
      <c r="AS67">
        <v>1E-3</v>
      </c>
      <c r="AT67">
        <v>-1E-3</v>
      </c>
      <c r="AU67">
        <v>1E-3</v>
      </c>
      <c r="AV67">
        <v>-1E-3</v>
      </c>
      <c r="AW67" s="16">
        <v>1.4999999999999999E-2</v>
      </c>
      <c r="AX67" s="16">
        <v>-1.4999999999999999E-2</v>
      </c>
    </row>
    <row r="68" spans="6:278" customFormat="1">
      <c r="F68" s="17" t="str">
        <f t="shared" si="0"/>
        <v/>
      </c>
      <c r="G68" s="9"/>
      <c r="H68" s="2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22" t="e">
        <f t="shared" si="1"/>
        <v>#N/A</v>
      </c>
      <c r="X68" s="21" t="e">
        <f t="shared" si="2"/>
        <v>#N/A</v>
      </c>
      <c r="Y68" s="21" t="e">
        <f t="shared" si="3"/>
        <v>#N/A</v>
      </c>
      <c r="Z68" s="11" t="e">
        <f t="shared" si="4"/>
        <v>#N/A</v>
      </c>
      <c r="AA68" s="22" t="e">
        <f t="shared" si="5"/>
        <v>#N/A</v>
      </c>
      <c r="AB68" s="21" t="e">
        <f t="shared" si="6"/>
        <v>#N/A</v>
      </c>
      <c r="AC68" s="21" t="e">
        <f t="shared" si="7"/>
        <v>#N/A</v>
      </c>
      <c r="AD68" s="11" t="e">
        <f t="shared" si="8"/>
        <v>#N/A</v>
      </c>
      <c r="AE68" s="22" t="e">
        <f t="shared" si="9"/>
        <v>#N/A</v>
      </c>
      <c r="AF68" s="21" t="e">
        <f t="shared" si="10"/>
        <v>#N/A</v>
      </c>
      <c r="AG68" s="21" t="e">
        <f t="shared" si="11"/>
        <v>#N/A</v>
      </c>
      <c r="AH68" s="11" t="e">
        <f t="shared" si="12"/>
        <v>#N/A</v>
      </c>
      <c r="AI68">
        <v>2.5000000000000001E-2</v>
      </c>
      <c r="AJ68">
        <v>-2.5000000000000001E-2</v>
      </c>
      <c r="AK68">
        <v>1.5E-3</v>
      </c>
      <c r="AL68">
        <v>-1.5E-3</v>
      </c>
      <c r="AM68">
        <v>1.5E-3</v>
      </c>
      <c r="AN68">
        <v>-1.5E-3</v>
      </c>
      <c r="AO68" s="16">
        <v>2.5000000000000001E-2</v>
      </c>
      <c r="AP68" s="16">
        <v>-2.5000000000000001E-2</v>
      </c>
      <c r="AQ68">
        <v>1.4999999999999999E-2</v>
      </c>
      <c r="AR68">
        <v>-1.4999999999999999E-2</v>
      </c>
      <c r="AS68">
        <v>1E-3</v>
      </c>
      <c r="AT68">
        <v>-1E-3</v>
      </c>
      <c r="AU68">
        <v>1E-3</v>
      </c>
      <c r="AV68">
        <v>-1E-3</v>
      </c>
      <c r="AW68" s="16">
        <v>1.4999999999999999E-2</v>
      </c>
      <c r="AX68" s="16">
        <v>-1.4999999999999999E-2</v>
      </c>
    </row>
    <row r="69" spans="6:278" customFormat="1">
      <c r="F69" s="17" t="str">
        <f t="shared" si="0"/>
        <v/>
      </c>
      <c r="G69" s="9"/>
      <c r="H69" s="2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22" t="e">
        <f t="shared" si="1"/>
        <v>#N/A</v>
      </c>
      <c r="X69" s="21" t="e">
        <f t="shared" si="2"/>
        <v>#N/A</v>
      </c>
      <c r="Y69" s="21" t="e">
        <f t="shared" si="3"/>
        <v>#N/A</v>
      </c>
      <c r="Z69" s="11" t="e">
        <f t="shared" si="4"/>
        <v>#N/A</v>
      </c>
      <c r="AA69" s="22" t="e">
        <f t="shared" si="5"/>
        <v>#N/A</v>
      </c>
      <c r="AB69" s="21" t="e">
        <f t="shared" si="6"/>
        <v>#N/A</v>
      </c>
      <c r="AC69" s="21" t="e">
        <f t="shared" si="7"/>
        <v>#N/A</v>
      </c>
      <c r="AD69" s="11" t="e">
        <f t="shared" si="8"/>
        <v>#N/A</v>
      </c>
      <c r="AE69" s="22" t="e">
        <f t="shared" si="9"/>
        <v>#N/A</v>
      </c>
      <c r="AF69" s="21" t="e">
        <f t="shared" si="10"/>
        <v>#N/A</v>
      </c>
      <c r="AG69" s="21" t="e">
        <f t="shared" si="11"/>
        <v>#N/A</v>
      </c>
      <c r="AH69" s="11" t="e">
        <f t="shared" si="12"/>
        <v>#N/A</v>
      </c>
      <c r="AI69">
        <v>2.5000000000000001E-2</v>
      </c>
      <c r="AJ69">
        <v>-2.5000000000000001E-2</v>
      </c>
      <c r="AK69">
        <v>1.5E-3</v>
      </c>
      <c r="AL69">
        <v>-1.5E-3</v>
      </c>
      <c r="AM69">
        <v>1.5E-3</v>
      </c>
      <c r="AN69">
        <v>-1.5E-3</v>
      </c>
      <c r="AO69" s="16">
        <v>2.5000000000000001E-2</v>
      </c>
      <c r="AP69" s="16">
        <v>-2.5000000000000001E-2</v>
      </c>
      <c r="AQ69">
        <v>1.4999999999999999E-2</v>
      </c>
      <c r="AR69">
        <v>-1.4999999999999999E-2</v>
      </c>
      <c r="AS69">
        <v>1E-3</v>
      </c>
      <c r="AT69">
        <v>-1E-3</v>
      </c>
      <c r="AU69">
        <v>1E-3</v>
      </c>
      <c r="AV69">
        <v>-1E-3</v>
      </c>
      <c r="AW69" s="16">
        <v>1.4999999999999999E-2</v>
      </c>
      <c r="AX69" s="16">
        <v>-1.4999999999999999E-2</v>
      </c>
    </row>
    <row r="70" spans="6:278" customFormat="1">
      <c r="F70" s="17" t="str">
        <f t="shared" si="0"/>
        <v/>
      </c>
      <c r="G70" s="9"/>
      <c r="H70" s="2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22" t="e">
        <f t="shared" si="1"/>
        <v>#N/A</v>
      </c>
      <c r="X70" s="21" t="e">
        <f t="shared" si="2"/>
        <v>#N/A</v>
      </c>
      <c r="Y70" s="21" t="e">
        <f t="shared" si="3"/>
        <v>#N/A</v>
      </c>
      <c r="Z70" s="11" t="e">
        <f t="shared" si="4"/>
        <v>#N/A</v>
      </c>
      <c r="AA70" s="22" t="e">
        <f t="shared" si="5"/>
        <v>#N/A</v>
      </c>
      <c r="AB70" s="21" t="e">
        <f t="shared" si="6"/>
        <v>#N/A</v>
      </c>
      <c r="AC70" s="21" t="e">
        <f t="shared" si="7"/>
        <v>#N/A</v>
      </c>
      <c r="AD70" s="11" t="e">
        <f t="shared" si="8"/>
        <v>#N/A</v>
      </c>
      <c r="AE70" s="22" t="e">
        <f t="shared" si="9"/>
        <v>#N/A</v>
      </c>
      <c r="AF70" s="21" t="e">
        <f t="shared" si="10"/>
        <v>#N/A</v>
      </c>
      <c r="AG70" s="21" t="e">
        <f t="shared" si="11"/>
        <v>#N/A</v>
      </c>
      <c r="AH70" s="11" t="e">
        <f t="shared" si="12"/>
        <v>#N/A</v>
      </c>
      <c r="AI70">
        <v>2.5000000000000001E-2</v>
      </c>
      <c r="AJ70">
        <v>-2.5000000000000001E-2</v>
      </c>
      <c r="AK70">
        <v>1.5E-3</v>
      </c>
      <c r="AL70">
        <v>-1.5E-3</v>
      </c>
      <c r="AM70">
        <v>1.5E-3</v>
      </c>
      <c r="AN70">
        <v>-1.5E-3</v>
      </c>
      <c r="AO70" s="16">
        <v>2.5000000000000001E-2</v>
      </c>
      <c r="AP70" s="16">
        <v>-2.5000000000000001E-2</v>
      </c>
      <c r="AQ70">
        <v>1.4999999999999999E-2</v>
      </c>
      <c r="AR70">
        <v>-1.4999999999999999E-2</v>
      </c>
      <c r="AS70">
        <v>1E-3</v>
      </c>
      <c r="AT70">
        <v>-1E-3</v>
      </c>
      <c r="AU70">
        <v>1E-3</v>
      </c>
      <c r="AV70">
        <v>-1E-3</v>
      </c>
      <c r="AW70" s="16">
        <v>1.4999999999999999E-2</v>
      </c>
      <c r="AX70" s="16">
        <v>-1.4999999999999999E-2</v>
      </c>
    </row>
    <row r="71" spans="6:278" customFormat="1">
      <c r="F71" s="17" t="str">
        <f t="shared" ref="F71:F100" si="13">IF(G71="","",G71)</f>
        <v/>
      </c>
      <c r="G71" s="9"/>
      <c r="H71" s="2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22" t="e">
        <f t="shared" ref="W71:W100" si="14">IF(H71="",NA(),I71-VLOOKUP(H71,$A$6:$E$35,2,FALSE))</f>
        <v>#N/A</v>
      </c>
      <c r="X71" s="21" t="e">
        <f t="shared" ref="X71:X100" si="15">IF(H71="",NA(),J71-VLOOKUP(H71,$A$6:$E$35,3,FALSE))</f>
        <v>#N/A</v>
      </c>
      <c r="Y71" s="21" t="e">
        <f t="shared" ref="Y71:Y100" si="16">IF(H71="",NA(),K71-VLOOKUP(H71,$A$6:$E$35,4,FALSE))</f>
        <v>#N/A</v>
      </c>
      <c r="Z71" s="11" t="e">
        <f t="shared" ref="Z71:Z100" si="17">IF(H71="",NA(),L71/VLOOKUP(H71,$A$6:$E$35,5,FALSE)-1)</f>
        <v>#N/A</v>
      </c>
      <c r="AA71" s="22" t="e">
        <f t="shared" ref="AA71:AA100" si="18">IF(M71="",NA(),N71-VLOOKUP(M71,$A$6:$E$35,2,FALSE))</f>
        <v>#N/A</v>
      </c>
      <c r="AB71" s="21" t="e">
        <f t="shared" ref="AB71:AB100" si="19">IF(M71="",NA(),O71-VLOOKUP(M71,$A$6:$E$35,3,FALSE))</f>
        <v>#N/A</v>
      </c>
      <c r="AC71" s="21" t="e">
        <f t="shared" ref="AC71:AC100" si="20">IF(M71="",NA(),P71-VLOOKUP(M71,$A$6:$E$35,4,FALSE))</f>
        <v>#N/A</v>
      </c>
      <c r="AD71" s="11" t="e">
        <f t="shared" ref="AD71:AD100" si="21">IF(M71="",NA(),Q71/VLOOKUP(M71,$A$6:$E$35,5,FALSE)-1)</f>
        <v>#N/A</v>
      </c>
      <c r="AE71" s="22" t="e">
        <f t="shared" ref="AE71:AE100" si="22">IF(R71="",NA(),S71-VLOOKUP(R71,$A$6:$E$35,2,FALSE))</f>
        <v>#N/A</v>
      </c>
      <c r="AF71" s="21" t="e">
        <f t="shared" ref="AF71:AF100" si="23">IF(R71="",NA(),T71-VLOOKUP(R71,$A$6:$E$35,3,FALSE))</f>
        <v>#N/A</v>
      </c>
      <c r="AG71" s="21" t="e">
        <f t="shared" ref="AG71:AG100" si="24">IF(R71="",NA(),U71-VLOOKUP(R71,$A$6:$E$35,4,FALSE))</f>
        <v>#N/A</v>
      </c>
      <c r="AH71" s="11" t="e">
        <f t="shared" ref="AH71:AH100" si="25">IF(R71="",NA(),V71/VLOOKUP(R71,$A$6:$E$35,5,FALSE)-1)</f>
        <v>#N/A</v>
      </c>
      <c r="AI71">
        <v>2.5000000000000001E-2</v>
      </c>
      <c r="AJ71">
        <v>-2.5000000000000001E-2</v>
      </c>
      <c r="AK71">
        <v>1.5E-3</v>
      </c>
      <c r="AL71">
        <v>-1.5E-3</v>
      </c>
      <c r="AM71">
        <v>1.5E-3</v>
      </c>
      <c r="AN71">
        <v>-1.5E-3</v>
      </c>
      <c r="AO71" s="16">
        <v>2.5000000000000001E-2</v>
      </c>
      <c r="AP71" s="16">
        <v>-2.5000000000000001E-2</v>
      </c>
      <c r="AQ71">
        <v>1.4999999999999999E-2</v>
      </c>
      <c r="AR71">
        <v>-1.4999999999999999E-2</v>
      </c>
      <c r="AS71">
        <v>1E-3</v>
      </c>
      <c r="AT71">
        <v>-1E-3</v>
      </c>
      <c r="AU71">
        <v>1E-3</v>
      </c>
      <c r="AV71">
        <v>-1E-3</v>
      </c>
      <c r="AW71" s="16">
        <v>1.4999999999999999E-2</v>
      </c>
      <c r="AX71" s="16">
        <v>-1.4999999999999999E-2</v>
      </c>
    </row>
    <row r="72" spans="6:278" customFormat="1">
      <c r="F72" s="17" t="str">
        <f t="shared" si="13"/>
        <v/>
      </c>
      <c r="G72" s="4"/>
      <c r="H72" s="2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22" t="e">
        <f t="shared" si="14"/>
        <v>#N/A</v>
      </c>
      <c r="X72" s="21" t="e">
        <f t="shared" si="15"/>
        <v>#N/A</v>
      </c>
      <c r="Y72" s="21" t="e">
        <f t="shared" si="16"/>
        <v>#N/A</v>
      </c>
      <c r="Z72" s="11" t="e">
        <f t="shared" si="17"/>
        <v>#N/A</v>
      </c>
      <c r="AA72" s="22" t="e">
        <f t="shared" si="18"/>
        <v>#N/A</v>
      </c>
      <c r="AB72" s="21" t="e">
        <f t="shared" si="19"/>
        <v>#N/A</v>
      </c>
      <c r="AC72" s="21" t="e">
        <f t="shared" si="20"/>
        <v>#N/A</v>
      </c>
      <c r="AD72" s="11" t="e">
        <f t="shared" si="21"/>
        <v>#N/A</v>
      </c>
      <c r="AE72" s="22" t="e">
        <f t="shared" si="22"/>
        <v>#N/A</v>
      </c>
      <c r="AF72" s="21" t="e">
        <f t="shared" si="23"/>
        <v>#N/A</v>
      </c>
      <c r="AG72" s="21" t="e">
        <f t="shared" si="24"/>
        <v>#N/A</v>
      </c>
      <c r="AH72" s="11" t="e">
        <f t="shared" si="25"/>
        <v>#N/A</v>
      </c>
      <c r="AI72">
        <v>2.5000000000000001E-2</v>
      </c>
      <c r="AJ72">
        <v>-2.5000000000000001E-2</v>
      </c>
      <c r="AK72">
        <v>1.5E-3</v>
      </c>
      <c r="AL72">
        <v>-1.5E-3</v>
      </c>
      <c r="AM72">
        <v>1.5E-3</v>
      </c>
      <c r="AN72">
        <v>-1.5E-3</v>
      </c>
      <c r="AO72" s="16">
        <v>2.5000000000000001E-2</v>
      </c>
      <c r="AP72" s="16">
        <v>-2.5000000000000001E-2</v>
      </c>
      <c r="AQ72">
        <v>1.4999999999999999E-2</v>
      </c>
      <c r="AR72">
        <v>-1.4999999999999999E-2</v>
      </c>
      <c r="AS72">
        <v>1E-3</v>
      </c>
      <c r="AT72">
        <v>-1E-3</v>
      </c>
      <c r="AU72">
        <v>1E-3</v>
      </c>
      <c r="AV72">
        <v>-1E-3</v>
      </c>
      <c r="AW72" s="16">
        <v>1.4999999999999999E-2</v>
      </c>
      <c r="AX72" s="16">
        <v>-1.4999999999999999E-2</v>
      </c>
    </row>
    <row r="73" spans="6:278" customFormat="1">
      <c r="F73" s="17" t="str">
        <f t="shared" si="13"/>
        <v/>
      </c>
      <c r="G73" s="4"/>
      <c r="H73" s="2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22" t="e">
        <f t="shared" si="14"/>
        <v>#N/A</v>
      </c>
      <c r="X73" s="21" t="e">
        <f t="shared" si="15"/>
        <v>#N/A</v>
      </c>
      <c r="Y73" s="21" t="e">
        <f t="shared" si="16"/>
        <v>#N/A</v>
      </c>
      <c r="Z73" s="11" t="e">
        <f t="shared" si="17"/>
        <v>#N/A</v>
      </c>
      <c r="AA73" s="22" t="e">
        <f t="shared" si="18"/>
        <v>#N/A</v>
      </c>
      <c r="AB73" s="21" t="e">
        <f t="shared" si="19"/>
        <v>#N/A</v>
      </c>
      <c r="AC73" s="21" t="e">
        <f t="shared" si="20"/>
        <v>#N/A</v>
      </c>
      <c r="AD73" s="11" t="e">
        <f t="shared" si="21"/>
        <v>#N/A</v>
      </c>
      <c r="AE73" s="22" t="e">
        <f t="shared" si="22"/>
        <v>#N/A</v>
      </c>
      <c r="AF73" s="21" t="e">
        <f t="shared" si="23"/>
        <v>#N/A</v>
      </c>
      <c r="AG73" s="21" t="e">
        <f t="shared" si="24"/>
        <v>#N/A</v>
      </c>
      <c r="AH73" s="11" t="e">
        <f t="shared" si="25"/>
        <v>#N/A</v>
      </c>
      <c r="AI73">
        <v>2.5000000000000001E-2</v>
      </c>
      <c r="AJ73">
        <v>-2.5000000000000001E-2</v>
      </c>
      <c r="AK73">
        <v>1.5E-3</v>
      </c>
      <c r="AL73">
        <v>-1.5E-3</v>
      </c>
      <c r="AM73">
        <v>1.5E-3</v>
      </c>
      <c r="AN73">
        <v>-1.5E-3</v>
      </c>
      <c r="AO73" s="16">
        <v>2.5000000000000001E-2</v>
      </c>
      <c r="AP73" s="16">
        <v>-2.5000000000000001E-2</v>
      </c>
      <c r="AQ73">
        <v>1.4999999999999999E-2</v>
      </c>
      <c r="AR73">
        <v>-1.4999999999999999E-2</v>
      </c>
      <c r="AS73">
        <v>1E-3</v>
      </c>
      <c r="AT73">
        <v>-1E-3</v>
      </c>
      <c r="AU73">
        <v>1E-3</v>
      </c>
      <c r="AV73">
        <v>-1E-3</v>
      </c>
      <c r="AW73" s="16">
        <v>1.4999999999999999E-2</v>
      </c>
      <c r="AX73" s="16">
        <v>-1.4999999999999999E-2</v>
      </c>
    </row>
    <row r="74" spans="6:278" customFormat="1">
      <c r="F74" s="17" t="str">
        <f t="shared" si="13"/>
        <v/>
      </c>
      <c r="G74" s="4"/>
      <c r="H74" s="2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22" t="e">
        <f t="shared" si="14"/>
        <v>#N/A</v>
      </c>
      <c r="X74" s="21" t="e">
        <f t="shared" si="15"/>
        <v>#N/A</v>
      </c>
      <c r="Y74" s="21" t="e">
        <f t="shared" si="16"/>
        <v>#N/A</v>
      </c>
      <c r="Z74" s="11" t="e">
        <f t="shared" si="17"/>
        <v>#N/A</v>
      </c>
      <c r="AA74" s="22" t="e">
        <f t="shared" si="18"/>
        <v>#N/A</v>
      </c>
      <c r="AB74" s="21" t="e">
        <f t="shared" si="19"/>
        <v>#N/A</v>
      </c>
      <c r="AC74" s="21" t="e">
        <f t="shared" si="20"/>
        <v>#N/A</v>
      </c>
      <c r="AD74" s="11" t="e">
        <f t="shared" si="21"/>
        <v>#N/A</v>
      </c>
      <c r="AE74" s="22" t="e">
        <f t="shared" si="22"/>
        <v>#N/A</v>
      </c>
      <c r="AF74" s="21" t="e">
        <f t="shared" si="23"/>
        <v>#N/A</v>
      </c>
      <c r="AG74" s="21" t="e">
        <f t="shared" si="24"/>
        <v>#N/A</v>
      </c>
      <c r="AH74" s="11" t="e">
        <f t="shared" si="25"/>
        <v>#N/A</v>
      </c>
      <c r="AI74">
        <v>2.5000000000000001E-2</v>
      </c>
      <c r="AJ74">
        <v>-2.5000000000000001E-2</v>
      </c>
      <c r="AK74">
        <v>1.5E-3</v>
      </c>
      <c r="AL74">
        <v>-1.5E-3</v>
      </c>
      <c r="AM74">
        <v>1.5E-3</v>
      </c>
      <c r="AN74">
        <v>-1.5E-3</v>
      </c>
      <c r="AO74" s="16">
        <v>2.5000000000000001E-2</v>
      </c>
      <c r="AP74" s="16">
        <v>-2.5000000000000001E-2</v>
      </c>
      <c r="AQ74">
        <v>1.4999999999999999E-2</v>
      </c>
      <c r="AR74">
        <v>-1.4999999999999999E-2</v>
      </c>
      <c r="AS74">
        <v>1E-3</v>
      </c>
      <c r="AT74">
        <v>-1E-3</v>
      </c>
      <c r="AU74">
        <v>1E-3</v>
      </c>
      <c r="AV74">
        <v>-1E-3</v>
      </c>
      <c r="AW74" s="16">
        <v>1.4999999999999999E-2</v>
      </c>
      <c r="AX74" s="16">
        <v>-1.4999999999999999E-2</v>
      </c>
    </row>
    <row r="75" spans="6:278" customFormat="1">
      <c r="F75" s="17" t="str">
        <f t="shared" si="13"/>
        <v/>
      </c>
      <c r="G75" s="4"/>
      <c r="H75" s="2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22" t="e">
        <f t="shared" si="14"/>
        <v>#N/A</v>
      </c>
      <c r="X75" s="21" t="e">
        <f t="shared" si="15"/>
        <v>#N/A</v>
      </c>
      <c r="Y75" s="21" t="e">
        <f t="shared" si="16"/>
        <v>#N/A</v>
      </c>
      <c r="Z75" s="11" t="e">
        <f t="shared" si="17"/>
        <v>#N/A</v>
      </c>
      <c r="AA75" s="22" t="e">
        <f t="shared" si="18"/>
        <v>#N/A</v>
      </c>
      <c r="AB75" s="21" t="e">
        <f t="shared" si="19"/>
        <v>#N/A</v>
      </c>
      <c r="AC75" s="21" t="e">
        <f t="shared" si="20"/>
        <v>#N/A</v>
      </c>
      <c r="AD75" s="11" t="e">
        <f t="shared" si="21"/>
        <v>#N/A</v>
      </c>
      <c r="AE75" s="22" t="e">
        <f t="shared" si="22"/>
        <v>#N/A</v>
      </c>
      <c r="AF75" s="21" t="e">
        <f t="shared" si="23"/>
        <v>#N/A</v>
      </c>
      <c r="AG75" s="21" t="e">
        <f t="shared" si="24"/>
        <v>#N/A</v>
      </c>
      <c r="AH75" s="11" t="e">
        <f t="shared" si="25"/>
        <v>#N/A</v>
      </c>
      <c r="AI75">
        <v>2.5000000000000001E-2</v>
      </c>
      <c r="AJ75">
        <v>-2.5000000000000001E-2</v>
      </c>
      <c r="AK75">
        <v>1.5E-3</v>
      </c>
      <c r="AL75">
        <v>-1.5E-3</v>
      </c>
      <c r="AM75">
        <v>1.5E-3</v>
      </c>
      <c r="AN75">
        <v>-1.5E-3</v>
      </c>
      <c r="AO75" s="16">
        <v>2.5000000000000001E-2</v>
      </c>
      <c r="AP75" s="16">
        <v>-2.5000000000000001E-2</v>
      </c>
      <c r="AQ75">
        <v>1.4999999999999999E-2</v>
      </c>
      <c r="AR75">
        <v>-1.4999999999999999E-2</v>
      </c>
      <c r="AS75">
        <v>1E-3</v>
      </c>
      <c r="AT75">
        <v>-1E-3</v>
      </c>
      <c r="AU75">
        <v>1E-3</v>
      </c>
      <c r="AV75">
        <v>-1E-3</v>
      </c>
      <c r="AW75" s="16">
        <v>1.4999999999999999E-2</v>
      </c>
      <c r="AX75" s="16">
        <v>-1.4999999999999999E-2</v>
      </c>
    </row>
    <row r="76" spans="6:278" customFormat="1">
      <c r="F76" s="17" t="str">
        <f t="shared" si="13"/>
        <v/>
      </c>
      <c r="G76" s="4"/>
      <c r="H76" s="2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22" t="e">
        <f t="shared" si="14"/>
        <v>#N/A</v>
      </c>
      <c r="X76" s="21" t="e">
        <f t="shared" si="15"/>
        <v>#N/A</v>
      </c>
      <c r="Y76" s="21" t="e">
        <f t="shared" si="16"/>
        <v>#N/A</v>
      </c>
      <c r="Z76" s="11" t="e">
        <f t="shared" si="17"/>
        <v>#N/A</v>
      </c>
      <c r="AA76" s="22" t="e">
        <f t="shared" si="18"/>
        <v>#N/A</v>
      </c>
      <c r="AB76" s="21" t="e">
        <f t="shared" si="19"/>
        <v>#N/A</v>
      </c>
      <c r="AC76" s="21" t="e">
        <f t="shared" si="20"/>
        <v>#N/A</v>
      </c>
      <c r="AD76" s="11" t="e">
        <f t="shared" si="21"/>
        <v>#N/A</v>
      </c>
      <c r="AE76" s="22" t="e">
        <f t="shared" si="22"/>
        <v>#N/A</v>
      </c>
      <c r="AF76" s="21" t="e">
        <f t="shared" si="23"/>
        <v>#N/A</v>
      </c>
      <c r="AG76" s="21" t="e">
        <f t="shared" si="24"/>
        <v>#N/A</v>
      </c>
      <c r="AH76" s="11" t="e">
        <f t="shared" si="25"/>
        <v>#N/A</v>
      </c>
      <c r="AI76">
        <v>2.5000000000000001E-2</v>
      </c>
      <c r="AJ76">
        <v>-2.5000000000000001E-2</v>
      </c>
      <c r="AK76">
        <v>1.5E-3</v>
      </c>
      <c r="AL76">
        <v>-1.5E-3</v>
      </c>
      <c r="AM76">
        <v>1.5E-3</v>
      </c>
      <c r="AN76">
        <v>-1.5E-3</v>
      </c>
      <c r="AO76" s="16">
        <v>2.5000000000000001E-2</v>
      </c>
      <c r="AP76" s="16">
        <v>-2.5000000000000001E-2</v>
      </c>
      <c r="AQ76">
        <v>1.4999999999999999E-2</v>
      </c>
      <c r="AR76">
        <v>-1.4999999999999999E-2</v>
      </c>
      <c r="AS76">
        <v>1E-3</v>
      </c>
      <c r="AT76">
        <v>-1E-3</v>
      </c>
      <c r="AU76">
        <v>1E-3</v>
      </c>
      <c r="AV76">
        <v>-1E-3</v>
      </c>
      <c r="AW76" s="16">
        <v>1.4999999999999999E-2</v>
      </c>
      <c r="AX76" s="16">
        <v>-1.4999999999999999E-2</v>
      </c>
    </row>
    <row r="77" spans="6:278" customFormat="1">
      <c r="F77" s="17" t="str">
        <f t="shared" si="13"/>
        <v/>
      </c>
      <c r="G77" s="4"/>
      <c r="H77" s="2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22" t="e">
        <f t="shared" si="14"/>
        <v>#N/A</v>
      </c>
      <c r="X77" s="21" t="e">
        <f t="shared" si="15"/>
        <v>#N/A</v>
      </c>
      <c r="Y77" s="21" t="e">
        <f t="shared" si="16"/>
        <v>#N/A</v>
      </c>
      <c r="Z77" s="11" t="e">
        <f t="shared" si="17"/>
        <v>#N/A</v>
      </c>
      <c r="AA77" s="22" t="e">
        <f t="shared" si="18"/>
        <v>#N/A</v>
      </c>
      <c r="AB77" s="21" t="e">
        <f t="shared" si="19"/>
        <v>#N/A</v>
      </c>
      <c r="AC77" s="21" t="e">
        <f t="shared" si="20"/>
        <v>#N/A</v>
      </c>
      <c r="AD77" s="11" t="e">
        <f t="shared" si="21"/>
        <v>#N/A</v>
      </c>
      <c r="AE77" s="22" t="e">
        <f t="shared" si="22"/>
        <v>#N/A</v>
      </c>
      <c r="AF77" s="21" t="e">
        <f t="shared" si="23"/>
        <v>#N/A</v>
      </c>
      <c r="AG77" s="21" t="e">
        <f t="shared" si="24"/>
        <v>#N/A</v>
      </c>
      <c r="AH77" s="11" t="e">
        <f t="shared" si="25"/>
        <v>#N/A</v>
      </c>
      <c r="AI77">
        <v>2.5000000000000001E-2</v>
      </c>
      <c r="AJ77">
        <v>-2.5000000000000001E-2</v>
      </c>
      <c r="AK77">
        <v>1.5E-3</v>
      </c>
      <c r="AL77">
        <v>-1.5E-3</v>
      </c>
      <c r="AM77">
        <v>1.5E-3</v>
      </c>
      <c r="AN77">
        <v>-1.5E-3</v>
      </c>
      <c r="AO77" s="16">
        <v>2.5000000000000001E-2</v>
      </c>
      <c r="AP77" s="16">
        <v>-2.5000000000000001E-2</v>
      </c>
      <c r="AQ77">
        <v>1.4999999999999999E-2</v>
      </c>
      <c r="AR77">
        <v>-1.4999999999999999E-2</v>
      </c>
      <c r="AS77">
        <v>1E-3</v>
      </c>
      <c r="AT77">
        <v>-1E-3</v>
      </c>
      <c r="AU77">
        <v>1E-3</v>
      </c>
      <c r="AV77">
        <v>-1E-3</v>
      </c>
      <c r="AW77" s="16">
        <v>1.4999999999999999E-2</v>
      </c>
      <c r="AX77" s="16">
        <v>-1.4999999999999999E-2</v>
      </c>
    </row>
    <row r="78" spans="6:278" customFormat="1">
      <c r="F78" s="17" t="str">
        <f t="shared" si="13"/>
        <v/>
      </c>
      <c r="G78" s="4"/>
      <c r="H78" s="2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22" t="e">
        <f t="shared" si="14"/>
        <v>#N/A</v>
      </c>
      <c r="X78" s="21" t="e">
        <f t="shared" si="15"/>
        <v>#N/A</v>
      </c>
      <c r="Y78" s="21" t="e">
        <f t="shared" si="16"/>
        <v>#N/A</v>
      </c>
      <c r="Z78" s="11" t="e">
        <f t="shared" si="17"/>
        <v>#N/A</v>
      </c>
      <c r="AA78" s="22" t="e">
        <f t="shared" si="18"/>
        <v>#N/A</v>
      </c>
      <c r="AB78" s="21" t="e">
        <f t="shared" si="19"/>
        <v>#N/A</v>
      </c>
      <c r="AC78" s="21" t="e">
        <f t="shared" si="20"/>
        <v>#N/A</v>
      </c>
      <c r="AD78" s="11" t="e">
        <f t="shared" si="21"/>
        <v>#N/A</v>
      </c>
      <c r="AE78" s="22" t="e">
        <f t="shared" si="22"/>
        <v>#N/A</v>
      </c>
      <c r="AF78" s="21" t="e">
        <f t="shared" si="23"/>
        <v>#N/A</v>
      </c>
      <c r="AG78" s="21" t="e">
        <f t="shared" si="24"/>
        <v>#N/A</v>
      </c>
      <c r="AH78" s="11" t="e">
        <f t="shared" si="25"/>
        <v>#N/A</v>
      </c>
      <c r="AI78">
        <v>2.5000000000000001E-2</v>
      </c>
      <c r="AJ78">
        <v>-2.5000000000000001E-2</v>
      </c>
      <c r="AK78">
        <v>1.5E-3</v>
      </c>
      <c r="AL78">
        <v>-1.5E-3</v>
      </c>
      <c r="AM78">
        <v>1.5E-3</v>
      </c>
      <c r="AN78">
        <v>-1.5E-3</v>
      </c>
      <c r="AO78" s="16">
        <v>2.5000000000000001E-2</v>
      </c>
      <c r="AP78" s="16">
        <v>-2.5000000000000001E-2</v>
      </c>
      <c r="AQ78">
        <v>1.4999999999999999E-2</v>
      </c>
      <c r="AR78">
        <v>-1.4999999999999999E-2</v>
      </c>
      <c r="AS78">
        <v>1E-3</v>
      </c>
      <c r="AT78">
        <v>-1E-3</v>
      </c>
      <c r="AU78">
        <v>1E-3</v>
      </c>
      <c r="AV78">
        <v>-1E-3</v>
      </c>
      <c r="AW78" s="16">
        <v>1.4999999999999999E-2</v>
      </c>
      <c r="AX78" s="16">
        <v>-1.4999999999999999E-2</v>
      </c>
    </row>
    <row r="79" spans="6:278" customFormat="1">
      <c r="F79" s="17" t="str">
        <f t="shared" si="13"/>
        <v/>
      </c>
      <c r="G79" s="4"/>
      <c r="H79" s="2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22" t="e">
        <f t="shared" si="14"/>
        <v>#N/A</v>
      </c>
      <c r="X79" s="21" t="e">
        <f t="shared" si="15"/>
        <v>#N/A</v>
      </c>
      <c r="Y79" s="21" t="e">
        <f t="shared" si="16"/>
        <v>#N/A</v>
      </c>
      <c r="Z79" s="11" t="e">
        <f t="shared" si="17"/>
        <v>#N/A</v>
      </c>
      <c r="AA79" s="22" t="e">
        <f t="shared" si="18"/>
        <v>#N/A</v>
      </c>
      <c r="AB79" s="21" t="e">
        <f t="shared" si="19"/>
        <v>#N/A</v>
      </c>
      <c r="AC79" s="21" t="e">
        <f t="shared" si="20"/>
        <v>#N/A</v>
      </c>
      <c r="AD79" s="11" t="e">
        <f t="shared" si="21"/>
        <v>#N/A</v>
      </c>
      <c r="AE79" s="22" t="e">
        <f t="shared" si="22"/>
        <v>#N/A</v>
      </c>
      <c r="AF79" s="21" t="e">
        <f t="shared" si="23"/>
        <v>#N/A</v>
      </c>
      <c r="AG79" s="21" t="e">
        <f t="shared" si="24"/>
        <v>#N/A</v>
      </c>
      <c r="AH79" s="11" t="e">
        <f t="shared" si="25"/>
        <v>#N/A</v>
      </c>
      <c r="AI79">
        <v>2.5000000000000001E-2</v>
      </c>
      <c r="AJ79">
        <v>-2.5000000000000001E-2</v>
      </c>
      <c r="AK79">
        <v>1.5E-3</v>
      </c>
      <c r="AL79">
        <v>-1.5E-3</v>
      </c>
      <c r="AM79">
        <v>1.5E-3</v>
      </c>
      <c r="AN79">
        <v>-1.5E-3</v>
      </c>
      <c r="AO79" s="16">
        <v>2.5000000000000001E-2</v>
      </c>
      <c r="AP79" s="16">
        <v>-2.5000000000000001E-2</v>
      </c>
      <c r="AQ79">
        <v>1.4999999999999999E-2</v>
      </c>
      <c r="AR79">
        <v>-1.4999999999999999E-2</v>
      </c>
      <c r="AS79">
        <v>1E-3</v>
      </c>
      <c r="AT79">
        <v>-1E-3</v>
      </c>
      <c r="AU79">
        <v>1E-3</v>
      </c>
      <c r="AV79">
        <v>-1E-3</v>
      </c>
      <c r="AW79" s="16">
        <v>1.4999999999999999E-2</v>
      </c>
      <c r="AX79" s="16">
        <v>-1.4999999999999999E-2</v>
      </c>
    </row>
    <row r="80" spans="6:278" customFormat="1">
      <c r="F80" s="17" t="str">
        <f t="shared" si="13"/>
        <v/>
      </c>
      <c r="G80" s="4"/>
      <c r="H80" s="2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22" t="e">
        <f t="shared" si="14"/>
        <v>#N/A</v>
      </c>
      <c r="X80" s="21" t="e">
        <f t="shared" si="15"/>
        <v>#N/A</v>
      </c>
      <c r="Y80" s="21" t="e">
        <f t="shared" si="16"/>
        <v>#N/A</v>
      </c>
      <c r="Z80" s="11" t="e">
        <f t="shared" si="17"/>
        <v>#N/A</v>
      </c>
      <c r="AA80" s="22" t="e">
        <f t="shared" si="18"/>
        <v>#N/A</v>
      </c>
      <c r="AB80" s="21" t="e">
        <f t="shared" si="19"/>
        <v>#N/A</v>
      </c>
      <c r="AC80" s="21" t="e">
        <f t="shared" si="20"/>
        <v>#N/A</v>
      </c>
      <c r="AD80" s="11" t="e">
        <f t="shared" si="21"/>
        <v>#N/A</v>
      </c>
      <c r="AE80" s="22" t="e">
        <f t="shared" si="22"/>
        <v>#N/A</v>
      </c>
      <c r="AF80" s="21" t="e">
        <f t="shared" si="23"/>
        <v>#N/A</v>
      </c>
      <c r="AG80" s="21" t="e">
        <f t="shared" si="24"/>
        <v>#N/A</v>
      </c>
      <c r="AH80" s="11" t="e">
        <f t="shared" si="25"/>
        <v>#N/A</v>
      </c>
      <c r="AI80">
        <v>2.5000000000000001E-2</v>
      </c>
      <c r="AJ80">
        <v>-2.5000000000000001E-2</v>
      </c>
      <c r="AK80">
        <v>1.5E-3</v>
      </c>
      <c r="AL80">
        <v>-1.5E-3</v>
      </c>
      <c r="AM80">
        <v>1.5E-3</v>
      </c>
      <c r="AN80">
        <v>-1.5E-3</v>
      </c>
      <c r="AO80" s="16">
        <v>2.5000000000000001E-2</v>
      </c>
      <c r="AP80" s="16">
        <v>-2.5000000000000001E-2</v>
      </c>
      <c r="AQ80">
        <v>1.4999999999999999E-2</v>
      </c>
      <c r="AR80">
        <v>-1.4999999999999999E-2</v>
      </c>
      <c r="AS80">
        <v>1E-3</v>
      </c>
      <c r="AT80">
        <v>-1E-3</v>
      </c>
      <c r="AU80">
        <v>1E-3</v>
      </c>
      <c r="AV80">
        <v>-1E-3</v>
      </c>
      <c r="AW80" s="16">
        <v>1.4999999999999999E-2</v>
      </c>
      <c r="AX80" s="16">
        <v>-1.4999999999999999E-2</v>
      </c>
    </row>
    <row r="81" spans="6:50">
      <c r="F81" s="17" t="str">
        <f t="shared" si="13"/>
        <v/>
      </c>
      <c r="G81" s="4"/>
      <c r="H81" s="2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22" t="e">
        <f t="shared" si="14"/>
        <v>#N/A</v>
      </c>
      <c r="X81" s="21" t="e">
        <f t="shared" si="15"/>
        <v>#N/A</v>
      </c>
      <c r="Y81" s="21" t="e">
        <f t="shared" si="16"/>
        <v>#N/A</v>
      </c>
      <c r="Z81" s="11" t="e">
        <f t="shared" si="17"/>
        <v>#N/A</v>
      </c>
      <c r="AA81" s="22" t="e">
        <f t="shared" si="18"/>
        <v>#N/A</v>
      </c>
      <c r="AB81" s="21" t="e">
        <f t="shared" si="19"/>
        <v>#N/A</v>
      </c>
      <c r="AC81" s="21" t="e">
        <f t="shared" si="20"/>
        <v>#N/A</v>
      </c>
      <c r="AD81" s="11" t="e">
        <f t="shared" si="21"/>
        <v>#N/A</v>
      </c>
      <c r="AE81" s="22" t="e">
        <f t="shared" si="22"/>
        <v>#N/A</v>
      </c>
      <c r="AF81" s="21" t="e">
        <f t="shared" si="23"/>
        <v>#N/A</v>
      </c>
      <c r="AG81" s="21" t="e">
        <f t="shared" si="24"/>
        <v>#N/A</v>
      </c>
      <c r="AH81" s="11" t="e">
        <f t="shared" si="25"/>
        <v>#N/A</v>
      </c>
      <c r="AI81">
        <v>2.5000000000000001E-2</v>
      </c>
      <c r="AJ81">
        <v>-2.5000000000000001E-2</v>
      </c>
      <c r="AK81">
        <v>1.5E-3</v>
      </c>
      <c r="AL81">
        <v>-1.5E-3</v>
      </c>
      <c r="AM81">
        <v>1.5E-3</v>
      </c>
      <c r="AN81">
        <v>-1.5E-3</v>
      </c>
      <c r="AO81" s="16">
        <v>2.5000000000000001E-2</v>
      </c>
      <c r="AP81" s="16">
        <v>-2.5000000000000001E-2</v>
      </c>
      <c r="AQ81">
        <v>1.4999999999999999E-2</v>
      </c>
      <c r="AR81">
        <v>-1.4999999999999999E-2</v>
      </c>
      <c r="AS81">
        <v>1E-3</v>
      </c>
      <c r="AT81">
        <v>-1E-3</v>
      </c>
      <c r="AU81">
        <v>1E-3</v>
      </c>
      <c r="AV81">
        <v>-1E-3</v>
      </c>
      <c r="AW81" s="16">
        <v>1.4999999999999999E-2</v>
      </c>
      <c r="AX81" s="16">
        <v>-1.4999999999999999E-2</v>
      </c>
    </row>
    <row r="82" spans="6:50">
      <c r="F82" s="17" t="str">
        <f t="shared" si="13"/>
        <v/>
      </c>
      <c r="G82" s="4"/>
      <c r="H82" s="2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22" t="e">
        <f t="shared" si="14"/>
        <v>#N/A</v>
      </c>
      <c r="X82" s="21" t="e">
        <f t="shared" si="15"/>
        <v>#N/A</v>
      </c>
      <c r="Y82" s="21" t="e">
        <f t="shared" si="16"/>
        <v>#N/A</v>
      </c>
      <c r="Z82" s="11" t="e">
        <f t="shared" si="17"/>
        <v>#N/A</v>
      </c>
      <c r="AA82" s="22" t="e">
        <f t="shared" si="18"/>
        <v>#N/A</v>
      </c>
      <c r="AB82" s="21" t="e">
        <f t="shared" si="19"/>
        <v>#N/A</v>
      </c>
      <c r="AC82" s="21" t="e">
        <f t="shared" si="20"/>
        <v>#N/A</v>
      </c>
      <c r="AD82" s="11" t="e">
        <f t="shared" si="21"/>
        <v>#N/A</v>
      </c>
      <c r="AE82" s="22" t="e">
        <f t="shared" si="22"/>
        <v>#N/A</v>
      </c>
      <c r="AF82" s="21" t="e">
        <f t="shared" si="23"/>
        <v>#N/A</v>
      </c>
      <c r="AG82" s="21" t="e">
        <f t="shared" si="24"/>
        <v>#N/A</v>
      </c>
      <c r="AH82" s="11" t="e">
        <f t="shared" si="25"/>
        <v>#N/A</v>
      </c>
      <c r="AI82">
        <v>2.5000000000000001E-2</v>
      </c>
      <c r="AJ82">
        <v>-2.5000000000000001E-2</v>
      </c>
      <c r="AK82">
        <v>1.5E-3</v>
      </c>
      <c r="AL82">
        <v>-1.5E-3</v>
      </c>
      <c r="AM82">
        <v>1.5E-3</v>
      </c>
      <c r="AN82">
        <v>-1.5E-3</v>
      </c>
      <c r="AO82" s="16">
        <v>2.5000000000000001E-2</v>
      </c>
      <c r="AP82" s="16">
        <v>-2.5000000000000001E-2</v>
      </c>
      <c r="AQ82">
        <v>1.4999999999999999E-2</v>
      </c>
      <c r="AR82">
        <v>-1.4999999999999999E-2</v>
      </c>
      <c r="AS82">
        <v>1E-3</v>
      </c>
      <c r="AT82">
        <v>-1E-3</v>
      </c>
      <c r="AU82">
        <v>1E-3</v>
      </c>
      <c r="AV82">
        <v>-1E-3</v>
      </c>
      <c r="AW82" s="16">
        <v>1.4999999999999999E-2</v>
      </c>
      <c r="AX82" s="16">
        <v>-1.4999999999999999E-2</v>
      </c>
    </row>
    <row r="83" spans="6:50">
      <c r="F83" s="17" t="str">
        <f t="shared" si="13"/>
        <v/>
      </c>
      <c r="G83" s="4"/>
      <c r="H83" s="2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22" t="e">
        <f t="shared" si="14"/>
        <v>#N/A</v>
      </c>
      <c r="X83" s="21" t="e">
        <f t="shared" si="15"/>
        <v>#N/A</v>
      </c>
      <c r="Y83" s="21" t="e">
        <f t="shared" si="16"/>
        <v>#N/A</v>
      </c>
      <c r="Z83" s="11" t="e">
        <f t="shared" si="17"/>
        <v>#N/A</v>
      </c>
      <c r="AA83" s="22" t="e">
        <f t="shared" si="18"/>
        <v>#N/A</v>
      </c>
      <c r="AB83" s="21" t="e">
        <f t="shared" si="19"/>
        <v>#N/A</v>
      </c>
      <c r="AC83" s="21" t="e">
        <f t="shared" si="20"/>
        <v>#N/A</v>
      </c>
      <c r="AD83" s="11" t="e">
        <f t="shared" si="21"/>
        <v>#N/A</v>
      </c>
      <c r="AE83" s="22" t="e">
        <f t="shared" si="22"/>
        <v>#N/A</v>
      </c>
      <c r="AF83" s="21" t="e">
        <f t="shared" si="23"/>
        <v>#N/A</v>
      </c>
      <c r="AG83" s="21" t="e">
        <f t="shared" si="24"/>
        <v>#N/A</v>
      </c>
      <c r="AH83" s="11" t="e">
        <f t="shared" si="25"/>
        <v>#N/A</v>
      </c>
      <c r="AI83">
        <v>2.5000000000000001E-2</v>
      </c>
      <c r="AJ83">
        <v>-2.5000000000000001E-2</v>
      </c>
      <c r="AK83">
        <v>1.5E-3</v>
      </c>
      <c r="AL83">
        <v>-1.5E-3</v>
      </c>
      <c r="AM83">
        <v>1.5E-3</v>
      </c>
      <c r="AN83">
        <v>-1.5E-3</v>
      </c>
      <c r="AO83" s="16">
        <v>2.5000000000000001E-2</v>
      </c>
      <c r="AP83" s="16">
        <v>-2.5000000000000001E-2</v>
      </c>
      <c r="AQ83">
        <v>1.4999999999999999E-2</v>
      </c>
      <c r="AR83">
        <v>-1.4999999999999999E-2</v>
      </c>
      <c r="AS83">
        <v>1E-3</v>
      </c>
      <c r="AT83">
        <v>-1E-3</v>
      </c>
      <c r="AU83">
        <v>1E-3</v>
      </c>
      <c r="AV83">
        <v>-1E-3</v>
      </c>
      <c r="AW83" s="16">
        <v>1.4999999999999999E-2</v>
      </c>
      <c r="AX83" s="16">
        <v>-1.4999999999999999E-2</v>
      </c>
    </row>
    <row r="84" spans="6:50">
      <c r="F84" s="17" t="str">
        <f t="shared" si="13"/>
        <v/>
      </c>
      <c r="G84" s="4"/>
      <c r="H84" s="2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22" t="e">
        <f t="shared" si="14"/>
        <v>#N/A</v>
      </c>
      <c r="X84" s="21" t="e">
        <f t="shared" si="15"/>
        <v>#N/A</v>
      </c>
      <c r="Y84" s="21" t="e">
        <f t="shared" si="16"/>
        <v>#N/A</v>
      </c>
      <c r="Z84" s="11" t="e">
        <f t="shared" si="17"/>
        <v>#N/A</v>
      </c>
      <c r="AA84" s="22" t="e">
        <f t="shared" si="18"/>
        <v>#N/A</v>
      </c>
      <c r="AB84" s="21" t="e">
        <f t="shared" si="19"/>
        <v>#N/A</v>
      </c>
      <c r="AC84" s="21" t="e">
        <f t="shared" si="20"/>
        <v>#N/A</v>
      </c>
      <c r="AD84" s="11" t="e">
        <f t="shared" si="21"/>
        <v>#N/A</v>
      </c>
      <c r="AE84" s="22" t="e">
        <f t="shared" si="22"/>
        <v>#N/A</v>
      </c>
      <c r="AF84" s="21" t="e">
        <f t="shared" si="23"/>
        <v>#N/A</v>
      </c>
      <c r="AG84" s="21" t="e">
        <f t="shared" si="24"/>
        <v>#N/A</v>
      </c>
      <c r="AH84" s="11" t="e">
        <f t="shared" si="25"/>
        <v>#N/A</v>
      </c>
      <c r="AI84">
        <v>2.5000000000000001E-2</v>
      </c>
      <c r="AJ84">
        <v>-2.5000000000000001E-2</v>
      </c>
      <c r="AK84">
        <v>1.5E-3</v>
      </c>
      <c r="AL84">
        <v>-1.5E-3</v>
      </c>
      <c r="AM84">
        <v>1.5E-3</v>
      </c>
      <c r="AN84">
        <v>-1.5E-3</v>
      </c>
      <c r="AO84" s="16">
        <v>2.5000000000000001E-2</v>
      </c>
      <c r="AP84" s="16">
        <v>-2.5000000000000001E-2</v>
      </c>
      <c r="AQ84">
        <v>1.4999999999999999E-2</v>
      </c>
      <c r="AR84">
        <v>-1.4999999999999999E-2</v>
      </c>
      <c r="AS84">
        <v>1E-3</v>
      </c>
      <c r="AT84">
        <v>-1E-3</v>
      </c>
      <c r="AU84">
        <v>1E-3</v>
      </c>
      <c r="AV84">
        <v>-1E-3</v>
      </c>
      <c r="AW84" s="16">
        <v>1.4999999999999999E-2</v>
      </c>
      <c r="AX84" s="16">
        <v>-1.4999999999999999E-2</v>
      </c>
    </row>
    <row r="85" spans="6:50">
      <c r="F85" s="17" t="str">
        <f t="shared" si="13"/>
        <v/>
      </c>
      <c r="G85" s="4"/>
      <c r="H85" s="2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22" t="e">
        <f t="shared" si="14"/>
        <v>#N/A</v>
      </c>
      <c r="X85" s="21" t="e">
        <f t="shared" si="15"/>
        <v>#N/A</v>
      </c>
      <c r="Y85" s="21" t="e">
        <f t="shared" si="16"/>
        <v>#N/A</v>
      </c>
      <c r="Z85" s="11" t="e">
        <f t="shared" si="17"/>
        <v>#N/A</v>
      </c>
      <c r="AA85" s="22" t="e">
        <f t="shared" si="18"/>
        <v>#N/A</v>
      </c>
      <c r="AB85" s="21" t="e">
        <f t="shared" si="19"/>
        <v>#N/A</v>
      </c>
      <c r="AC85" s="21" t="e">
        <f t="shared" si="20"/>
        <v>#N/A</v>
      </c>
      <c r="AD85" s="11" t="e">
        <f t="shared" si="21"/>
        <v>#N/A</v>
      </c>
      <c r="AE85" s="22" t="e">
        <f t="shared" si="22"/>
        <v>#N/A</v>
      </c>
      <c r="AF85" s="21" t="e">
        <f t="shared" si="23"/>
        <v>#N/A</v>
      </c>
      <c r="AG85" s="21" t="e">
        <f t="shared" si="24"/>
        <v>#N/A</v>
      </c>
      <c r="AH85" s="11" t="e">
        <f t="shared" si="25"/>
        <v>#N/A</v>
      </c>
      <c r="AI85">
        <v>2.5000000000000001E-2</v>
      </c>
      <c r="AJ85">
        <v>-2.5000000000000001E-2</v>
      </c>
      <c r="AK85">
        <v>1.5E-3</v>
      </c>
      <c r="AL85">
        <v>-1.5E-3</v>
      </c>
      <c r="AM85">
        <v>1.5E-3</v>
      </c>
      <c r="AN85">
        <v>-1.5E-3</v>
      </c>
      <c r="AO85" s="16">
        <v>2.5000000000000001E-2</v>
      </c>
      <c r="AP85" s="16">
        <v>-2.5000000000000001E-2</v>
      </c>
      <c r="AQ85">
        <v>1.4999999999999999E-2</v>
      </c>
      <c r="AR85">
        <v>-1.4999999999999999E-2</v>
      </c>
      <c r="AS85">
        <v>1E-3</v>
      </c>
      <c r="AT85">
        <v>-1E-3</v>
      </c>
      <c r="AU85">
        <v>1E-3</v>
      </c>
      <c r="AV85">
        <v>-1E-3</v>
      </c>
      <c r="AW85" s="16">
        <v>1.4999999999999999E-2</v>
      </c>
      <c r="AX85" s="16">
        <v>-1.4999999999999999E-2</v>
      </c>
    </row>
    <row r="86" spans="6:50">
      <c r="F86" s="17" t="str">
        <f t="shared" si="13"/>
        <v/>
      </c>
      <c r="G86" s="4"/>
      <c r="H86" s="2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22" t="e">
        <f t="shared" si="14"/>
        <v>#N/A</v>
      </c>
      <c r="X86" s="21" t="e">
        <f t="shared" si="15"/>
        <v>#N/A</v>
      </c>
      <c r="Y86" s="21" t="e">
        <f t="shared" si="16"/>
        <v>#N/A</v>
      </c>
      <c r="Z86" s="11" t="e">
        <f t="shared" si="17"/>
        <v>#N/A</v>
      </c>
      <c r="AA86" s="22" t="e">
        <f t="shared" si="18"/>
        <v>#N/A</v>
      </c>
      <c r="AB86" s="21" t="e">
        <f t="shared" si="19"/>
        <v>#N/A</v>
      </c>
      <c r="AC86" s="21" t="e">
        <f t="shared" si="20"/>
        <v>#N/A</v>
      </c>
      <c r="AD86" s="11" t="e">
        <f t="shared" si="21"/>
        <v>#N/A</v>
      </c>
      <c r="AE86" s="22" t="e">
        <f t="shared" si="22"/>
        <v>#N/A</v>
      </c>
      <c r="AF86" s="21" t="e">
        <f t="shared" si="23"/>
        <v>#N/A</v>
      </c>
      <c r="AG86" s="21" t="e">
        <f t="shared" si="24"/>
        <v>#N/A</v>
      </c>
      <c r="AH86" s="11" t="e">
        <f t="shared" si="25"/>
        <v>#N/A</v>
      </c>
      <c r="AI86">
        <v>2.5000000000000001E-2</v>
      </c>
      <c r="AJ86">
        <v>-2.5000000000000001E-2</v>
      </c>
      <c r="AK86">
        <v>1.5E-3</v>
      </c>
      <c r="AL86">
        <v>-1.5E-3</v>
      </c>
      <c r="AM86">
        <v>1.5E-3</v>
      </c>
      <c r="AN86">
        <v>-1.5E-3</v>
      </c>
      <c r="AO86" s="16">
        <v>2.5000000000000001E-2</v>
      </c>
      <c r="AP86" s="16">
        <v>-2.5000000000000001E-2</v>
      </c>
      <c r="AQ86">
        <v>1.4999999999999999E-2</v>
      </c>
      <c r="AR86">
        <v>-1.4999999999999999E-2</v>
      </c>
      <c r="AS86">
        <v>1E-3</v>
      </c>
      <c r="AT86">
        <v>-1E-3</v>
      </c>
      <c r="AU86">
        <v>1E-3</v>
      </c>
      <c r="AV86">
        <v>-1E-3</v>
      </c>
      <c r="AW86" s="16">
        <v>1.4999999999999999E-2</v>
      </c>
      <c r="AX86" s="16">
        <v>-1.4999999999999999E-2</v>
      </c>
    </row>
    <row r="87" spans="6:50">
      <c r="F87" s="17" t="str">
        <f t="shared" si="13"/>
        <v/>
      </c>
      <c r="G87" s="4"/>
      <c r="H87" s="2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22" t="e">
        <f t="shared" si="14"/>
        <v>#N/A</v>
      </c>
      <c r="X87" s="21" t="e">
        <f t="shared" si="15"/>
        <v>#N/A</v>
      </c>
      <c r="Y87" s="21" t="e">
        <f t="shared" si="16"/>
        <v>#N/A</v>
      </c>
      <c r="Z87" s="11" t="e">
        <f t="shared" si="17"/>
        <v>#N/A</v>
      </c>
      <c r="AA87" s="22" t="e">
        <f t="shared" si="18"/>
        <v>#N/A</v>
      </c>
      <c r="AB87" s="21" t="e">
        <f t="shared" si="19"/>
        <v>#N/A</v>
      </c>
      <c r="AC87" s="21" t="e">
        <f t="shared" si="20"/>
        <v>#N/A</v>
      </c>
      <c r="AD87" s="11" t="e">
        <f t="shared" si="21"/>
        <v>#N/A</v>
      </c>
      <c r="AE87" s="22" t="e">
        <f t="shared" si="22"/>
        <v>#N/A</v>
      </c>
      <c r="AF87" s="21" t="e">
        <f t="shared" si="23"/>
        <v>#N/A</v>
      </c>
      <c r="AG87" s="21" t="e">
        <f t="shared" si="24"/>
        <v>#N/A</v>
      </c>
      <c r="AH87" s="11" t="e">
        <f t="shared" si="25"/>
        <v>#N/A</v>
      </c>
      <c r="AI87">
        <v>2.5000000000000001E-2</v>
      </c>
      <c r="AJ87">
        <v>-2.5000000000000001E-2</v>
      </c>
      <c r="AK87">
        <v>1.5E-3</v>
      </c>
      <c r="AL87">
        <v>-1.5E-3</v>
      </c>
      <c r="AM87">
        <v>1.5E-3</v>
      </c>
      <c r="AN87">
        <v>-1.5E-3</v>
      </c>
      <c r="AO87" s="16">
        <v>2.5000000000000001E-2</v>
      </c>
      <c r="AP87" s="16">
        <v>-2.5000000000000001E-2</v>
      </c>
      <c r="AQ87">
        <v>1.4999999999999999E-2</v>
      </c>
      <c r="AR87">
        <v>-1.4999999999999999E-2</v>
      </c>
      <c r="AS87">
        <v>1E-3</v>
      </c>
      <c r="AT87">
        <v>-1E-3</v>
      </c>
      <c r="AU87">
        <v>1E-3</v>
      </c>
      <c r="AV87">
        <v>-1E-3</v>
      </c>
      <c r="AW87" s="16">
        <v>1.4999999999999999E-2</v>
      </c>
      <c r="AX87" s="16">
        <v>-1.4999999999999999E-2</v>
      </c>
    </row>
    <row r="88" spans="6:50">
      <c r="F88" s="17" t="str">
        <f t="shared" si="13"/>
        <v/>
      </c>
      <c r="G88" s="4"/>
      <c r="H88" s="2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22" t="e">
        <f t="shared" si="14"/>
        <v>#N/A</v>
      </c>
      <c r="X88" s="21" t="e">
        <f t="shared" si="15"/>
        <v>#N/A</v>
      </c>
      <c r="Y88" s="21" t="e">
        <f t="shared" si="16"/>
        <v>#N/A</v>
      </c>
      <c r="Z88" s="11" t="e">
        <f t="shared" si="17"/>
        <v>#N/A</v>
      </c>
      <c r="AA88" s="22" t="e">
        <f t="shared" si="18"/>
        <v>#N/A</v>
      </c>
      <c r="AB88" s="21" t="e">
        <f t="shared" si="19"/>
        <v>#N/A</v>
      </c>
      <c r="AC88" s="21" t="e">
        <f t="shared" si="20"/>
        <v>#N/A</v>
      </c>
      <c r="AD88" s="11" t="e">
        <f t="shared" si="21"/>
        <v>#N/A</v>
      </c>
      <c r="AE88" s="22" t="e">
        <f t="shared" si="22"/>
        <v>#N/A</v>
      </c>
      <c r="AF88" s="21" t="e">
        <f t="shared" si="23"/>
        <v>#N/A</v>
      </c>
      <c r="AG88" s="21" t="e">
        <f t="shared" si="24"/>
        <v>#N/A</v>
      </c>
      <c r="AH88" s="11" t="e">
        <f t="shared" si="25"/>
        <v>#N/A</v>
      </c>
      <c r="AI88">
        <v>2.5000000000000001E-2</v>
      </c>
      <c r="AJ88">
        <v>-2.5000000000000001E-2</v>
      </c>
      <c r="AK88">
        <v>1.5E-3</v>
      </c>
      <c r="AL88">
        <v>-1.5E-3</v>
      </c>
      <c r="AM88">
        <v>1.5E-3</v>
      </c>
      <c r="AN88">
        <v>-1.5E-3</v>
      </c>
      <c r="AO88" s="16">
        <v>2.5000000000000001E-2</v>
      </c>
      <c r="AP88" s="16">
        <v>-2.5000000000000001E-2</v>
      </c>
      <c r="AQ88">
        <v>1.4999999999999999E-2</v>
      </c>
      <c r="AR88">
        <v>-1.4999999999999999E-2</v>
      </c>
      <c r="AS88">
        <v>1E-3</v>
      </c>
      <c r="AT88">
        <v>-1E-3</v>
      </c>
      <c r="AU88">
        <v>1E-3</v>
      </c>
      <c r="AV88">
        <v>-1E-3</v>
      </c>
      <c r="AW88" s="16">
        <v>1.4999999999999999E-2</v>
      </c>
      <c r="AX88" s="16">
        <v>-1.4999999999999999E-2</v>
      </c>
    </row>
    <row r="89" spans="6:50">
      <c r="F89" s="17" t="str">
        <f t="shared" si="13"/>
        <v/>
      </c>
      <c r="G89" s="4"/>
      <c r="H89" s="2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22" t="e">
        <f t="shared" si="14"/>
        <v>#N/A</v>
      </c>
      <c r="X89" s="21" t="e">
        <f t="shared" si="15"/>
        <v>#N/A</v>
      </c>
      <c r="Y89" s="21" t="e">
        <f t="shared" si="16"/>
        <v>#N/A</v>
      </c>
      <c r="Z89" s="11" t="e">
        <f t="shared" si="17"/>
        <v>#N/A</v>
      </c>
      <c r="AA89" s="22" t="e">
        <f t="shared" si="18"/>
        <v>#N/A</v>
      </c>
      <c r="AB89" s="21" t="e">
        <f t="shared" si="19"/>
        <v>#N/A</v>
      </c>
      <c r="AC89" s="21" t="e">
        <f t="shared" si="20"/>
        <v>#N/A</v>
      </c>
      <c r="AD89" s="11" t="e">
        <f t="shared" si="21"/>
        <v>#N/A</v>
      </c>
      <c r="AE89" s="22" t="e">
        <f t="shared" si="22"/>
        <v>#N/A</v>
      </c>
      <c r="AF89" s="21" t="e">
        <f t="shared" si="23"/>
        <v>#N/A</v>
      </c>
      <c r="AG89" s="21" t="e">
        <f t="shared" si="24"/>
        <v>#N/A</v>
      </c>
      <c r="AH89" s="11" t="e">
        <f t="shared" si="25"/>
        <v>#N/A</v>
      </c>
      <c r="AI89">
        <v>2.5000000000000001E-2</v>
      </c>
      <c r="AJ89">
        <v>-2.5000000000000001E-2</v>
      </c>
      <c r="AK89">
        <v>1.5E-3</v>
      </c>
      <c r="AL89">
        <v>-1.5E-3</v>
      </c>
      <c r="AM89">
        <v>1.5E-3</v>
      </c>
      <c r="AN89">
        <v>-1.5E-3</v>
      </c>
      <c r="AO89" s="16">
        <v>2.5000000000000001E-2</v>
      </c>
      <c r="AP89" s="16">
        <v>-2.5000000000000001E-2</v>
      </c>
      <c r="AQ89">
        <v>1.4999999999999999E-2</v>
      </c>
      <c r="AR89">
        <v>-1.4999999999999999E-2</v>
      </c>
      <c r="AS89">
        <v>1E-3</v>
      </c>
      <c r="AT89">
        <v>-1E-3</v>
      </c>
      <c r="AU89">
        <v>1E-3</v>
      </c>
      <c r="AV89">
        <v>-1E-3</v>
      </c>
      <c r="AW89" s="16">
        <v>1.4999999999999999E-2</v>
      </c>
      <c r="AX89" s="16">
        <v>-1.4999999999999999E-2</v>
      </c>
    </row>
    <row r="90" spans="6:50">
      <c r="F90" s="17" t="str">
        <f t="shared" si="13"/>
        <v/>
      </c>
      <c r="G90" s="4"/>
      <c r="H90" s="2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22" t="e">
        <f t="shared" si="14"/>
        <v>#N/A</v>
      </c>
      <c r="X90" s="21" t="e">
        <f t="shared" si="15"/>
        <v>#N/A</v>
      </c>
      <c r="Y90" s="21" t="e">
        <f t="shared" si="16"/>
        <v>#N/A</v>
      </c>
      <c r="Z90" s="11" t="e">
        <f t="shared" si="17"/>
        <v>#N/A</v>
      </c>
      <c r="AA90" s="22" t="e">
        <f t="shared" si="18"/>
        <v>#N/A</v>
      </c>
      <c r="AB90" s="21" t="e">
        <f t="shared" si="19"/>
        <v>#N/A</v>
      </c>
      <c r="AC90" s="21" t="e">
        <f t="shared" si="20"/>
        <v>#N/A</v>
      </c>
      <c r="AD90" s="11" t="e">
        <f t="shared" si="21"/>
        <v>#N/A</v>
      </c>
      <c r="AE90" s="22" t="e">
        <f t="shared" si="22"/>
        <v>#N/A</v>
      </c>
      <c r="AF90" s="21" t="e">
        <f t="shared" si="23"/>
        <v>#N/A</v>
      </c>
      <c r="AG90" s="21" t="e">
        <f t="shared" si="24"/>
        <v>#N/A</v>
      </c>
      <c r="AH90" s="11" t="e">
        <f t="shared" si="25"/>
        <v>#N/A</v>
      </c>
      <c r="AI90">
        <v>2.5000000000000001E-2</v>
      </c>
      <c r="AJ90">
        <v>-2.5000000000000001E-2</v>
      </c>
      <c r="AK90">
        <v>1.5E-3</v>
      </c>
      <c r="AL90">
        <v>-1.5E-3</v>
      </c>
      <c r="AM90">
        <v>1.5E-3</v>
      </c>
      <c r="AN90">
        <v>-1.5E-3</v>
      </c>
      <c r="AO90" s="16">
        <v>2.5000000000000001E-2</v>
      </c>
      <c r="AP90" s="16">
        <v>-2.5000000000000001E-2</v>
      </c>
      <c r="AQ90">
        <v>1.4999999999999999E-2</v>
      </c>
      <c r="AR90">
        <v>-1.4999999999999999E-2</v>
      </c>
      <c r="AS90">
        <v>1E-3</v>
      </c>
      <c r="AT90">
        <v>-1E-3</v>
      </c>
      <c r="AU90">
        <v>1E-3</v>
      </c>
      <c r="AV90">
        <v>-1E-3</v>
      </c>
      <c r="AW90" s="16">
        <v>1.4999999999999999E-2</v>
      </c>
      <c r="AX90" s="16">
        <v>-1.4999999999999999E-2</v>
      </c>
    </row>
    <row r="91" spans="6:50">
      <c r="F91" s="17" t="str">
        <f t="shared" si="13"/>
        <v/>
      </c>
      <c r="G91" s="4"/>
      <c r="H91" s="2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22" t="e">
        <f t="shared" si="14"/>
        <v>#N/A</v>
      </c>
      <c r="X91" s="21" t="e">
        <f t="shared" si="15"/>
        <v>#N/A</v>
      </c>
      <c r="Y91" s="21" t="e">
        <f t="shared" si="16"/>
        <v>#N/A</v>
      </c>
      <c r="Z91" s="11" t="e">
        <f t="shared" si="17"/>
        <v>#N/A</v>
      </c>
      <c r="AA91" s="22" t="e">
        <f t="shared" si="18"/>
        <v>#N/A</v>
      </c>
      <c r="AB91" s="21" t="e">
        <f t="shared" si="19"/>
        <v>#N/A</v>
      </c>
      <c r="AC91" s="21" t="e">
        <f t="shared" si="20"/>
        <v>#N/A</v>
      </c>
      <c r="AD91" s="11" t="e">
        <f t="shared" si="21"/>
        <v>#N/A</v>
      </c>
      <c r="AE91" s="22" t="e">
        <f t="shared" si="22"/>
        <v>#N/A</v>
      </c>
      <c r="AF91" s="21" t="e">
        <f t="shared" si="23"/>
        <v>#N/A</v>
      </c>
      <c r="AG91" s="21" t="e">
        <f t="shared" si="24"/>
        <v>#N/A</v>
      </c>
      <c r="AH91" s="11" t="e">
        <f t="shared" si="25"/>
        <v>#N/A</v>
      </c>
      <c r="AI91">
        <v>2.5000000000000001E-2</v>
      </c>
      <c r="AJ91">
        <v>-2.5000000000000001E-2</v>
      </c>
      <c r="AK91">
        <v>1.5E-3</v>
      </c>
      <c r="AL91">
        <v>-1.5E-3</v>
      </c>
      <c r="AM91">
        <v>1.5E-3</v>
      </c>
      <c r="AN91">
        <v>-1.5E-3</v>
      </c>
      <c r="AO91" s="16">
        <v>2.5000000000000001E-2</v>
      </c>
      <c r="AP91" s="16">
        <v>-2.5000000000000001E-2</v>
      </c>
      <c r="AQ91">
        <v>1.4999999999999999E-2</v>
      </c>
      <c r="AR91">
        <v>-1.4999999999999999E-2</v>
      </c>
      <c r="AS91">
        <v>1E-3</v>
      </c>
      <c r="AT91">
        <v>-1E-3</v>
      </c>
      <c r="AU91">
        <v>1E-3</v>
      </c>
      <c r="AV91">
        <v>-1E-3</v>
      </c>
      <c r="AW91" s="16">
        <v>1.4999999999999999E-2</v>
      </c>
      <c r="AX91" s="16">
        <v>-1.4999999999999999E-2</v>
      </c>
    </row>
    <row r="92" spans="6:50">
      <c r="F92" s="17" t="str">
        <f t="shared" si="13"/>
        <v/>
      </c>
      <c r="G92" s="4"/>
      <c r="H92" s="2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22" t="e">
        <f t="shared" si="14"/>
        <v>#N/A</v>
      </c>
      <c r="X92" s="21" t="e">
        <f t="shared" si="15"/>
        <v>#N/A</v>
      </c>
      <c r="Y92" s="21" t="e">
        <f t="shared" si="16"/>
        <v>#N/A</v>
      </c>
      <c r="Z92" s="11" t="e">
        <f t="shared" si="17"/>
        <v>#N/A</v>
      </c>
      <c r="AA92" s="22" t="e">
        <f t="shared" si="18"/>
        <v>#N/A</v>
      </c>
      <c r="AB92" s="21" t="e">
        <f t="shared" si="19"/>
        <v>#N/A</v>
      </c>
      <c r="AC92" s="21" t="e">
        <f t="shared" si="20"/>
        <v>#N/A</v>
      </c>
      <c r="AD92" s="11" t="e">
        <f t="shared" si="21"/>
        <v>#N/A</v>
      </c>
      <c r="AE92" s="22" t="e">
        <f t="shared" si="22"/>
        <v>#N/A</v>
      </c>
      <c r="AF92" s="21" t="e">
        <f t="shared" si="23"/>
        <v>#N/A</v>
      </c>
      <c r="AG92" s="21" t="e">
        <f t="shared" si="24"/>
        <v>#N/A</v>
      </c>
      <c r="AH92" s="11" t="e">
        <f t="shared" si="25"/>
        <v>#N/A</v>
      </c>
      <c r="AI92">
        <v>2.5000000000000001E-2</v>
      </c>
      <c r="AJ92">
        <v>-2.5000000000000001E-2</v>
      </c>
      <c r="AK92">
        <v>1.5E-3</v>
      </c>
      <c r="AL92">
        <v>-1.5E-3</v>
      </c>
      <c r="AM92">
        <v>1.5E-3</v>
      </c>
      <c r="AN92">
        <v>-1.5E-3</v>
      </c>
      <c r="AO92" s="16">
        <v>2.5000000000000001E-2</v>
      </c>
      <c r="AP92" s="16">
        <v>-2.5000000000000001E-2</v>
      </c>
      <c r="AQ92">
        <v>1.4999999999999999E-2</v>
      </c>
      <c r="AR92">
        <v>-1.4999999999999999E-2</v>
      </c>
      <c r="AS92">
        <v>1E-3</v>
      </c>
      <c r="AT92">
        <v>-1E-3</v>
      </c>
      <c r="AU92">
        <v>1E-3</v>
      </c>
      <c r="AV92">
        <v>-1E-3</v>
      </c>
      <c r="AW92" s="16">
        <v>1.4999999999999999E-2</v>
      </c>
      <c r="AX92" s="16">
        <v>-1.4999999999999999E-2</v>
      </c>
    </row>
    <row r="93" spans="6:50">
      <c r="F93" s="17" t="str">
        <f t="shared" si="13"/>
        <v/>
      </c>
      <c r="G93" s="4"/>
      <c r="H93" s="2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22" t="e">
        <f t="shared" si="14"/>
        <v>#N/A</v>
      </c>
      <c r="X93" s="21" t="e">
        <f t="shared" si="15"/>
        <v>#N/A</v>
      </c>
      <c r="Y93" s="21" t="e">
        <f t="shared" si="16"/>
        <v>#N/A</v>
      </c>
      <c r="Z93" s="11" t="e">
        <f t="shared" si="17"/>
        <v>#N/A</v>
      </c>
      <c r="AA93" s="22" t="e">
        <f t="shared" si="18"/>
        <v>#N/A</v>
      </c>
      <c r="AB93" s="21" t="e">
        <f t="shared" si="19"/>
        <v>#N/A</v>
      </c>
      <c r="AC93" s="21" t="e">
        <f t="shared" si="20"/>
        <v>#N/A</v>
      </c>
      <c r="AD93" s="11" t="e">
        <f t="shared" si="21"/>
        <v>#N/A</v>
      </c>
      <c r="AE93" s="22" t="e">
        <f t="shared" si="22"/>
        <v>#N/A</v>
      </c>
      <c r="AF93" s="21" t="e">
        <f t="shared" si="23"/>
        <v>#N/A</v>
      </c>
      <c r="AG93" s="21" t="e">
        <f t="shared" si="24"/>
        <v>#N/A</v>
      </c>
      <c r="AH93" s="11" t="e">
        <f t="shared" si="25"/>
        <v>#N/A</v>
      </c>
      <c r="AI93">
        <v>2.5000000000000001E-2</v>
      </c>
      <c r="AJ93">
        <v>-2.5000000000000001E-2</v>
      </c>
      <c r="AK93">
        <v>1.5E-3</v>
      </c>
      <c r="AL93">
        <v>-1.5E-3</v>
      </c>
      <c r="AM93">
        <v>1.5E-3</v>
      </c>
      <c r="AN93">
        <v>-1.5E-3</v>
      </c>
      <c r="AO93" s="16">
        <v>2.5000000000000001E-2</v>
      </c>
      <c r="AP93" s="16">
        <v>-2.5000000000000001E-2</v>
      </c>
      <c r="AQ93">
        <v>1.4999999999999999E-2</v>
      </c>
      <c r="AR93">
        <v>-1.4999999999999999E-2</v>
      </c>
      <c r="AS93">
        <v>1E-3</v>
      </c>
      <c r="AT93">
        <v>-1E-3</v>
      </c>
      <c r="AU93">
        <v>1E-3</v>
      </c>
      <c r="AV93">
        <v>-1E-3</v>
      </c>
      <c r="AW93" s="16">
        <v>1.4999999999999999E-2</v>
      </c>
      <c r="AX93" s="16">
        <v>-1.4999999999999999E-2</v>
      </c>
    </row>
    <row r="94" spans="6:50">
      <c r="F94" s="17" t="str">
        <f t="shared" si="13"/>
        <v/>
      </c>
      <c r="G94" s="4"/>
      <c r="H94" s="2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22" t="e">
        <f t="shared" si="14"/>
        <v>#N/A</v>
      </c>
      <c r="X94" s="21" t="e">
        <f t="shared" si="15"/>
        <v>#N/A</v>
      </c>
      <c r="Y94" s="21" t="e">
        <f t="shared" si="16"/>
        <v>#N/A</v>
      </c>
      <c r="Z94" s="11" t="e">
        <f t="shared" si="17"/>
        <v>#N/A</v>
      </c>
      <c r="AA94" s="22" t="e">
        <f t="shared" si="18"/>
        <v>#N/A</v>
      </c>
      <c r="AB94" s="21" t="e">
        <f t="shared" si="19"/>
        <v>#N/A</v>
      </c>
      <c r="AC94" s="21" t="e">
        <f t="shared" si="20"/>
        <v>#N/A</v>
      </c>
      <c r="AD94" s="11" t="e">
        <f t="shared" si="21"/>
        <v>#N/A</v>
      </c>
      <c r="AE94" s="22" t="e">
        <f t="shared" si="22"/>
        <v>#N/A</v>
      </c>
      <c r="AF94" s="21" t="e">
        <f t="shared" si="23"/>
        <v>#N/A</v>
      </c>
      <c r="AG94" s="21" t="e">
        <f t="shared" si="24"/>
        <v>#N/A</v>
      </c>
      <c r="AH94" s="11" t="e">
        <f t="shared" si="25"/>
        <v>#N/A</v>
      </c>
      <c r="AI94">
        <v>2.5000000000000001E-2</v>
      </c>
      <c r="AJ94">
        <v>-2.5000000000000001E-2</v>
      </c>
      <c r="AK94">
        <v>1.5E-3</v>
      </c>
      <c r="AL94">
        <v>-1.5E-3</v>
      </c>
      <c r="AM94">
        <v>1.5E-3</v>
      </c>
      <c r="AN94">
        <v>-1.5E-3</v>
      </c>
      <c r="AO94" s="16">
        <v>2.5000000000000001E-2</v>
      </c>
      <c r="AP94" s="16">
        <v>-2.5000000000000001E-2</v>
      </c>
      <c r="AQ94">
        <v>1.4999999999999999E-2</v>
      </c>
      <c r="AR94">
        <v>-1.4999999999999999E-2</v>
      </c>
      <c r="AS94">
        <v>1E-3</v>
      </c>
      <c r="AT94">
        <v>-1E-3</v>
      </c>
      <c r="AU94">
        <v>1E-3</v>
      </c>
      <c r="AV94">
        <v>-1E-3</v>
      </c>
      <c r="AW94" s="16">
        <v>1.4999999999999999E-2</v>
      </c>
      <c r="AX94" s="16">
        <v>-1.4999999999999999E-2</v>
      </c>
    </row>
    <row r="95" spans="6:50">
      <c r="F95" s="17" t="str">
        <f t="shared" si="13"/>
        <v/>
      </c>
      <c r="G95" s="4"/>
      <c r="H95" s="2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22" t="e">
        <f t="shared" si="14"/>
        <v>#N/A</v>
      </c>
      <c r="X95" s="21" t="e">
        <f t="shared" si="15"/>
        <v>#N/A</v>
      </c>
      <c r="Y95" s="21" t="e">
        <f t="shared" si="16"/>
        <v>#N/A</v>
      </c>
      <c r="Z95" s="11" t="e">
        <f t="shared" si="17"/>
        <v>#N/A</v>
      </c>
      <c r="AA95" s="22" t="e">
        <f t="shared" si="18"/>
        <v>#N/A</v>
      </c>
      <c r="AB95" s="21" t="e">
        <f t="shared" si="19"/>
        <v>#N/A</v>
      </c>
      <c r="AC95" s="21" t="e">
        <f t="shared" si="20"/>
        <v>#N/A</v>
      </c>
      <c r="AD95" s="11" t="e">
        <f t="shared" si="21"/>
        <v>#N/A</v>
      </c>
      <c r="AE95" s="22" t="e">
        <f t="shared" si="22"/>
        <v>#N/A</v>
      </c>
      <c r="AF95" s="21" t="e">
        <f t="shared" si="23"/>
        <v>#N/A</v>
      </c>
      <c r="AG95" s="21" t="e">
        <f t="shared" si="24"/>
        <v>#N/A</v>
      </c>
      <c r="AH95" s="11" t="e">
        <f t="shared" si="25"/>
        <v>#N/A</v>
      </c>
      <c r="AI95">
        <v>2.5000000000000001E-2</v>
      </c>
      <c r="AJ95">
        <v>-2.5000000000000001E-2</v>
      </c>
      <c r="AK95">
        <v>1.5E-3</v>
      </c>
      <c r="AL95">
        <v>-1.5E-3</v>
      </c>
      <c r="AM95">
        <v>1.5E-3</v>
      </c>
      <c r="AN95">
        <v>-1.5E-3</v>
      </c>
      <c r="AO95" s="16">
        <v>2.5000000000000001E-2</v>
      </c>
      <c r="AP95" s="16">
        <v>-2.5000000000000001E-2</v>
      </c>
      <c r="AQ95">
        <v>1.4999999999999999E-2</v>
      </c>
      <c r="AR95">
        <v>-1.4999999999999999E-2</v>
      </c>
      <c r="AS95">
        <v>1E-3</v>
      </c>
      <c r="AT95">
        <v>-1E-3</v>
      </c>
      <c r="AU95">
        <v>1E-3</v>
      </c>
      <c r="AV95">
        <v>-1E-3</v>
      </c>
      <c r="AW95" s="16">
        <v>1.4999999999999999E-2</v>
      </c>
      <c r="AX95" s="16">
        <v>-1.4999999999999999E-2</v>
      </c>
    </row>
    <row r="96" spans="6:50">
      <c r="F96" s="17" t="str">
        <f t="shared" si="13"/>
        <v/>
      </c>
      <c r="G96" s="4"/>
      <c r="H96" s="2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22" t="e">
        <f t="shared" si="14"/>
        <v>#N/A</v>
      </c>
      <c r="X96" s="21" t="e">
        <f t="shared" si="15"/>
        <v>#N/A</v>
      </c>
      <c r="Y96" s="21" t="e">
        <f t="shared" si="16"/>
        <v>#N/A</v>
      </c>
      <c r="Z96" s="11" t="e">
        <f t="shared" si="17"/>
        <v>#N/A</v>
      </c>
      <c r="AA96" s="22" t="e">
        <f t="shared" si="18"/>
        <v>#N/A</v>
      </c>
      <c r="AB96" s="21" t="e">
        <f t="shared" si="19"/>
        <v>#N/A</v>
      </c>
      <c r="AC96" s="21" t="e">
        <f t="shared" si="20"/>
        <v>#N/A</v>
      </c>
      <c r="AD96" s="11" t="e">
        <f t="shared" si="21"/>
        <v>#N/A</v>
      </c>
      <c r="AE96" s="22" t="e">
        <f t="shared" si="22"/>
        <v>#N/A</v>
      </c>
      <c r="AF96" s="21" t="e">
        <f t="shared" si="23"/>
        <v>#N/A</v>
      </c>
      <c r="AG96" s="21" t="e">
        <f t="shared" si="24"/>
        <v>#N/A</v>
      </c>
      <c r="AH96" s="11" t="e">
        <f t="shared" si="25"/>
        <v>#N/A</v>
      </c>
      <c r="AI96">
        <v>2.5000000000000001E-2</v>
      </c>
      <c r="AJ96">
        <v>-2.5000000000000001E-2</v>
      </c>
      <c r="AK96">
        <v>1.5E-3</v>
      </c>
      <c r="AL96">
        <v>-1.5E-3</v>
      </c>
      <c r="AM96">
        <v>1.5E-3</v>
      </c>
      <c r="AN96">
        <v>-1.5E-3</v>
      </c>
      <c r="AO96" s="16">
        <v>2.5000000000000001E-2</v>
      </c>
      <c r="AP96" s="16">
        <v>-2.5000000000000001E-2</v>
      </c>
      <c r="AQ96">
        <v>1.4999999999999999E-2</v>
      </c>
      <c r="AR96">
        <v>-1.4999999999999999E-2</v>
      </c>
      <c r="AS96">
        <v>1E-3</v>
      </c>
      <c r="AT96">
        <v>-1E-3</v>
      </c>
      <c r="AU96">
        <v>1E-3</v>
      </c>
      <c r="AV96">
        <v>-1E-3</v>
      </c>
      <c r="AW96" s="16">
        <v>1.4999999999999999E-2</v>
      </c>
      <c r="AX96" s="16">
        <v>-1.4999999999999999E-2</v>
      </c>
    </row>
    <row r="97" spans="6:50">
      <c r="F97" s="17" t="str">
        <f t="shared" si="13"/>
        <v/>
      </c>
      <c r="G97" s="4"/>
      <c r="H97" s="2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22" t="e">
        <f t="shared" si="14"/>
        <v>#N/A</v>
      </c>
      <c r="X97" s="21" t="e">
        <f t="shared" si="15"/>
        <v>#N/A</v>
      </c>
      <c r="Y97" s="21" t="e">
        <f t="shared" si="16"/>
        <v>#N/A</v>
      </c>
      <c r="Z97" s="11" t="e">
        <f t="shared" si="17"/>
        <v>#N/A</v>
      </c>
      <c r="AA97" s="22" t="e">
        <f t="shared" si="18"/>
        <v>#N/A</v>
      </c>
      <c r="AB97" s="21" t="e">
        <f t="shared" si="19"/>
        <v>#N/A</v>
      </c>
      <c r="AC97" s="21" t="e">
        <f t="shared" si="20"/>
        <v>#N/A</v>
      </c>
      <c r="AD97" s="11" t="e">
        <f t="shared" si="21"/>
        <v>#N/A</v>
      </c>
      <c r="AE97" s="22" t="e">
        <f t="shared" si="22"/>
        <v>#N/A</v>
      </c>
      <c r="AF97" s="21" t="e">
        <f t="shared" si="23"/>
        <v>#N/A</v>
      </c>
      <c r="AG97" s="21" t="e">
        <f t="shared" si="24"/>
        <v>#N/A</v>
      </c>
      <c r="AH97" s="11" t="e">
        <f t="shared" si="25"/>
        <v>#N/A</v>
      </c>
      <c r="AI97">
        <v>2.5000000000000001E-2</v>
      </c>
      <c r="AJ97">
        <v>-2.5000000000000001E-2</v>
      </c>
      <c r="AK97">
        <v>1.5E-3</v>
      </c>
      <c r="AL97">
        <v>-1.5E-3</v>
      </c>
      <c r="AM97">
        <v>1.5E-3</v>
      </c>
      <c r="AN97">
        <v>-1.5E-3</v>
      </c>
      <c r="AO97" s="16">
        <v>2.5000000000000001E-2</v>
      </c>
      <c r="AP97" s="16">
        <v>-2.5000000000000001E-2</v>
      </c>
      <c r="AQ97">
        <v>1.4999999999999999E-2</v>
      </c>
      <c r="AR97">
        <v>-1.4999999999999999E-2</v>
      </c>
      <c r="AS97">
        <v>1E-3</v>
      </c>
      <c r="AT97">
        <v>-1E-3</v>
      </c>
      <c r="AU97">
        <v>1E-3</v>
      </c>
      <c r="AV97">
        <v>-1E-3</v>
      </c>
      <c r="AW97" s="16">
        <v>1.4999999999999999E-2</v>
      </c>
      <c r="AX97" s="16">
        <v>-1.4999999999999999E-2</v>
      </c>
    </row>
    <row r="98" spans="6:50">
      <c r="F98" s="17" t="str">
        <f t="shared" si="13"/>
        <v/>
      </c>
      <c r="G98" s="4"/>
      <c r="H98" s="2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22" t="e">
        <f t="shared" si="14"/>
        <v>#N/A</v>
      </c>
      <c r="X98" s="21" t="e">
        <f t="shared" si="15"/>
        <v>#N/A</v>
      </c>
      <c r="Y98" s="21" t="e">
        <f t="shared" si="16"/>
        <v>#N/A</v>
      </c>
      <c r="Z98" s="11" t="e">
        <f t="shared" si="17"/>
        <v>#N/A</v>
      </c>
      <c r="AA98" s="22" t="e">
        <f t="shared" si="18"/>
        <v>#N/A</v>
      </c>
      <c r="AB98" s="21" t="e">
        <f t="shared" si="19"/>
        <v>#N/A</v>
      </c>
      <c r="AC98" s="21" t="e">
        <f t="shared" si="20"/>
        <v>#N/A</v>
      </c>
      <c r="AD98" s="11" t="e">
        <f t="shared" si="21"/>
        <v>#N/A</v>
      </c>
      <c r="AE98" s="22" t="e">
        <f t="shared" si="22"/>
        <v>#N/A</v>
      </c>
      <c r="AF98" s="21" t="e">
        <f t="shared" si="23"/>
        <v>#N/A</v>
      </c>
      <c r="AG98" s="21" t="e">
        <f t="shared" si="24"/>
        <v>#N/A</v>
      </c>
      <c r="AH98" s="11" t="e">
        <f t="shared" si="25"/>
        <v>#N/A</v>
      </c>
      <c r="AI98">
        <v>2.5000000000000001E-2</v>
      </c>
      <c r="AJ98">
        <v>-2.5000000000000001E-2</v>
      </c>
      <c r="AK98">
        <v>1.5E-3</v>
      </c>
      <c r="AL98">
        <v>-1.5E-3</v>
      </c>
      <c r="AM98">
        <v>1.5E-3</v>
      </c>
      <c r="AN98">
        <v>-1.5E-3</v>
      </c>
      <c r="AO98" s="16">
        <v>2.5000000000000001E-2</v>
      </c>
      <c r="AP98" s="16">
        <v>-2.5000000000000001E-2</v>
      </c>
      <c r="AQ98">
        <v>1.4999999999999999E-2</v>
      </c>
      <c r="AR98">
        <v>-1.4999999999999999E-2</v>
      </c>
      <c r="AS98">
        <v>1E-3</v>
      </c>
      <c r="AT98">
        <v>-1E-3</v>
      </c>
      <c r="AU98">
        <v>1E-3</v>
      </c>
      <c r="AV98">
        <v>-1E-3</v>
      </c>
      <c r="AW98" s="16">
        <v>1.4999999999999999E-2</v>
      </c>
      <c r="AX98" s="16">
        <v>-1.4999999999999999E-2</v>
      </c>
    </row>
    <row r="99" spans="6:50">
      <c r="F99" s="17" t="str">
        <f t="shared" si="13"/>
        <v/>
      </c>
      <c r="G99" s="4"/>
      <c r="H99" s="2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22" t="e">
        <f t="shared" si="14"/>
        <v>#N/A</v>
      </c>
      <c r="X99" s="21" t="e">
        <f t="shared" si="15"/>
        <v>#N/A</v>
      </c>
      <c r="Y99" s="21" t="e">
        <f t="shared" si="16"/>
        <v>#N/A</v>
      </c>
      <c r="Z99" s="11" t="e">
        <f t="shared" si="17"/>
        <v>#N/A</v>
      </c>
      <c r="AA99" s="22" t="e">
        <f t="shared" si="18"/>
        <v>#N/A</v>
      </c>
      <c r="AB99" s="21" t="e">
        <f t="shared" si="19"/>
        <v>#N/A</v>
      </c>
      <c r="AC99" s="21" t="e">
        <f t="shared" si="20"/>
        <v>#N/A</v>
      </c>
      <c r="AD99" s="11" t="e">
        <f t="shared" si="21"/>
        <v>#N/A</v>
      </c>
      <c r="AE99" s="22" t="e">
        <f t="shared" si="22"/>
        <v>#N/A</v>
      </c>
      <c r="AF99" s="21" t="e">
        <f t="shared" si="23"/>
        <v>#N/A</v>
      </c>
      <c r="AG99" s="21" t="e">
        <f t="shared" si="24"/>
        <v>#N/A</v>
      </c>
      <c r="AH99" s="11" t="e">
        <f t="shared" si="25"/>
        <v>#N/A</v>
      </c>
      <c r="AI99">
        <v>2.5000000000000001E-2</v>
      </c>
      <c r="AJ99">
        <v>-2.5000000000000001E-2</v>
      </c>
      <c r="AK99">
        <v>1.5E-3</v>
      </c>
      <c r="AL99">
        <v>-1.5E-3</v>
      </c>
      <c r="AM99">
        <v>1.5E-3</v>
      </c>
      <c r="AN99">
        <v>-1.5E-3</v>
      </c>
      <c r="AO99" s="16">
        <v>2.5000000000000001E-2</v>
      </c>
      <c r="AP99" s="16">
        <v>-2.5000000000000001E-2</v>
      </c>
      <c r="AQ99">
        <v>1.4999999999999999E-2</v>
      </c>
      <c r="AR99">
        <v>-1.4999999999999999E-2</v>
      </c>
      <c r="AS99">
        <v>1E-3</v>
      </c>
      <c r="AT99">
        <v>-1E-3</v>
      </c>
      <c r="AU99">
        <v>1E-3</v>
      </c>
      <c r="AV99">
        <v>-1E-3</v>
      </c>
      <c r="AW99" s="16">
        <v>1.4999999999999999E-2</v>
      </c>
      <c r="AX99" s="16">
        <v>-1.4999999999999999E-2</v>
      </c>
    </row>
    <row r="100" spans="6:50">
      <c r="F100" s="17" t="str">
        <f t="shared" si="13"/>
        <v/>
      </c>
      <c r="G100" s="4"/>
      <c r="H100" s="2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22" t="e">
        <f t="shared" si="14"/>
        <v>#N/A</v>
      </c>
      <c r="X100" s="21" t="e">
        <f t="shared" si="15"/>
        <v>#N/A</v>
      </c>
      <c r="Y100" s="21" t="e">
        <f t="shared" si="16"/>
        <v>#N/A</v>
      </c>
      <c r="Z100" s="11" t="e">
        <f t="shared" si="17"/>
        <v>#N/A</v>
      </c>
      <c r="AA100" s="22" t="e">
        <f t="shared" si="18"/>
        <v>#N/A</v>
      </c>
      <c r="AB100" s="21" t="e">
        <f t="shared" si="19"/>
        <v>#N/A</v>
      </c>
      <c r="AC100" s="21" t="e">
        <f t="shared" si="20"/>
        <v>#N/A</v>
      </c>
      <c r="AD100" s="11" t="e">
        <f t="shared" si="21"/>
        <v>#N/A</v>
      </c>
      <c r="AE100" s="22" t="e">
        <f t="shared" si="22"/>
        <v>#N/A</v>
      </c>
      <c r="AF100" s="21" t="e">
        <f t="shared" si="23"/>
        <v>#N/A</v>
      </c>
      <c r="AG100" s="21" t="e">
        <f t="shared" si="24"/>
        <v>#N/A</v>
      </c>
      <c r="AH100" s="11" t="e">
        <f t="shared" si="25"/>
        <v>#N/A</v>
      </c>
      <c r="AI100">
        <v>2.5000000000000001E-2</v>
      </c>
      <c r="AJ100">
        <v>-2.5000000000000001E-2</v>
      </c>
      <c r="AK100">
        <v>1.5E-3</v>
      </c>
      <c r="AL100">
        <v>-1.5E-3</v>
      </c>
      <c r="AM100">
        <v>1.5E-3</v>
      </c>
      <c r="AN100">
        <v>-1.5E-3</v>
      </c>
      <c r="AO100" s="16">
        <v>2.5000000000000001E-2</v>
      </c>
      <c r="AP100" s="16">
        <v>-2.5000000000000001E-2</v>
      </c>
      <c r="AQ100">
        <v>1.4999999999999999E-2</v>
      </c>
      <c r="AR100">
        <v>-1.4999999999999999E-2</v>
      </c>
      <c r="AS100">
        <v>1E-3</v>
      </c>
      <c r="AT100">
        <v>-1E-3</v>
      </c>
      <c r="AU100">
        <v>1E-3</v>
      </c>
      <c r="AV100">
        <v>-1E-3</v>
      </c>
      <c r="AW100" s="16">
        <v>1.4999999999999999E-2</v>
      </c>
      <c r="AX100" s="16">
        <v>-1.4999999999999999E-2</v>
      </c>
    </row>
  </sheetData>
  <sortState ref="G5:T15">
    <sortCondition ref="G4"/>
    <sortCondition ref="I4"/>
  </sortState>
  <mergeCells count="6">
    <mergeCell ref="AE4:AH4"/>
    <mergeCell ref="R4:V4"/>
    <mergeCell ref="M4:Q4"/>
    <mergeCell ref="H4:L4"/>
    <mergeCell ref="W4:Z4"/>
    <mergeCell ref="AA4:AD4"/>
  </mergeCells>
  <phoneticPr fontId="1"/>
  <conditionalFormatting sqref="W6:AH100">
    <cfRule type="containsErrors" dxfId="12" priority="1">
      <formula>ISERROR(W6)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T_TenkenData">
                <anchor moveWithCells="1" sizeWithCells="1">
                  <from>
                    <xdr:col>7</xdr:col>
                    <xdr:colOff>95250</xdr:colOff>
                    <xdr:row>0</xdr:row>
                    <xdr:rowOff>57150</xdr:rowOff>
                  </from>
                  <to>
                    <xdr:col>8</xdr:col>
                    <xdr:colOff>295275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ST_TenkenData_1day">
                <anchor moveWithCells="1" sizeWithCells="1">
                  <from>
                    <xdr:col>10</xdr:col>
                    <xdr:colOff>638175</xdr:colOff>
                    <xdr:row>0</xdr:row>
                    <xdr:rowOff>28575</xdr:rowOff>
                  </from>
                  <to>
                    <xdr:col>12</xdr:col>
                    <xdr:colOff>190500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Delete_Data">
                <anchor moveWithCells="1" sizeWithCells="1">
                  <from>
                    <xdr:col>12</xdr:col>
                    <xdr:colOff>609600</xdr:colOff>
                    <xdr:row>0</xdr:row>
                    <xdr:rowOff>38100</xdr:rowOff>
                  </from>
                  <to>
                    <xdr:col>14</xdr:col>
                    <xdr:colOff>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SPL45">
                <anchor moveWithCells="1" sizeWithCells="1">
                  <from>
                    <xdr:col>17</xdr:col>
                    <xdr:colOff>638175</xdr:colOff>
                    <xdr:row>0</xdr:row>
                    <xdr:rowOff>95250</xdr:rowOff>
                  </from>
                  <to>
                    <xdr:col>19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S100"/>
  <sheetViews>
    <sheetView showGridLines="0" zoomScale="70" zoomScaleNormal="70" workbookViewId="0">
      <pane ySplit="5" topLeftCell="A6" activePane="bottomLeft" state="frozen"/>
      <selection pane="bottomLeft" activeCell="BH43" sqref="BH43"/>
    </sheetView>
  </sheetViews>
  <sheetFormatPr defaultRowHeight="13.5"/>
  <cols>
    <col min="1" max="5" width="9" style="18"/>
    <col min="6" max="6" width="16.125" style="18" bestFit="1" customWidth="1"/>
    <col min="7" max="7" width="20.625" style="19" bestFit="1" customWidth="1"/>
    <col min="8" max="8" width="11.25" style="26" customWidth="1"/>
    <col min="9" max="9" width="11.25" style="20" customWidth="1"/>
    <col min="10" max="10" width="9.75" style="20" customWidth="1"/>
    <col min="11" max="11" width="9.25" style="20" customWidth="1"/>
    <col min="12" max="13" width="9.75" style="20" customWidth="1"/>
    <col min="14" max="14" width="10.125" style="20" customWidth="1"/>
    <col min="15" max="15" width="10" style="20" customWidth="1"/>
    <col min="16" max="22" width="9" style="20"/>
    <col min="23" max="16384" width="9" style="18"/>
  </cols>
  <sheetData>
    <row r="1" spans="1:279" customFormat="1"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 s="29">
        <v>43</v>
      </c>
      <c r="AR1" s="29">
        <v>44</v>
      </c>
      <c r="AS1" s="30">
        <v>45</v>
      </c>
      <c r="AT1" s="30">
        <v>46</v>
      </c>
      <c r="AU1" s="31">
        <v>47</v>
      </c>
      <c r="AV1" s="31">
        <v>48</v>
      </c>
      <c r="AW1" s="32">
        <v>49</v>
      </c>
      <c r="AX1" s="32">
        <v>50</v>
      </c>
    </row>
    <row r="2" spans="1:279" customFormat="1">
      <c r="G2" s="10"/>
      <c r="H2" s="24"/>
      <c r="I2" s="18"/>
      <c r="J2" s="10"/>
      <c r="K2" s="1"/>
      <c r="L2" s="1"/>
      <c r="M2" s="27"/>
      <c r="R2" s="8"/>
    </row>
    <row r="3" spans="1:279" customFormat="1">
      <c r="G3" s="10"/>
      <c r="H3" s="24"/>
      <c r="I3" s="13">
        <v>3.1103700000000001</v>
      </c>
      <c r="J3" s="13">
        <v>0.29050100000000001</v>
      </c>
      <c r="K3" s="14">
        <v>0.28018300000000002</v>
      </c>
      <c r="L3" s="14">
        <v>27.681999999999999</v>
      </c>
      <c r="M3" s="27"/>
      <c r="N3" s="13">
        <v>3.1324200000000002</v>
      </c>
      <c r="O3" s="13">
        <v>0.28729700000000002</v>
      </c>
      <c r="P3" s="14">
        <v>0.27366200000000002</v>
      </c>
      <c r="Q3" s="14">
        <v>27.869</v>
      </c>
      <c r="R3" s="27"/>
      <c r="S3" s="13">
        <v>3.1106600000000002</v>
      </c>
      <c r="T3" s="13">
        <v>0.28251900000000002</v>
      </c>
      <c r="U3" s="14">
        <v>0.26605899999999999</v>
      </c>
      <c r="V3" s="14">
        <v>27.683</v>
      </c>
    </row>
    <row r="4" spans="1:279" customFormat="1">
      <c r="A4" t="s">
        <v>15</v>
      </c>
      <c r="G4" s="3"/>
      <c r="H4" s="34" t="s">
        <v>5</v>
      </c>
      <c r="I4" s="34"/>
      <c r="J4" s="34"/>
      <c r="K4" s="34"/>
      <c r="L4" s="34"/>
      <c r="M4" s="35" t="s">
        <v>6</v>
      </c>
      <c r="N4" s="36"/>
      <c r="O4" s="36"/>
      <c r="P4" s="36"/>
      <c r="Q4" s="37"/>
      <c r="R4" s="35" t="s">
        <v>7</v>
      </c>
      <c r="S4" s="36"/>
      <c r="T4" s="36"/>
      <c r="U4" s="36"/>
      <c r="V4" s="37"/>
      <c r="W4" s="34" t="s">
        <v>5</v>
      </c>
      <c r="X4" s="34"/>
      <c r="Y4" s="34"/>
      <c r="Z4" s="34"/>
      <c r="AA4" s="34" t="s">
        <v>6</v>
      </c>
      <c r="AB4" s="34"/>
      <c r="AC4" s="34"/>
      <c r="AD4" s="34"/>
      <c r="AE4" s="34" t="s">
        <v>7</v>
      </c>
      <c r="AF4" s="34"/>
      <c r="AG4" s="34"/>
      <c r="AH4" s="34"/>
      <c r="AI4" t="s">
        <v>12</v>
      </c>
      <c r="AJ4" t="s">
        <v>12</v>
      </c>
      <c r="AK4" t="s">
        <v>12</v>
      </c>
      <c r="AL4" t="s">
        <v>12</v>
      </c>
      <c r="AM4" t="s">
        <v>12</v>
      </c>
      <c r="AN4" t="s">
        <v>12</v>
      </c>
      <c r="AO4" t="s">
        <v>12</v>
      </c>
      <c r="AP4" t="s">
        <v>12</v>
      </c>
      <c r="AQ4" t="s">
        <v>13</v>
      </c>
      <c r="AR4" t="s">
        <v>13</v>
      </c>
      <c r="AS4" t="s">
        <v>13</v>
      </c>
      <c r="AT4" t="s">
        <v>13</v>
      </c>
      <c r="AU4" t="s">
        <v>13</v>
      </c>
      <c r="AV4" t="s">
        <v>13</v>
      </c>
      <c r="AW4" t="s">
        <v>13</v>
      </c>
      <c r="AX4" t="s">
        <v>13</v>
      </c>
      <c r="BA4" t="s">
        <v>51</v>
      </c>
      <c r="BF4" t="s">
        <v>52</v>
      </c>
    </row>
    <row r="5" spans="1:279" customFormat="1">
      <c r="A5" s="2"/>
      <c r="B5" s="2" t="s">
        <v>1</v>
      </c>
      <c r="C5" s="2" t="s">
        <v>2</v>
      </c>
      <c r="D5" s="2" t="s">
        <v>3</v>
      </c>
      <c r="E5" s="2" t="s">
        <v>4</v>
      </c>
      <c r="G5" s="2" t="s">
        <v>0</v>
      </c>
      <c r="H5" s="5" t="s">
        <v>14</v>
      </c>
      <c r="I5" s="2" t="s">
        <v>1</v>
      </c>
      <c r="J5" s="2" t="s">
        <v>2</v>
      </c>
      <c r="K5" s="2" t="s">
        <v>3</v>
      </c>
      <c r="L5" s="2" t="s">
        <v>4</v>
      </c>
      <c r="M5" s="5" t="s">
        <v>14</v>
      </c>
      <c r="N5" s="2" t="s">
        <v>1</v>
      </c>
      <c r="O5" s="2" t="s">
        <v>2</v>
      </c>
      <c r="P5" s="2" t="s">
        <v>3</v>
      </c>
      <c r="Q5" s="2" t="s">
        <v>4</v>
      </c>
      <c r="R5" s="5" t="s">
        <v>14</v>
      </c>
      <c r="S5" s="2" t="s">
        <v>1</v>
      </c>
      <c r="T5" s="2" t="s">
        <v>2</v>
      </c>
      <c r="U5" s="2" t="s">
        <v>3</v>
      </c>
      <c r="V5" s="2" t="s">
        <v>4</v>
      </c>
      <c r="W5" s="2" t="s">
        <v>1</v>
      </c>
      <c r="X5" s="2" t="s">
        <v>2</v>
      </c>
      <c r="Y5" s="2" t="s">
        <v>3</v>
      </c>
      <c r="Z5" s="2" t="s">
        <v>4</v>
      </c>
      <c r="AA5" s="2" t="s">
        <v>1</v>
      </c>
      <c r="AB5" s="2" t="s">
        <v>2</v>
      </c>
      <c r="AC5" s="2" t="s">
        <v>3</v>
      </c>
      <c r="AD5" s="2" t="s">
        <v>4</v>
      </c>
      <c r="AE5" s="2" t="s">
        <v>1</v>
      </c>
      <c r="AF5" s="2" t="s">
        <v>2</v>
      </c>
      <c r="AG5" s="2" t="s">
        <v>3</v>
      </c>
      <c r="AH5" s="2" t="s">
        <v>4</v>
      </c>
      <c r="AI5" s="15" t="s">
        <v>1</v>
      </c>
      <c r="AK5" t="s">
        <v>2</v>
      </c>
      <c r="AM5" t="s">
        <v>3</v>
      </c>
      <c r="AO5" t="s">
        <v>4</v>
      </c>
      <c r="AQ5" s="15" t="s">
        <v>1</v>
      </c>
      <c r="AS5" t="s">
        <v>2</v>
      </c>
      <c r="AU5" t="s">
        <v>3</v>
      </c>
      <c r="AW5" t="s">
        <v>4</v>
      </c>
      <c r="BA5" t="s">
        <v>47</v>
      </c>
      <c r="BB5" t="s">
        <v>48</v>
      </c>
      <c r="BC5" t="s">
        <v>49</v>
      </c>
      <c r="BD5" t="s">
        <v>50</v>
      </c>
      <c r="BF5" t="s">
        <v>47</v>
      </c>
      <c r="BG5" t="s">
        <v>48</v>
      </c>
      <c r="BH5" t="s">
        <v>49</v>
      </c>
      <c r="BI5" t="s">
        <v>50</v>
      </c>
    </row>
    <row r="6" spans="1:279" customFormat="1">
      <c r="A6" s="2">
        <v>1</v>
      </c>
      <c r="B6" s="2">
        <v>2.8805200000000002</v>
      </c>
      <c r="C6" s="2">
        <v>0.34182200000000001</v>
      </c>
      <c r="D6" s="2">
        <v>0.35528599999999999</v>
      </c>
      <c r="E6" s="2">
        <v>34.552261309999999</v>
      </c>
      <c r="F6" s="17" t="str">
        <f>IF(G6="","",G6)</f>
        <v/>
      </c>
      <c r="G6" s="9"/>
      <c r="H6" s="25">
        <v>1</v>
      </c>
      <c r="I6" s="12"/>
      <c r="J6" s="5"/>
      <c r="K6" s="5"/>
      <c r="L6" s="5"/>
      <c r="M6" s="5">
        <v>2</v>
      </c>
      <c r="N6" s="5"/>
      <c r="O6" s="5"/>
      <c r="P6" s="5"/>
      <c r="Q6" s="5"/>
      <c r="R6" s="5">
        <v>3</v>
      </c>
      <c r="S6" s="5"/>
      <c r="T6" s="5"/>
      <c r="U6" s="5"/>
      <c r="V6" s="5"/>
      <c r="W6" s="22">
        <f>IF(H6="",NA(),I6-VLOOKUP(H6,$A$6:$E$35,2,FALSE))</f>
        <v>-2.8805200000000002</v>
      </c>
      <c r="X6" s="21">
        <f>IF(H6="",NA(),J6-VLOOKUP(H6,$A$6:$E$35,3,FALSE))</f>
        <v>-0.34182200000000001</v>
      </c>
      <c r="Y6" s="21">
        <f>IF(H6="",NA(),K6-VLOOKUP(H6,$A$6:$E$35,4,FALSE))</f>
        <v>-0.35528599999999999</v>
      </c>
      <c r="Z6" s="11">
        <f>IF(H6="",NA(),L6/VLOOKUP(H6,$A$6:$E$35,5,FALSE)-1)</f>
        <v>-1</v>
      </c>
      <c r="AA6" s="22">
        <f>IF(M6="",NA(),N6-VLOOKUP(M6,$A$6:$E$35,2,FALSE))</f>
        <v>-2.8800400000000002</v>
      </c>
      <c r="AB6" s="21">
        <f>IF(M6="",NA(),O6-VLOOKUP(M6,$A$6:$E$35,3,FALSE))</f>
        <v>-0.34086899999999998</v>
      </c>
      <c r="AC6" s="21">
        <f>IF(M6="",NA(),P6-VLOOKUP(M6,$A$6:$E$35,4,FALSE))</f>
        <v>-0.35403600000000002</v>
      </c>
      <c r="AD6" s="11">
        <f>IF(M6="",NA(),Q6/VLOOKUP(M6,$A$6:$E$35,5,FALSE)-1)</f>
        <v>-1</v>
      </c>
      <c r="AE6" s="22">
        <f>IF(R6="",NA(),S6-VLOOKUP(R6,$A$6:$E$35,2,FALSE))</f>
        <v>-2.88232</v>
      </c>
      <c r="AF6" s="21">
        <f>IF(R6="",NA(),T6-VLOOKUP(R6,$A$6:$E$35,3,FALSE))</f>
        <v>-0.34007399999999999</v>
      </c>
      <c r="AG6" s="21">
        <f>IF(R6="",NA(),U6-VLOOKUP(R6,$A$6:$E$35,4,FALSE))</f>
        <v>-0.35493599999999997</v>
      </c>
      <c r="AH6" s="11">
        <f>IF(R6="",NA(),V6/VLOOKUP(R6,$A$6:$E$35,5,FALSE)-1)</f>
        <v>-1</v>
      </c>
      <c r="AI6">
        <v>2.5000000000000001E-2</v>
      </c>
      <c r="AJ6">
        <v>-2.5000000000000001E-2</v>
      </c>
      <c r="AK6">
        <v>1.5E-3</v>
      </c>
      <c r="AL6">
        <v>-1.5E-3</v>
      </c>
      <c r="AM6">
        <v>1.5E-3</v>
      </c>
      <c r="AN6">
        <v>-1.5E-3</v>
      </c>
      <c r="AO6" s="16">
        <v>2.5000000000000001E-2</v>
      </c>
      <c r="AP6" s="16">
        <v>-2.5000000000000001E-2</v>
      </c>
      <c r="AQ6">
        <v>1.4999999999999999E-2</v>
      </c>
      <c r="AR6">
        <v>-1.4999999999999999E-2</v>
      </c>
      <c r="AS6">
        <v>1E-3</v>
      </c>
      <c r="AT6">
        <v>-1E-3</v>
      </c>
      <c r="AU6">
        <v>1E-3</v>
      </c>
      <c r="AV6">
        <v>-1E-3</v>
      </c>
      <c r="AW6" s="16">
        <v>1.4999999999999999E-2</v>
      </c>
      <c r="AX6" s="16">
        <v>-1.4999999999999999E-2</v>
      </c>
    </row>
    <row r="7" spans="1:279" customFormat="1">
      <c r="A7" s="2">
        <v>2</v>
      </c>
      <c r="B7" s="2">
        <v>2.8800400000000002</v>
      </c>
      <c r="C7" s="2">
        <v>0.34086899999999998</v>
      </c>
      <c r="D7" s="2">
        <v>0.35403600000000002</v>
      </c>
      <c r="E7" s="2">
        <v>34.635778889999997</v>
      </c>
      <c r="F7" s="17" t="str">
        <f t="shared" ref="F7:F70" si="0">IF(G7="","",G7)</f>
        <v/>
      </c>
      <c r="G7" s="9"/>
      <c r="H7" s="25">
        <v>1</v>
      </c>
      <c r="I7" s="5"/>
      <c r="J7" s="5"/>
      <c r="K7" s="5"/>
      <c r="L7" s="5"/>
      <c r="M7" s="5">
        <v>2</v>
      </c>
      <c r="N7" s="5"/>
      <c r="O7" s="5"/>
      <c r="P7" s="5"/>
      <c r="Q7" s="5"/>
      <c r="R7" s="5">
        <v>3</v>
      </c>
      <c r="S7" s="5"/>
      <c r="T7" s="5"/>
      <c r="U7" s="5"/>
      <c r="V7" s="5"/>
      <c r="W7" s="22">
        <f t="shared" ref="W7:W70" si="1">IF(H7="",NA(),I7-VLOOKUP(H7,$A$6:$E$35,2,FALSE))</f>
        <v>-2.8805200000000002</v>
      </c>
      <c r="X7" s="21">
        <f t="shared" ref="X7:X70" si="2">IF(H7="",NA(),J7-VLOOKUP(H7,$A$6:$E$35,3,FALSE))</f>
        <v>-0.34182200000000001</v>
      </c>
      <c r="Y7" s="21">
        <f t="shared" ref="Y7:Y70" si="3">IF(H7="",NA(),K7-VLOOKUP(H7,$A$6:$E$35,4,FALSE))</f>
        <v>-0.35528599999999999</v>
      </c>
      <c r="Z7" s="11">
        <f t="shared" ref="Z7:Z70" si="4">IF(H7="",NA(),L7/VLOOKUP(H7,$A$6:$E$35,5,FALSE)-1)</f>
        <v>-1</v>
      </c>
      <c r="AA7" s="22">
        <f t="shared" ref="AA7:AA70" si="5">IF(M7="",NA(),N7-VLOOKUP(M7,$A$6:$E$35,2,FALSE))</f>
        <v>-2.8800400000000002</v>
      </c>
      <c r="AB7" s="21">
        <f t="shared" ref="AB7:AB70" si="6">IF(M7="",NA(),O7-VLOOKUP(M7,$A$6:$E$35,3,FALSE))</f>
        <v>-0.34086899999999998</v>
      </c>
      <c r="AC7" s="21">
        <f t="shared" ref="AC7:AC70" si="7">IF(M7="",NA(),P7-VLOOKUP(M7,$A$6:$E$35,4,FALSE))</f>
        <v>-0.35403600000000002</v>
      </c>
      <c r="AD7" s="11">
        <f t="shared" ref="AD7:AD70" si="8">IF(M7="",NA(),Q7/VLOOKUP(M7,$A$6:$E$35,5,FALSE)-1)</f>
        <v>-1</v>
      </c>
      <c r="AE7" s="22">
        <f t="shared" ref="AE7:AE70" si="9">IF(R7="",NA(),S7-VLOOKUP(R7,$A$6:$E$35,2,FALSE))</f>
        <v>-2.88232</v>
      </c>
      <c r="AF7" s="21">
        <f t="shared" ref="AF7:AF70" si="10">IF(R7="",NA(),T7-VLOOKUP(R7,$A$6:$E$35,3,FALSE))</f>
        <v>-0.34007399999999999</v>
      </c>
      <c r="AG7" s="21">
        <f t="shared" ref="AG7:AG70" si="11">IF(R7="",NA(),U7-VLOOKUP(R7,$A$6:$E$35,4,FALSE))</f>
        <v>-0.35493599999999997</v>
      </c>
      <c r="AH7" s="11">
        <f t="shared" ref="AH7:AH70" si="12">IF(R7="",NA(),V7/VLOOKUP(R7,$A$6:$E$35,5,FALSE)-1)</f>
        <v>-1</v>
      </c>
      <c r="AI7">
        <v>2.5000000000000001E-2</v>
      </c>
      <c r="AJ7">
        <v>-2.5000000000000001E-2</v>
      </c>
      <c r="AK7">
        <v>1.5E-3</v>
      </c>
      <c r="AL7">
        <v>-1.5E-3</v>
      </c>
      <c r="AM7">
        <v>1.5E-3</v>
      </c>
      <c r="AN7">
        <v>-1.5E-3</v>
      </c>
      <c r="AO7" s="16">
        <v>2.5000000000000001E-2</v>
      </c>
      <c r="AP7" s="16">
        <v>-2.5000000000000001E-2</v>
      </c>
      <c r="AQ7">
        <v>1.4999999999999999E-2</v>
      </c>
      <c r="AR7">
        <v>-1.4999999999999999E-2</v>
      </c>
      <c r="AS7">
        <v>1E-3</v>
      </c>
      <c r="AT7">
        <v>-1E-3</v>
      </c>
      <c r="AU7">
        <v>1E-3</v>
      </c>
      <c r="AV7">
        <v>-1E-3</v>
      </c>
      <c r="AW7" s="16">
        <v>1.4999999999999999E-2</v>
      </c>
      <c r="AX7" s="16">
        <v>-1.4999999999999999E-2</v>
      </c>
    </row>
    <row r="8" spans="1:279" customFormat="1">
      <c r="A8" s="2">
        <v>3</v>
      </c>
      <c r="B8" s="2">
        <v>2.88232</v>
      </c>
      <c r="C8" s="2">
        <v>0.34007399999999999</v>
      </c>
      <c r="D8" s="2">
        <v>0.35493599999999997</v>
      </c>
      <c r="E8" s="2">
        <v>34.533366829999999</v>
      </c>
      <c r="F8" s="17" t="str">
        <f t="shared" si="0"/>
        <v/>
      </c>
      <c r="G8" s="9"/>
      <c r="H8" s="25">
        <v>1</v>
      </c>
      <c r="I8" s="5"/>
      <c r="J8" s="5"/>
      <c r="K8" s="5"/>
      <c r="L8" s="5"/>
      <c r="M8" s="5">
        <v>2</v>
      </c>
      <c r="N8" s="5"/>
      <c r="O8" s="5"/>
      <c r="P8" s="5"/>
      <c r="Q8" s="5"/>
      <c r="R8" s="5">
        <v>3</v>
      </c>
      <c r="S8" s="5"/>
      <c r="T8" s="5"/>
      <c r="U8" s="5"/>
      <c r="V8" s="5"/>
      <c r="W8" s="22">
        <f t="shared" si="1"/>
        <v>-2.8805200000000002</v>
      </c>
      <c r="X8" s="21">
        <f t="shared" si="2"/>
        <v>-0.34182200000000001</v>
      </c>
      <c r="Y8" s="21">
        <f t="shared" si="3"/>
        <v>-0.35528599999999999</v>
      </c>
      <c r="Z8" s="11">
        <f t="shared" si="4"/>
        <v>-1</v>
      </c>
      <c r="AA8" s="22">
        <f t="shared" si="5"/>
        <v>-2.8800400000000002</v>
      </c>
      <c r="AB8" s="21">
        <f t="shared" si="6"/>
        <v>-0.34086899999999998</v>
      </c>
      <c r="AC8" s="21">
        <f t="shared" si="7"/>
        <v>-0.35403600000000002</v>
      </c>
      <c r="AD8" s="11">
        <f t="shared" si="8"/>
        <v>-1</v>
      </c>
      <c r="AE8" s="22">
        <f t="shared" si="9"/>
        <v>-2.88232</v>
      </c>
      <c r="AF8" s="21">
        <f t="shared" si="10"/>
        <v>-0.34007399999999999</v>
      </c>
      <c r="AG8" s="21">
        <f t="shared" si="11"/>
        <v>-0.35493599999999997</v>
      </c>
      <c r="AH8" s="11">
        <f t="shared" si="12"/>
        <v>-1</v>
      </c>
      <c r="AI8">
        <v>2.5000000000000001E-2</v>
      </c>
      <c r="AJ8">
        <v>-2.5000000000000001E-2</v>
      </c>
      <c r="AK8">
        <v>1.5E-3</v>
      </c>
      <c r="AL8">
        <v>-1.5E-3</v>
      </c>
      <c r="AM8">
        <v>1.5E-3</v>
      </c>
      <c r="AN8">
        <v>-1.5E-3</v>
      </c>
      <c r="AO8" s="16">
        <v>2.5000000000000001E-2</v>
      </c>
      <c r="AP8" s="16">
        <v>-2.5000000000000001E-2</v>
      </c>
      <c r="AQ8">
        <v>1.4999999999999999E-2</v>
      </c>
      <c r="AR8">
        <v>-1.4999999999999999E-2</v>
      </c>
      <c r="AS8">
        <v>1E-3</v>
      </c>
      <c r="AT8">
        <v>-1E-3</v>
      </c>
      <c r="AU8">
        <v>1E-3</v>
      </c>
      <c r="AV8">
        <v>-1E-3</v>
      </c>
      <c r="AW8" s="16">
        <v>1.4999999999999999E-2</v>
      </c>
      <c r="AX8" s="16">
        <v>-1.4999999999999999E-2</v>
      </c>
      <c r="JS8">
        <v>12.849506578947368</v>
      </c>
    </row>
    <row r="9" spans="1:279" customFormat="1">
      <c r="A9" s="2">
        <v>4</v>
      </c>
      <c r="B9" s="2">
        <v>2.8695400000000002</v>
      </c>
      <c r="C9" s="2">
        <v>0.34001799999999999</v>
      </c>
      <c r="D9" s="2">
        <v>0.35473100000000002</v>
      </c>
      <c r="E9" s="2">
        <v>34.739396980000002</v>
      </c>
      <c r="F9" s="17" t="str">
        <f t="shared" si="0"/>
        <v/>
      </c>
      <c r="G9" s="9"/>
      <c r="H9" s="25">
        <v>1</v>
      </c>
      <c r="I9" s="5"/>
      <c r="J9" s="5"/>
      <c r="K9" s="5"/>
      <c r="L9" s="5"/>
      <c r="M9" s="5">
        <v>2</v>
      </c>
      <c r="N9" s="5"/>
      <c r="O9" s="5"/>
      <c r="P9" s="5"/>
      <c r="Q9" s="5"/>
      <c r="R9" s="5">
        <v>3</v>
      </c>
      <c r="S9" s="5"/>
      <c r="T9" s="5"/>
      <c r="U9" s="5"/>
      <c r="V9" s="5"/>
      <c r="W9" s="22">
        <f t="shared" si="1"/>
        <v>-2.8805200000000002</v>
      </c>
      <c r="X9" s="21">
        <f t="shared" si="2"/>
        <v>-0.34182200000000001</v>
      </c>
      <c r="Y9" s="21">
        <f t="shared" si="3"/>
        <v>-0.35528599999999999</v>
      </c>
      <c r="Z9" s="11">
        <f t="shared" si="4"/>
        <v>-1</v>
      </c>
      <c r="AA9" s="22">
        <f t="shared" si="5"/>
        <v>-2.8800400000000002</v>
      </c>
      <c r="AB9" s="21">
        <f t="shared" si="6"/>
        <v>-0.34086899999999998</v>
      </c>
      <c r="AC9" s="21">
        <f t="shared" si="7"/>
        <v>-0.35403600000000002</v>
      </c>
      <c r="AD9" s="11">
        <f t="shared" si="8"/>
        <v>-1</v>
      </c>
      <c r="AE9" s="22">
        <f t="shared" si="9"/>
        <v>-2.88232</v>
      </c>
      <c r="AF9" s="21">
        <f t="shared" si="10"/>
        <v>-0.34007399999999999</v>
      </c>
      <c r="AG9" s="21">
        <f t="shared" si="11"/>
        <v>-0.35493599999999997</v>
      </c>
      <c r="AH9" s="11">
        <f t="shared" si="12"/>
        <v>-1</v>
      </c>
      <c r="AI9">
        <v>2.5000000000000001E-2</v>
      </c>
      <c r="AJ9">
        <v>-2.5000000000000001E-2</v>
      </c>
      <c r="AK9">
        <v>1.5E-3</v>
      </c>
      <c r="AL9">
        <v>-1.5E-3</v>
      </c>
      <c r="AM9">
        <v>1.5E-3</v>
      </c>
      <c r="AN9">
        <v>-1.5E-3</v>
      </c>
      <c r="AO9" s="16">
        <v>2.5000000000000001E-2</v>
      </c>
      <c r="AP9" s="16">
        <v>-2.5000000000000001E-2</v>
      </c>
      <c r="AQ9">
        <v>1.4999999999999999E-2</v>
      </c>
      <c r="AR9">
        <v>-1.4999999999999999E-2</v>
      </c>
      <c r="AS9">
        <v>1E-3</v>
      </c>
      <c r="AT9">
        <v>-1E-3</v>
      </c>
      <c r="AU9">
        <v>1E-3</v>
      </c>
      <c r="AV9">
        <v>-1E-3</v>
      </c>
      <c r="AW9" s="16">
        <v>1.4999999999999999E-2</v>
      </c>
      <c r="AX9" s="16">
        <v>-1.4999999999999999E-2</v>
      </c>
    </row>
    <row r="10" spans="1:279" customFormat="1">
      <c r="A10" s="2">
        <v>5</v>
      </c>
      <c r="B10" s="2">
        <v>2.8805200000000002</v>
      </c>
      <c r="C10" s="2">
        <v>0.34241700000000003</v>
      </c>
      <c r="D10" s="2">
        <v>0.35584500000000002</v>
      </c>
      <c r="E10" s="2">
        <v>34.622110550000002</v>
      </c>
      <c r="F10" s="17" t="str">
        <f t="shared" si="0"/>
        <v/>
      </c>
      <c r="G10" s="9"/>
      <c r="H10" s="25">
        <v>1</v>
      </c>
      <c r="I10" s="5"/>
      <c r="J10" s="5"/>
      <c r="K10" s="5"/>
      <c r="L10" s="5"/>
      <c r="M10" s="5">
        <v>2</v>
      </c>
      <c r="N10" s="5"/>
      <c r="O10" s="5"/>
      <c r="P10" s="5"/>
      <c r="Q10" s="5"/>
      <c r="R10" s="5">
        <v>3</v>
      </c>
      <c r="S10" s="5"/>
      <c r="T10" s="5"/>
      <c r="U10" s="5"/>
      <c r="V10" s="5"/>
      <c r="W10" s="22">
        <f t="shared" si="1"/>
        <v>-2.8805200000000002</v>
      </c>
      <c r="X10" s="21">
        <f t="shared" si="2"/>
        <v>-0.34182200000000001</v>
      </c>
      <c r="Y10" s="21">
        <f t="shared" si="3"/>
        <v>-0.35528599999999999</v>
      </c>
      <c r="Z10" s="11">
        <f t="shared" si="4"/>
        <v>-1</v>
      </c>
      <c r="AA10" s="22">
        <f t="shared" si="5"/>
        <v>-2.8800400000000002</v>
      </c>
      <c r="AB10" s="21">
        <f t="shared" si="6"/>
        <v>-0.34086899999999998</v>
      </c>
      <c r="AC10" s="21">
        <f t="shared" si="7"/>
        <v>-0.35403600000000002</v>
      </c>
      <c r="AD10" s="11">
        <f t="shared" si="8"/>
        <v>-1</v>
      </c>
      <c r="AE10" s="22">
        <f t="shared" si="9"/>
        <v>-2.88232</v>
      </c>
      <c r="AF10" s="21">
        <f t="shared" si="10"/>
        <v>-0.34007399999999999</v>
      </c>
      <c r="AG10" s="21">
        <f t="shared" si="11"/>
        <v>-0.35493599999999997</v>
      </c>
      <c r="AH10" s="11">
        <f t="shared" si="12"/>
        <v>-1</v>
      </c>
      <c r="AI10">
        <v>2.5000000000000001E-2</v>
      </c>
      <c r="AJ10">
        <v>-2.5000000000000001E-2</v>
      </c>
      <c r="AK10">
        <v>1.5E-3</v>
      </c>
      <c r="AL10">
        <v>-1.5E-3</v>
      </c>
      <c r="AM10">
        <v>1.5E-3</v>
      </c>
      <c r="AN10">
        <v>-1.5E-3</v>
      </c>
      <c r="AO10" s="16">
        <v>2.5000000000000001E-2</v>
      </c>
      <c r="AP10" s="16">
        <v>-2.5000000000000001E-2</v>
      </c>
      <c r="AQ10">
        <v>1.4999999999999999E-2</v>
      </c>
      <c r="AR10">
        <v>-1.4999999999999999E-2</v>
      </c>
      <c r="AS10">
        <v>1E-3</v>
      </c>
      <c r="AT10">
        <v>-1E-3</v>
      </c>
      <c r="AU10">
        <v>1E-3</v>
      </c>
      <c r="AV10">
        <v>-1E-3</v>
      </c>
      <c r="AW10" s="16">
        <v>1.4999999999999999E-2</v>
      </c>
      <c r="AX10" s="16">
        <v>-1.4999999999999999E-2</v>
      </c>
      <c r="JQ10">
        <v>28.935185185185187</v>
      </c>
    </row>
    <row r="11" spans="1:279" customFormat="1">
      <c r="A11" s="2">
        <v>6</v>
      </c>
      <c r="B11" s="2">
        <v>2.8702000000000001</v>
      </c>
      <c r="C11" s="2">
        <v>0.43022500000000002</v>
      </c>
      <c r="D11" s="2">
        <v>0.40034700000000001</v>
      </c>
      <c r="E11" s="2">
        <v>31.57125628</v>
      </c>
      <c r="F11" s="17" t="str">
        <f t="shared" si="0"/>
        <v/>
      </c>
      <c r="G11" s="9"/>
      <c r="H11" s="25">
        <v>1</v>
      </c>
      <c r="I11" s="5"/>
      <c r="J11" s="5"/>
      <c r="K11" s="5"/>
      <c r="L11" s="5"/>
      <c r="M11" s="5">
        <v>2</v>
      </c>
      <c r="N11" s="5"/>
      <c r="O11" s="5"/>
      <c r="P11" s="5"/>
      <c r="Q11" s="5"/>
      <c r="R11" s="5">
        <v>3</v>
      </c>
      <c r="S11" s="5"/>
      <c r="T11" s="5"/>
      <c r="U11" s="5"/>
      <c r="V11" s="5"/>
      <c r="W11" s="22">
        <f t="shared" si="1"/>
        <v>-2.8805200000000002</v>
      </c>
      <c r="X11" s="21">
        <f t="shared" si="2"/>
        <v>-0.34182200000000001</v>
      </c>
      <c r="Y11" s="21">
        <f t="shared" si="3"/>
        <v>-0.35528599999999999</v>
      </c>
      <c r="Z11" s="11">
        <f t="shared" si="4"/>
        <v>-1</v>
      </c>
      <c r="AA11" s="22">
        <f t="shared" si="5"/>
        <v>-2.8800400000000002</v>
      </c>
      <c r="AB11" s="21">
        <f t="shared" si="6"/>
        <v>-0.34086899999999998</v>
      </c>
      <c r="AC11" s="21">
        <f t="shared" si="7"/>
        <v>-0.35403600000000002</v>
      </c>
      <c r="AD11" s="11">
        <f t="shared" si="8"/>
        <v>-1</v>
      </c>
      <c r="AE11" s="22">
        <f t="shared" si="9"/>
        <v>-2.88232</v>
      </c>
      <c r="AF11" s="21">
        <f t="shared" si="10"/>
        <v>-0.34007399999999999</v>
      </c>
      <c r="AG11" s="21">
        <f t="shared" si="11"/>
        <v>-0.35493599999999997</v>
      </c>
      <c r="AH11" s="11">
        <f t="shared" si="12"/>
        <v>-1</v>
      </c>
      <c r="AI11">
        <v>2.5000000000000001E-2</v>
      </c>
      <c r="AJ11">
        <v>-2.5000000000000001E-2</v>
      </c>
      <c r="AK11">
        <v>1.5E-3</v>
      </c>
      <c r="AL11">
        <v>-1.5E-3</v>
      </c>
      <c r="AM11">
        <v>1.5E-3</v>
      </c>
      <c r="AN11">
        <v>-1.5E-3</v>
      </c>
      <c r="AO11" s="16">
        <v>2.5000000000000001E-2</v>
      </c>
      <c r="AP11" s="16">
        <v>-2.5000000000000001E-2</v>
      </c>
      <c r="AQ11">
        <v>1.4999999999999999E-2</v>
      </c>
      <c r="AR11">
        <v>-1.4999999999999999E-2</v>
      </c>
      <c r="AS11">
        <v>1E-3</v>
      </c>
      <c r="AT11">
        <v>-1E-3</v>
      </c>
      <c r="AU11">
        <v>1E-3</v>
      </c>
      <c r="AV11">
        <v>-1E-3</v>
      </c>
      <c r="AW11" s="16">
        <v>1.4999999999999999E-2</v>
      </c>
      <c r="AX11" s="16">
        <v>-1.4999999999999999E-2</v>
      </c>
      <c r="JR11">
        <v>25.699013157894736</v>
      </c>
    </row>
    <row r="12" spans="1:279" customFormat="1">
      <c r="A12" s="2">
        <v>7</v>
      </c>
      <c r="B12" s="2">
        <v>2.8836400000000002</v>
      </c>
      <c r="C12" s="2">
        <v>0.42854199999999998</v>
      </c>
      <c r="D12" s="2">
        <v>0.40198699999999998</v>
      </c>
      <c r="E12" s="2">
        <v>31.8480402</v>
      </c>
      <c r="F12" s="17" t="str">
        <f t="shared" si="0"/>
        <v/>
      </c>
      <c r="G12" s="9"/>
      <c r="H12" s="25">
        <v>1</v>
      </c>
      <c r="I12" s="5"/>
      <c r="J12" s="5"/>
      <c r="K12" s="5"/>
      <c r="L12" s="5"/>
      <c r="M12" s="5">
        <v>2</v>
      </c>
      <c r="N12" s="5"/>
      <c r="O12" s="5"/>
      <c r="P12" s="5"/>
      <c r="Q12" s="5"/>
      <c r="R12" s="5">
        <v>3</v>
      </c>
      <c r="S12" s="5"/>
      <c r="T12" s="5"/>
      <c r="U12" s="5"/>
      <c r="V12" s="5"/>
      <c r="W12" s="22">
        <f t="shared" si="1"/>
        <v>-2.8805200000000002</v>
      </c>
      <c r="X12" s="21">
        <f t="shared" si="2"/>
        <v>-0.34182200000000001</v>
      </c>
      <c r="Y12" s="21">
        <f t="shared" si="3"/>
        <v>-0.35528599999999999</v>
      </c>
      <c r="Z12" s="11">
        <f t="shared" si="4"/>
        <v>-1</v>
      </c>
      <c r="AA12" s="22">
        <f t="shared" si="5"/>
        <v>-2.8800400000000002</v>
      </c>
      <c r="AB12" s="21">
        <f t="shared" si="6"/>
        <v>-0.34086899999999998</v>
      </c>
      <c r="AC12" s="21">
        <f t="shared" si="7"/>
        <v>-0.35403600000000002</v>
      </c>
      <c r="AD12" s="11">
        <f t="shared" si="8"/>
        <v>-1</v>
      </c>
      <c r="AE12" s="22">
        <f t="shared" si="9"/>
        <v>-2.88232</v>
      </c>
      <c r="AF12" s="21">
        <f t="shared" si="10"/>
        <v>-0.34007399999999999</v>
      </c>
      <c r="AG12" s="21">
        <f t="shared" si="11"/>
        <v>-0.35493599999999997</v>
      </c>
      <c r="AH12" s="11">
        <f t="shared" si="12"/>
        <v>-1</v>
      </c>
      <c r="AI12">
        <v>2.5000000000000001E-2</v>
      </c>
      <c r="AJ12">
        <v>-2.5000000000000001E-2</v>
      </c>
      <c r="AK12">
        <v>1.5E-3</v>
      </c>
      <c r="AL12">
        <v>-1.5E-3</v>
      </c>
      <c r="AM12">
        <v>1.5E-3</v>
      </c>
      <c r="AN12">
        <v>-1.5E-3</v>
      </c>
      <c r="AO12" s="16">
        <v>2.5000000000000001E-2</v>
      </c>
      <c r="AP12" s="16">
        <v>-2.5000000000000001E-2</v>
      </c>
      <c r="AQ12">
        <v>1.4999999999999999E-2</v>
      </c>
      <c r="AR12">
        <v>-1.4999999999999999E-2</v>
      </c>
      <c r="AS12">
        <v>1E-3</v>
      </c>
      <c r="AT12">
        <v>-1E-3</v>
      </c>
      <c r="AU12">
        <v>1E-3</v>
      </c>
      <c r="AV12">
        <v>-1E-3</v>
      </c>
      <c r="AW12" s="16">
        <v>1.4999999999999999E-2</v>
      </c>
      <c r="AX12" s="16">
        <v>-1.4999999999999999E-2</v>
      </c>
      <c r="JP12">
        <v>25.699013157894736</v>
      </c>
      <c r="JR12">
        <v>12.849506578947368</v>
      </c>
      <c r="JS12">
        <v>12.849506578947368</v>
      </c>
    </row>
    <row r="13" spans="1:279" customFormat="1">
      <c r="A13" s="2">
        <v>8</v>
      </c>
      <c r="B13" s="2">
        <v>2.8766400000000001</v>
      </c>
      <c r="C13" s="2">
        <v>0.42998700000000001</v>
      </c>
      <c r="D13" s="2">
        <v>0.399918</v>
      </c>
      <c r="E13" s="2">
        <v>31.321306530000001</v>
      </c>
      <c r="F13" s="17" t="str">
        <f t="shared" si="0"/>
        <v/>
      </c>
      <c r="G13" s="9"/>
      <c r="H13" s="25">
        <v>1</v>
      </c>
      <c r="I13" s="5"/>
      <c r="J13" s="2"/>
      <c r="K13" s="5"/>
      <c r="L13" s="5"/>
      <c r="M13" s="5">
        <v>2</v>
      </c>
      <c r="N13" s="5"/>
      <c r="O13" s="2"/>
      <c r="P13" s="5"/>
      <c r="Q13" s="5"/>
      <c r="R13" s="5">
        <v>3</v>
      </c>
      <c r="S13" s="5"/>
      <c r="T13" s="2"/>
      <c r="U13" s="5"/>
      <c r="V13" s="5"/>
      <c r="W13" s="22">
        <f t="shared" si="1"/>
        <v>-2.8805200000000002</v>
      </c>
      <c r="X13" s="21">
        <f t="shared" si="2"/>
        <v>-0.34182200000000001</v>
      </c>
      <c r="Y13" s="21">
        <f t="shared" si="3"/>
        <v>-0.35528599999999999</v>
      </c>
      <c r="Z13" s="11">
        <f t="shared" si="4"/>
        <v>-1</v>
      </c>
      <c r="AA13" s="22">
        <f t="shared" si="5"/>
        <v>-2.8800400000000002</v>
      </c>
      <c r="AB13" s="21">
        <f t="shared" si="6"/>
        <v>-0.34086899999999998</v>
      </c>
      <c r="AC13" s="21">
        <f t="shared" si="7"/>
        <v>-0.35403600000000002</v>
      </c>
      <c r="AD13" s="11">
        <f t="shared" si="8"/>
        <v>-1</v>
      </c>
      <c r="AE13" s="22">
        <f t="shared" si="9"/>
        <v>-2.88232</v>
      </c>
      <c r="AF13" s="21">
        <f t="shared" si="10"/>
        <v>-0.34007399999999999</v>
      </c>
      <c r="AG13" s="21">
        <f t="shared" si="11"/>
        <v>-0.35493599999999997</v>
      </c>
      <c r="AH13" s="11">
        <f t="shared" si="12"/>
        <v>-1</v>
      </c>
      <c r="AI13">
        <v>2.5000000000000001E-2</v>
      </c>
      <c r="AJ13">
        <v>-2.5000000000000001E-2</v>
      </c>
      <c r="AK13">
        <v>1.5E-3</v>
      </c>
      <c r="AL13">
        <v>-1.5E-3</v>
      </c>
      <c r="AM13">
        <v>1.5E-3</v>
      </c>
      <c r="AN13">
        <v>-1.5E-3</v>
      </c>
      <c r="AO13" s="16">
        <v>2.5000000000000001E-2</v>
      </c>
      <c r="AP13" s="16">
        <v>-2.5000000000000001E-2</v>
      </c>
      <c r="AQ13">
        <v>1.4999999999999999E-2</v>
      </c>
      <c r="AR13">
        <v>-1.4999999999999999E-2</v>
      </c>
      <c r="AS13">
        <v>1E-3</v>
      </c>
      <c r="AT13">
        <v>-1E-3</v>
      </c>
      <c r="AU13">
        <v>1E-3</v>
      </c>
      <c r="AV13">
        <v>-1E-3</v>
      </c>
      <c r="AW13" s="16">
        <v>1.4999999999999999E-2</v>
      </c>
      <c r="AX13" s="16">
        <v>-1.4999999999999999E-2</v>
      </c>
    </row>
    <row r="14" spans="1:279" customFormat="1">
      <c r="A14" s="2">
        <v>9</v>
      </c>
      <c r="B14" s="2">
        <v>2.8510900000000001</v>
      </c>
      <c r="C14" s="2">
        <v>0.42855199999999999</v>
      </c>
      <c r="D14" s="2">
        <v>0.399509</v>
      </c>
      <c r="E14" s="2">
        <v>31.562512559999998</v>
      </c>
      <c r="F14" s="17" t="str">
        <f t="shared" si="0"/>
        <v/>
      </c>
      <c r="G14" s="9"/>
      <c r="H14" s="25">
        <v>1</v>
      </c>
      <c r="I14" s="5"/>
      <c r="J14" s="5"/>
      <c r="K14" s="5"/>
      <c r="L14" s="5"/>
      <c r="M14" s="5">
        <v>2</v>
      </c>
      <c r="N14" s="5"/>
      <c r="O14" s="5"/>
      <c r="P14" s="5"/>
      <c r="Q14" s="5"/>
      <c r="R14" s="5">
        <v>3</v>
      </c>
      <c r="S14" s="5"/>
      <c r="T14" s="5"/>
      <c r="U14" s="5"/>
      <c r="V14" s="5"/>
      <c r="W14" s="22">
        <f t="shared" si="1"/>
        <v>-2.8805200000000002</v>
      </c>
      <c r="X14" s="21">
        <f t="shared" si="2"/>
        <v>-0.34182200000000001</v>
      </c>
      <c r="Y14" s="21">
        <f t="shared" si="3"/>
        <v>-0.35528599999999999</v>
      </c>
      <c r="Z14" s="11">
        <f t="shared" si="4"/>
        <v>-1</v>
      </c>
      <c r="AA14" s="22">
        <f t="shared" si="5"/>
        <v>-2.8800400000000002</v>
      </c>
      <c r="AB14" s="21">
        <f t="shared" si="6"/>
        <v>-0.34086899999999998</v>
      </c>
      <c r="AC14" s="21">
        <f t="shared" si="7"/>
        <v>-0.35403600000000002</v>
      </c>
      <c r="AD14" s="11">
        <f t="shared" si="8"/>
        <v>-1</v>
      </c>
      <c r="AE14" s="22">
        <f t="shared" si="9"/>
        <v>-2.88232</v>
      </c>
      <c r="AF14" s="21">
        <f t="shared" si="10"/>
        <v>-0.34007399999999999</v>
      </c>
      <c r="AG14" s="21">
        <f t="shared" si="11"/>
        <v>-0.35493599999999997</v>
      </c>
      <c r="AH14" s="11">
        <f t="shared" si="12"/>
        <v>-1</v>
      </c>
      <c r="AI14">
        <v>2.5000000000000001E-2</v>
      </c>
      <c r="AJ14">
        <v>-2.5000000000000001E-2</v>
      </c>
      <c r="AK14">
        <v>1.5E-3</v>
      </c>
      <c r="AL14">
        <v>-1.5E-3</v>
      </c>
      <c r="AM14">
        <v>1.5E-3</v>
      </c>
      <c r="AN14">
        <v>-1.5E-3</v>
      </c>
      <c r="AO14" s="16">
        <v>2.5000000000000001E-2</v>
      </c>
      <c r="AP14" s="16">
        <v>-2.5000000000000001E-2</v>
      </c>
      <c r="AQ14">
        <v>1.4999999999999999E-2</v>
      </c>
      <c r="AR14">
        <v>-1.4999999999999999E-2</v>
      </c>
      <c r="AS14">
        <v>1E-3</v>
      </c>
      <c r="AT14">
        <v>-1E-3</v>
      </c>
      <c r="AU14">
        <v>1E-3</v>
      </c>
      <c r="AV14">
        <v>-1E-3</v>
      </c>
      <c r="AW14" s="16">
        <v>1.4999999999999999E-2</v>
      </c>
      <c r="AX14" s="16">
        <v>-1.4999999999999999E-2</v>
      </c>
    </row>
    <row r="15" spans="1:279" customFormat="1">
      <c r="A15" s="2">
        <v>10</v>
      </c>
      <c r="B15" s="2">
        <v>2.8858199999999998</v>
      </c>
      <c r="C15" s="2">
        <v>0.429566</v>
      </c>
      <c r="D15" s="2">
        <v>0.40092699999999998</v>
      </c>
      <c r="E15" s="2">
        <v>31.661708539999999</v>
      </c>
      <c r="F15" s="17" t="str">
        <f t="shared" si="0"/>
        <v/>
      </c>
      <c r="G15" s="9"/>
      <c r="H15" s="25">
        <v>1</v>
      </c>
      <c r="I15" s="5"/>
      <c r="J15" s="5"/>
      <c r="K15" s="5"/>
      <c r="L15" s="5"/>
      <c r="M15" s="5">
        <v>2</v>
      </c>
      <c r="N15" s="5"/>
      <c r="O15" s="5"/>
      <c r="P15" s="5"/>
      <c r="Q15" s="5"/>
      <c r="R15" s="5">
        <v>3</v>
      </c>
      <c r="S15" s="5"/>
      <c r="T15" s="5"/>
      <c r="U15" s="5"/>
      <c r="V15" s="5"/>
      <c r="W15" s="22">
        <f t="shared" si="1"/>
        <v>-2.8805200000000002</v>
      </c>
      <c r="X15" s="21">
        <f t="shared" si="2"/>
        <v>-0.34182200000000001</v>
      </c>
      <c r="Y15" s="21">
        <f t="shared" si="3"/>
        <v>-0.35528599999999999</v>
      </c>
      <c r="Z15" s="11">
        <f t="shared" si="4"/>
        <v>-1</v>
      </c>
      <c r="AA15" s="22">
        <f t="shared" si="5"/>
        <v>-2.8800400000000002</v>
      </c>
      <c r="AB15" s="21">
        <f t="shared" si="6"/>
        <v>-0.34086899999999998</v>
      </c>
      <c r="AC15" s="21">
        <f t="shared" si="7"/>
        <v>-0.35403600000000002</v>
      </c>
      <c r="AD15" s="11">
        <f t="shared" si="8"/>
        <v>-1</v>
      </c>
      <c r="AE15" s="22">
        <f t="shared" si="9"/>
        <v>-2.88232</v>
      </c>
      <c r="AF15" s="21">
        <f t="shared" si="10"/>
        <v>-0.34007399999999999</v>
      </c>
      <c r="AG15" s="21">
        <f t="shared" si="11"/>
        <v>-0.35493599999999997</v>
      </c>
      <c r="AH15" s="11">
        <f t="shared" si="12"/>
        <v>-1</v>
      </c>
      <c r="AI15">
        <v>2.5000000000000001E-2</v>
      </c>
      <c r="AJ15">
        <v>-2.5000000000000001E-2</v>
      </c>
      <c r="AK15">
        <v>1.5E-3</v>
      </c>
      <c r="AL15">
        <v>-1.5E-3</v>
      </c>
      <c r="AM15">
        <v>1.5E-3</v>
      </c>
      <c r="AN15">
        <v>-1.5E-3</v>
      </c>
      <c r="AO15" s="16">
        <v>2.5000000000000001E-2</v>
      </c>
      <c r="AP15" s="16">
        <v>-2.5000000000000001E-2</v>
      </c>
      <c r="AQ15">
        <v>1.4999999999999999E-2</v>
      </c>
      <c r="AR15">
        <v>-1.4999999999999999E-2</v>
      </c>
      <c r="AS15">
        <v>1E-3</v>
      </c>
      <c r="AT15">
        <v>-1E-3</v>
      </c>
      <c r="AU15">
        <v>1E-3</v>
      </c>
      <c r="AV15">
        <v>-1E-3</v>
      </c>
      <c r="AW15" s="16">
        <v>1.4999999999999999E-2</v>
      </c>
      <c r="AX15" s="16">
        <v>-1.4999999999999999E-2</v>
      </c>
      <c r="JS15">
        <v>30.502684236212787</v>
      </c>
    </row>
    <row r="16" spans="1:279" customFormat="1">
      <c r="A16" s="2">
        <v>11</v>
      </c>
      <c r="B16" s="2">
        <v>2.8642400000000001</v>
      </c>
      <c r="C16" s="2">
        <v>0.33051999999999998</v>
      </c>
      <c r="D16" s="2">
        <v>0.34774899999999997</v>
      </c>
      <c r="E16" s="2">
        <v>34.7881407</v>
      </c>
      <c r="F16" s="17" t="str">
        <f t="shared" si="0"/>
        <v/>
      </c>
      <c r="G16" s="9"/>
      <c r="H16" s="25">
        <v>1</v>
      </c>
      <c r="I16" s="5"/>
      <c r="J16" s="5"/>
      <c r="K16" s="5"/>
      <c r="L16" s="5"/>
      <c r="M16" s="5">
        <v>2</v>
      </c>
      <c r="N16" s="5"/>
      <c r="O16" s="5"/>
      <c r="P16" s="5"/>
      <c r="Q16" s="5"/>
      <c r="R16" s="5">
        <v>3</v>
      </c>
      <c r="S16" s="5"/>
      <c r="T16" s="5"/>
      <c r="U16" s="5"/>
      <c r="V16" s="5"/>
      <c r="W16" s="22">
        <f t="shared" si="1"/>
        <v>-2.8805200000000002</v>
      </c>
      <c r="X16" s="21">
        <f t="shared" si="2"/>
        <v>-0.34182200000000001</v>
      </c>
      <c r="Y16" s="21">
        <f t="shared" si="3"/>
        <v>-0.35528599999999999</v>
      </c>
      <c r="Z16" s="11">
        <f t="shared" si="4"/>
        <v>-1</v>
      </c>
      <c r="AA16" s="22">
        <f t="shared" si="5"/>
        <v>-2.8800400000000002</v>
      </c>
      <c r="AB16" s="21">
        <f t="shared" si="6"/>
        <v>-0.34086899999999998</v>
      </c>
      <c r="AC16" s="21">
        <f t="shared" si="7"/>
        <v>-0.35403600000000002</v>
      </c>
      <c r="AD16" s="11">
        <f t="shared" si="8"/>
        <v>-1</v>
      </c>
      <c r="AE16" s="22">
        <f t="shared" si="9"/>
        <v>-2.88232</v>
      </c>
      <c r="AF16" s="21">
        <f t="shared" si="10"/>
        <v>-0.34007399999999999</v>
      </c>
      <c r="AG16" s="21">
        <f t="shared" si="11"/>
        <v>-0.35493599999999997</v>
      </c>
      <c r="AH16" s="11">
        <f t="shared" si="12"/>
        <v>-1</v>
      </c>
      <c r="AI16">
        <v>2.5000000000000001E-2</v>
      </c>
      <c r="AJ16">
        <v>-2.5000000000000001E-2</v>
      </c>
      <c r="AK16">
        <v>1.5E-3</v>
      </c>
      <c r="AL16">
        <v>-1.5E-3</v>
      </c>
      <c r="AM16">
        <v>1.5E-3</v>
      </c>
      <c r="AN16">
        <v>-1.5E-3</v>
      </c>
      <c r="AO16" s="16">
        <v>2.5000000000000001E-2</v>
      </c>
      <c r="AP16" s="16">
        <v>-2.5000000000000001E-2</v>
      </c>
      <c r="AQ16">
        <v>1.4999999999999999E-2</v>
      </c>
      <c r="AR16">
        <v>-1.4999999999999999E-2</v>
      </c>
      <c r="AS16">
        <v>1E-3</v>
      </c>
      <c r="AT16">
        <v>-1E-3</v>
      </c>
      <c r="AU16">
        <v>1E-3</v>
      </c>
      <c r="AV16">
        <v>-1E-3</v>
      </c>
      <c r="AW16" s="16">
        <v>1.4999999999999999E-2</v>
      </c>
      <c r="AX16" s="16">
        <v>-1.4999999999999999E-2</v>
      </c>
      <c r="JP16">
        <v>30.502684236212787</v>
      </c>
      <c r="JQ16">
        <v>28.935185185185187</v>
      </c>
    </row>
    <row r="17" spans="1:279" customFormat="1">
      <c r="A17" s="2">
        <v>12</v>
      </c>
      <c r="B17" s="2">
        <v>2.8618800000000002</v>
      </c>
      <c r="C17" s="2">
        <v>0.32819199999999998</v>
      </c>
      <c r="D17" s="2">
        <v>0.34575</v>
      </c>
      <c r="E17" s="2">
        <v>34.760603019999998</v>
      </c>
      <c r="F17" s="17" t="str">
        <f t="shared" si="0"/>
        <v/>
      </c>
      <c r="G17" s="9"/>
      <c r="H17" s="25">
        <v>1</v>
      </c>
      <c r="I17" s="5"/>
      <c r="J17" s="5"/>
      <c r="K17" s="5"/>
      <c r="L17" s="5"/>
      <c r="M17" s="5">
        <v>2</v>
      </c>
      <c r="N17" s="5"/>
      <c r="O17" s="5"/>
      <c r="P17" s="5"/>
      <c r="Q17" s="5"/>
      <c r="R17" s="5">
        <v>3</v>
      </c>
      <c r="S17" s="5"/>
      <c r="T17" s="5"/>
      <c r="U17" s="5"/>
      <c r="V17" s="5"/>
      <c r="W17" s="22">
        <f t="shared" si="1"/>
        <v>-2.8805200000000002</v>
      </c>
      <c r="X17" s="21">
        <f t="shared" si="2"/>
        <v>-0.34182200000000001</v>
      </c>
      <c r="Y17" s="21">
        <f t="shared" si="3"/>
        <v>-0.35528599999999999</v>
      </c>
      <c r="Z17" s="11">
        <f t="shared" si="4"/>
        <v>-1</v>
      </c>
      <c r="AA17" s="22">
        <f t="shared" si="5"/>
        <v>-2.8800400000000002</v>
      </c>
      <c r="AB17" s="21">
        <f t="shared" si="6"/>
        <v>-0.34086899999999998</v>
      </c>
      <c r="AC17" s="21">
        <f t="shared" si="7"/>
        <v>-0.35403600000000002</v>
      </c>
      <c r="AD17" s="11">
        <f t="shared" si="8"/>
        <v>-1</v>
      </c>
      <c r="AE17" s="22">
        <f t="shared" si="9"/>
        <v>-2.88232</v>
      </c>
      <c r="AF17" s="21">
        <f t="shared" si="10"/>
        <v>-0.34007399999999999</v>
      </c>
      <c r="AG17" s="21">
        <f t="shared" si="11"/>
        <v>-0.35493599999999997</v>
      </c>
      <c r="AH17" s="11">
        <f t="shared" si="12"/>
        <v>-1</v>
      </c>
      <c r="AI17">
        <v>2.5000000000000001E-2</v>
      </c>
      <c r="AJ17">
        <v>-2.5000000000000001E-2</v>
      </c>
      <c r="AK17">
        <v>1.5E-3</v>
      </c>
      <c r="AL17">
        <v>-1.5E-3</v>
      </c>
      <c r="AM17">
        <v>1.5E-3</v>
      </c>
      <c r="AN17">
        <v>-1.5E-3</v>
      </c>
      <c r="AO17" s="16">
        <v>2.5000000000000001E-2</v>
      </c>
      <c r="AP17" s="16">
        <v>-2.5000000000000001E-2</v>
      </c>
      <c r="AQ17">
        <v>1.4999999999999999E-2</v>
      </c>
      <c r="AR17">
        <v>-1.4999999999999999E-2</v>
      </c>
      <c r="AS17">
        <v>1E-3</v>
      </c>
      <c r="AT17">
        <v>-1E-3</v>
      </c>
      <c r="AU17">
        <v>1E-3</v>
      </c>
      <c r="AV17">
        <v>-1E-3</v>
      </c>
      <c r="AW17" s="16">
        <v>1.4999999999999999E-2</v>
      </c>
      <c r="AX17" s="16">
        <v>-1.4999999999999999E-2</v>
      </c>
    </row>
    <row r="18" spans="1:279" customFormat="1">
      <c r="A18" s="2">
        <v>13</v>
      </c>
      <c r="B18" s="2">
        <v>2.89594</v>
      </c>
      <c r="C18" s="2">
        <v>0.33010699999999998</v>
      </c>
      <c r="D18" s="2">
        <v>0.347806</v>
      </c>
      <c r="E18" s="2">
        <v>34.81336683</v>
      </c>
      <c r="F18" s="17" t="str">
        <f t="shared" si="0"/>
        <v/>
      </c>
      <c r="G18" s="9"/>
      <c r="H18" s="25">
        <v>1</v>
      </c>
      <c r="I18" s="5"/>
      <c r="J18" s="5"/>
      <c r="K18" s="5"/>
      <c r="L18" s="5"/>
      <c r="M18" s="5">
        <v>2</v>
      </c>
      <c r="N18" s="5"/>
      <c r="O18" s="5"/>
      <c r="P18" s="5"/>
      <c r="Q18" s="5"/>
      <c r="R18" s="5">
        <v>3</v>
      </c>
      <c r="S18" s="5"/>
      <c r="T18" s="5"/>
      <c r="U18" s="5"/>
      <c r="V18" s="5"/>
      <c r="W18" s="22">
        <f t="shared" si="1"/>
        <v>-2.8805200000000002</v>
      </c>
      <c r="X18" s="21">
        <f t="shared" si="2"/>
        <v>-0.34182200000000001</v>
      </c>
      <c r="Y18" s="21">
        <f t="shared" si="3"/>
        <v>-0.35528599999999999</v>
      </c>
      <c r="Z18" s="11">
        <f t="shared" si="4"/>
        <v>-1</v>
      </c>
      <c r="AA18" s="22">
        <f t="shared" si="5"/>
        <v>-2.8800400000000002</v>
      </c>
      <c r="AB18" s="21">
        <f t="shared" si="6"/>
        <v>-0.34086899999999998</v>
      </c>
      <c r="AC18" s="21">
        <f t="shared" si="7"/>
        <v>-0.35403600000000002</v>
      </c>
      <c r="AD18" s="11">
        <f t="shared" si="8"/>
        <v>-1</v>
      </c>
      <c r="AE18" s="22">
        <f t="shared" si="9"/>
        <v>-2.88232</v>
      </c>
      <c r="AF18" s="21">
        <f t="shared" si="10"/>
        <v>-0.34007399999999999</v>
      </c>
      <c r="AG18" s="21">
        <f t="shared" si="11"/>
        <v>-0.35493599999999997</v>
      </c>
      <c r="AH18" s="11">
        <f t="shared" si="12"/>
        <v>-1</v>
      </c>
      <c r="AI18">
        <v>2.5000000000000001E-2</v>
      </c>
      <c r="AJ18">
        <v>-2.5000000000000001E-2</v>
      </c>
      <c r="AK18">
        <v>1.5E-3</v>
      </c>
      <c r="AL18">
        <v>-1.5E-3</v>
      </c>
      <c r="AM18">
        <v>1.5E-3</v>
      </c>
      <c r="AN18">
        <v>-1.5E-3</v>
      </c>
      <c r="AO18" s="16">
        <v>2.5000000000000001E-2</v>
      </c>
      <c r="AP18" s="16">
        <v>-2.5000000000000001E-2</v>
      </c>
      <c r="AQ18">
        <v>1.4999999999999999E-2</v>
      </c>
      <c r="AR18">
        <v>-1.4999999999999999E-2</v>
      </c>
      <c r="AS18">
        <v>1E-3</v>
      </c>
      <c r="AT18">
        <v>-1E-3</v>
      </c>
      <c r="AU18">
        <v>1E-3</v>
      </c>
      <c r="AV18">
        <v>-1E-3</v>
      </c>
      <c r="AW18" s="16">
        <v>1.4999999999999999E-2</v>
      </c>
      <c r="AX18" s="16">
        <v>-1.4999999999999999E-2</v>
      </c>
      <c r="JQ18">
        <v>24.187306501547987</v>
      </c>
      <c r="JR18">
        <v>27.64263600176913</v>
      </c>
      <c r="JS18">
        <v>24.187306501547987</v>
      </c>
    </row>
    <row r="19" spans="1:279" customFormat="1">
      <c r="A19" s="2">
        <v>14</v>
      </c>
      <c r="B19" s="2">
        <v>2.8680300000000001</v>
      </c>
      <c r="C19" s="2">
        <v>0.33011000000000001</v>
      </c>
      <c r="D19" s="2">
        <v>0.34809200000000001</v>
      </c>
      <c r="E19" s="2">
        <v>34.721105530000003</v>
      </c>
      <c r="F19" s="17" t="str">
        <f t="shared" si="0"/>
        <v/>
      </c>
      <c r="G19" s="9"/>
      <c r="H19" s="25">
        <v>1</v>
      </c>
      <c r="I19" s="5"/>
      <c r="J19" s="5"/>
      <c r="K19" s="5"/>
      <c r="L19" s="5"/>
      <c r="M19" s="5">
        <v>2</v>
      </c>
      <c r="N19" s="5"/>
      <c r="O19" s="5"/>
      <c r="P19" s="5"/>
      <c r="Q19" s="5"/>
      <c r="R19" s="5">
        <v>3</v>
      </c>
      <c r="S19" s="5"/>
      <c r="T19" s="5"/>
      <c r="U19" s="5"/>
      <c r="V19" s="5"/>
      <c r="W19" s="22">
        <f t="shared" si="1"/>
        <v>-2.8805200000000002</v>
      </c>
      <c r="X19" s="21">
        <f t="shared" si="2"/>
        <v>-0.34182200000000001</v>
      </c>
      <c r="Y19" s="21">
        <f t="shared" si="3"/>
        <v>-0.35528599999999999</v>
      </c>
      <c r="Z19" s="11">
        <f t="shared" si="4"/>
        <v>-1</v>
      </c>
      <c r="AA19" s="22">
        <f t="shared" si="5"/>
        <v>-2.8800400000000002</v>
      </c>
      <c r="AB19" s="21">
        <f t="shared" si="6"/>
        <v>-0.34086899999999998</v>
      </c>
      <c r="AC19" s="21">
        <f t="shared" si="7"/>
        <v>-0.35403600000000002</v>
      </c>
      <c r="AD19" s="11">
        <f t="shared" si="8"/>
        <v>-1</v>
      </c>
      <c r="AE19" s="22">
        <f t="shared" si="9"/>
        <v>-2.88232</v>
      </c>
      <c r="AF19" s="21">
        <f t="shared" si="10"/>
        <v>-0.34007399999999999</v>
      </c>
      <c r="AG19" s="21">
        <f t="shared" si="11"/>
        <v>-0.35493599999999997</v>
      </c>
      <c r="AH19" s="11">
        <f t="shared" si="12"/>
        <v>-1</v>
      </c>
      <c r="AI19">
        <v>2.5000000000000001E-2</v>
      </c>
      <c r="AJ19">
        <v>-2.5000000000000001E-2</v>
      </c>
      <c r="AK19">
        <v>1.5E-3</v>
      </c>
      <c r="AL19">
        <v>-1.5E-3</v>
      </c>
      <c r="AM19">
        <v>1.5E-3</v>
      </c>
      <c r="AN19">
        <v>-1.5E-3</v>
      </c>
      <c r="AO19" s="16">
        <v>2.5000000000000001E-2</v>
      </c>
      <c r="AP19" s="16">
        <v>-2.5000000000000001E-2</v>
      </c>
      <c r="AQ19">
        <v>1.4999999999999999E-2</v>
      </c>
      <c r="AR19">
        <v>-1.4999999999999999E-2</v>
      </c>
      <c r="AS19">
        <v>1E-3</v>
      </c>
      <c r="AT19">
        <v>-1E-3</v>
      </c>
      <c r="AU19">
        <v>1E-3</v>
      </c>
      <c r="AV19">
        <v>-1E-3</v>
      </c>
      <c r="AW19" s="16">
        <v>1.4999999999999999E-2</v>
      </c>
      <c r="AX19" s="16">
        <v>-1.4999999999999999E-2</v>
      </c>
    </row>
    <row r="20" spans="1:279" customFormat="1">
      <c r="A20" s="2">
        <v>15</v>
      </c>
      <c r="B20" s="2">
        <v>2.8709600000000002</v>
      </c>
      <c r="C20" s="2">
        <v>0.32913700000000001</v>
      </c>
      <c r="D20" s="2">
        <v>0.34771299999999999</v>
      </c>
      <c r="E20" s="2">
        <v>34.92</v>
      </c>
      <c r="F20" s="17" t="str">
        <f t="shared" si="0"/>
        <v/>
      </c>
      <c r="G20" s="9"/>
      <c r="H20" s="25">
        <v>1</v>
      </c>
      <c r="I20" s="5"/>
      <c r="J20" s="5"/>
      <c r="K20" s="5"/>
      <c r="L20" s="5"/>
      <c r="M20" s="5">
        <v>2</v>
      </c>
      <c r="N20" s="5"/>
      <c r="O20" s="5"/>
      <c r="P20" s="5"/>
      <c r="Q20" s="5"/>
      <c r="R20" s="5">
        <v>3</v>
      </c>
      <c r="S20" s="5"/>
      <c r="T20" s="5"/>
      <c r="U20" s="5"/>
      <c r="V20" s="5"/>
      <c r="W20" s="22">
        <f t="shared" si="1"/>
        <v>-2.8805200000000002</v>
      </c>
      <c r="X20" s="21">
        <f t="shared" si="2"/>
        <v>-0.34182200000000001</v>
      </c>
      <c r="Y20" s="21">
        <f t="shared" si="3"/>
        <v>-0.35528599999999999</v>
      </c>
      <c r="Z20" s="11">
        <f t="shared" si="4"/>
        <v>-1</v>
      </c>
      <c r="AA20" s="22">
        <f t="shared" si="5"/>
        <v>-2.8800400000000002</v>
      </c>
      <c r="AB20" s="21">
        <f t="shared" si="6"/>
        <v>-0.34086899999999998</v>
      </c>
      <c r="AC20" s="21">
        <f t="shared" si="7"/>
        <v>-0.35403600000000002</v>
      </c>
      <c r="AD20" s="11">
        <f t="shared" si="8"/>
        <v>-1</v>
      </c>
      <c r="AE20" s="22">
        <f t="shared" si="9"/>
        <v>-2.88232</v>
      </c>
      <c r="AF20" s="21">
        <f t="shared" si="10"/>
        <v>-0.34007399999999999</v>
      </c>
      <c r="AG20" s="21">
        <f t="shared" si="11"/>
        <v>-0.35493599999999997</v>
      </c>
      <c r="AH20" s="11">
        <f t="shared" si="12"/>
        <v>-1</v>
      </c>
      <c r="AI20">
        <v>2.5000000000000001E-2</v>
      </c>
      <c r="AJ20">
        <v>-2.5000000000000001E-2</v>
      </c>
      <c r="AK20">
        <v>1.5E-3</v>
      </c>
      <c r="AL20">
        <v>-1.5E-3</v>
      </c>
      <c r="AM20">
        <v>1.5E-3</v>
      </c>
      <c r="AN20">
        <v>-1.5E-3</v>
      </c>
      <c r="AO20" s="16">
        <v>2.5000000000000001E-2</v>
      </c>
      <c r="AP20" s="16">
        <v>-2.5000000000000001E-2</v>
      </c>
      <c r="AQ20">
        <v>1.4999999999999999E-2</v>
      </c>
      <c r="AR20">
        <v>-1.4999999999999999E-2</v>
      </c>
      <c r="AS20">
        <v>1E-3</v>
      </c>
      <c r="AT20">
        <v>-1E-3</v>
      </c>
      <c r="AU20">
        <v>1E-3</v>
      </c>
      <c r="AV20">
        <v>-1E-3</v>
      </c>
      <c r="AW20" s="16">
        <v>1.4999999999999999E-2</v>
      </c>
      <c r="AX20" s="16">
        <v>-1.4999999999999999E-2</v>
      </c>
      <c r="JP20">
        <v>27.64263600176913</v>
      </c>
      <c r="JQ20">
        <v>26.386152547143258</v>
      </c>
    </row>
    <row r="21" spans="1:279" customFormat="1">
      <c r="A21" s="2">
        <v>16</v>
      </c>
      <c r="B21" s="2">
        <v>2.8569599999999999</v>
      </c>
      <c r="C21" s="2">
        <v>0.41181299999999998</v>
      </c>
      <c r="D21" s="2">
        <v>0.39605899999999999</v>
      </c>
      <c r="E21" s="2">
        <v>31.129447240000001</v>
      </c>
      <c r="F21" s="17" t="str">
        <f t="shared" si="0"/>
        <v/>
      </c>
      <c r="G21" s="9"/>
      <c r="H21" s="25">
        <v>1</v>
      </c>
      <c r="I21" s="5"/>
      <c r="J21" s="5"/>
      <c r="K21" s="5"/>
      <c r="L21" s="5"/>
      <c r="M21" s="5">
        <v>2</v>
      </c>
      <c r="N21" s="5"/>
      <c r="O21" s="5"/>
      <c r="P21" s="5"/>
      <c r="Q21" s="5"/>
      <c r="R21" s="5">
        <v>3</v>
      </c>
      <c r="S21" s="5"/>
      <c r="T21" s="5"/>
      <c r="U21" s="5"/>
      <c r="V21" s="5"/>
      <c r="W21" s="22">
        <f t="shared" si="1"/>
        <v>-2.8805200000000002</v>
      </c>
      <c r="X21" s="21">
        <f t="shared" si="2"/>
        <v>-0.34182200000000001</v>
      </c>
      <c r="Y21" s="21">
        <f t="shared" si="3"/>
        <v>-0.35528599999999999</v>
      </c>
      <c r="Z21" s="11">
        <f t="shared" si="4"/>
        <v>-1</v>
      </c>
      <c r="AA21" s="22">
        <f t="shared" si="5"/>
        <v>-2.8800400000000002</v>
      </c>
      <c r="AB21" s="21">
        <f t="shared" si="6"/>
        <v>-0.34086899999999998</v>
      </c>
      <c r="AC21" s="21">
        <f t="shared" si="7"/>
        <v>-0.35403600000000002</v>
      </c>
      <c r="AD21" s="11">
        <f t="shared" si="8"/>
        <v>-1</v>
      </c>
      <c r="AE21" s="22">
        <f t="shared" si="9"/>
        <v>-2.88232</v>
      </c>
      <c r="AF21" s="21">
        <f t="shared" si="10"/>
        <v>-0.34007399999999999</v>
      </c>
      <c r="AG21" s="21">
        <f t="shared" si="11"/>
        <v>-0.35493599999999997</v>
      </c>
      <c r="AH21" s="11">
        <f t="shared" si="12"/>
        <v>-1</v>
      </c>
      <c r="AI21">
        <v>2.5000000000000001E-2</v>
      </c>
      <c r="AJ21">
        <v>-2.5000000000000001E-2</v>
      </c>
      <c r="AK21">
        <v>1.5E-3</v>
      </c>
      <c r="AL21">
        <v>-1.5E-3</v>
      </c>
      <c r="AM21">
        <v>1.5E-3</v>
      </c>
      <c r="AN21">
        <v>-1.5E-3</v>
      </c>
      <c r="AO21" s="16">
        <v>2.5000000000000001E-2</v>
      </c>
      <c r="AP21" s="16">
        <v>-2.5000000000000001E-2</v>
      </c>
      <c r="AQ21">
        <v>1.4999999999999999E-2</v>
      </c>
      <c r="AR21">
        <v>-1.4999999999999999E-2</v>
      </c>
      <c r="AS21">
        <v>1E-3</v>
      </c>
      <c r="AT21">
        <v>-1E-3</v>
      </c>
      <c r="AU21">
        <v>1E-3</v>
      </c>
      <c r="AV21">
        <v>-1E-3</v>
      </c>
      <c r="AW21" s="16">
        <v>1.4999999999999999E-2</v>
      </c>
      <c r="AX21" s="16">
        <v>-1.4999999999999999E-2</v>
      </c>
      <c r="JP21">
        <v>28.935185185185187</v>
      </c>
      <c r="JQ21">
        <v>28.935185185185187</v>
      </c>
    </row>
    <row r="22" spans="1:279" customFormat="1">
      <c r="A22" s="2">
        <v>17</v>
      </c>
      <c r="B22" s="2">
        <v>2.85005</v>
      </c>
      <c r="C22" s="2">
        <v>0.41101500000000002</v>
      </c>
      <c r="D22" s="2">
        <v>0.39647100000000002</v>
      </c>
      <c r="E22" s="2">
        <v>31.817286429999999</v>
      </c>
      <c r="F22" s="17" t="str">
        <f t="shared" si="0"/>
        <v/>
      </c>
      <c r="G22" s="9"/>
      <c r="H22" s="25">
        <v>1</v>
      </c>
      <c r="I22" s="5"/>
      <c r="J22" s="5"/>
      <c r="K22" s="5"/>
      <c r="L22" s="5"/>
      <c r="M22" s="5">
        <v>2</v>
      </c>
      <c r="N22" s="5"/>
      <c r="O22" s="5"/>
      <c r="P22" s="5"/>
      <c r="Q22" s="5"/>
      <c r="R22" s="5">
        <v>3</v>
      </c>
      <c r="S22" s="5"/>
      <c r="T22" s="5"/>
      <c r="U22" s="5"/>
      <c r="V22" s="5"/>
      <c r="W22" s="22">
        <f t="shared" si="1"/>
        <v>-2.8805200000000002</v>
      </c>
      <c r="X22" s="21">
        <f t="shared" si="2"/>
        <v>-0.34182200000000001</v>
      </c>
      <c r="Y22" s="21">
        <f t="shared" si="3"/>
        <v>-0.35528599999999999</v>
      </c>
      <c r="Z22" s="11">
        <f t="shared" si="4"/>
        <v>-1</v>
      </c>
      <c r="AA22" s="22">
        <f t="shared" si="5"/>
        <v>-2.8800400000000002</v>
      </c>
      <c r="AB22" s="21">
        <f t="shared" si="6"/>
        <v>-0.34086899999999998</v>
      </c>
      <c r="AC22" s="21">
        <f t="shared" si="7"/>
        <v>-0.35403600000000002</v>
      </c>
      <c r="AD22" s="11">
        <f t="shared" si="8"/>
        <v>-1</v>
      </c>
      <c r="AE22" s="22">
        <f t="shared" si="9"/>
        <v>-2.88232</v>
      </c>
      <c r="AF22" s="21">
        <f t="shared" si="10"/>
        <v>-0.34007399999999999</v>
      </c>
      <c r="AG22" s="21">
        <f t="shared" si="11"/>
        <v>-0.35493599999999997</v>
      </c>
      <c r="AH22" s="11">
        <f t="shared" si="12"/>
        <v>-1</v>
      </c>
      <c r="AI22">
        <v>2.5000000000000001E-2</v>
      </c>
      <c r="AJ22">
        <v>-2.5000000000000001E-2</v>
      </c>
      <c r="AK22">
        <v>1.5E-3</v>
      </c>
      <c r="AL22">
        <v>-1.5E-3</v>
      </c>
      <c r="AM22">
        <v>1.5E-3</v>
      </c>
      <c r="AN22">
        <v>-1.5E-3</v>
      </c>
      <c r="AO22" s="16">
        <v>2.5000000000000001E-2</v>
      </c>
      <c r="AP22" s="16">
        <v>-2.5000000000000001E-2</v>
      </c>
      <c r="AQ22">
        <v>1.4999999999999999E-2</v>
      </c>
      <c r="AR22">
        <v>-1.4999999999999999E-2</v>
      </c>
      <c r="AS22">
        <v>1E-3</v>
      </c>
      <c r="AT22">
        <v>-1E-3</v>
      </c>
      <c r="AU22">
        <v>1E-3</v>
      </c>
      <c r="AV22">
        <v>-1E-3</v>
      </c>
      <c r="AW22" s="16">
        <v>1.4999999999999999E-2</v>
      </c>
      <c r="AX22" s="16">
        <v>-1.4999999999999999E-2</v>
      </c>
    </row>
    <row r="23" spans="1:279" customFormat="1">
      <c r="A23" s="2">
        <v>18</v>
      </c>
      <c r="B23" s="2">
        <v>2.8479700000000001</v>
      </c>
      <c r="C23" s="2">
        <v>0.41129500000000002</v>
      </c>
      <c r="D23" s="2">
        <v>0.39669599999999999</v>
      </c>
      <c r="E23" s="2">
        <v>31.894271360000001</v>
      </c>
      <c r="F23" s="17" t="str">
        <f t="shared" si="0"/>
        <v/>
      </c>
      <c r="G23" s="9"/>
      <c r="H23" s="25">
        <v>1</v>
      </c>
      <c r="I23" s="5"/>
      <c r="J23" s="5"/>
      <c r="K23" s="5"/>
      <c r="L23" s="5"/>
      <c r="M23" s="5">
        <v>2</v>
      </c>
      <c r="N23" s="5"/>
      <c r="O23" s="5"/>
      <c r="P23" s="5"/>
      <c r="Q23" s="5"/>
      <c r="R23" s="5">
        <v>3</v>
      </c>
      <c r="S23" s="5"/>
      <c r="T23" s="5"/>
      <c r="U23" s="5"/>
      <c r="V23" s="5"/>
      <c r="W23" s="22">
        <f t="shared" si="1"/>
        <v>-2.8805200000000002</v>
      </c>
      <c r="X23" s="21">
        <f t="shared" si="2"/>
        <v>-0.34182200000000001</v>
      </c>
      <c r="Y23" s="21">
        <f t="shared" si="3"/>
        <v>-0.35528599999999999</v>
      </c>
      <c r="Z23" s="11">
        <f t="shared" si="4"/>
        <v>-1</v>
      </c>
      <c r="AA23" s="22">
        <f t="shared" si="5"/>
        <v>-2.8800400000000002</v>
      </c>
      <c r="AB23" s="21">
        <f t="shared" si="6"/>
        <v>-0.34086899999999998</v>
      </c>
      <c r="AC23" s="21">
        <f t="shared" si="7"/>
        <v>-0.35403600000000002</v>
      </c>
      <c r="AD23" s="11">
        <f t="shared" si="8"/>
        <v>-1</v>
      </c>
      <c r="AE23" s="22">
        <f t="shared" si="9"/>
        <v>-2.88232</v>
      </c>
      <c r="AF23" s="21">
        <f t="shared" si="10"/>
        <v>-0.34007399999999999</v>
      </c>
      <c r="AG23" s="21">
        <f t="shared" si="11"/>
        <v>-0.35493599999999997</v>
      </c>
      <c r="AH23" s="11">
        <f t="shared" si="12"/>
        <v>-1</v>
      </c>
      <c r="AI23">
        <v>2.5000000000000001E-2</v>
      </c>
      <c r="AJ23">
        <v>-2.5000000000000001E-2</v>
      </c>
      <c r="AK23">
        <v>1.5E-3</v>
      </c>
      <c r="AL23">
        <v>-1.5E-3</v>
      </c>
      <c r="AM23">
        <v>1.5E-3</v>
      </c>
      <c r="AN23">
        <v>-1.5E-3</v>
      </c>
      <c r="AO23" s="16">
        <v>2.5000000000000001E-2</v>
      </c>
      <c r="AP23" s="16">
        <v>-2.5000000000000001E-2</v>
      </c>
      <c r="AQ23">
        <v>1.4999999999999999E-2</v>
      </c>
      <c r="AR23">
        <v>-1.4999999999999999E-2</v>
      </c>
      <c r="AS23">
        <v>1E-3</v>
      </c>
      <c r="AT23">
        <v>-1E-3</v>
      </c>
      <c r="AU23">
        <v>1E-3</v>
      </c>
      <c r="AV23">
        <v>-1E-3</v>
      </c>
      <c r="AW23" s="16">
        <v>1.4999999999999999E-2</v>
      </c>
      <c r="AX23" s="16">
        <v>-1.4999999999999999E-2</v>
      </c>
    </row>
    <row r="24" spans="1:279" customFormat="1">
      <c r="A24" s="2">
        <v>19</v>
      </c>
      <c r="B24" s="2">
        <v>2.8501400000000001</v>
      </c>
      <c r="C24" s="2">
        <v>0.41248800000000002</v>
      </c>
      <c r="D24" s="2">
        <v>0.39606799999999998</v>
      </c>
      <c r="E24" s="2">
        <v>31.636080400000001</v>
      </c>
      <c r="F24" s="17" t="str">
        <f t="shared" si="0"/>
        <v/>
      </c>
      <c r="G24" s="9"/>
      <c r="H24" s="25">
        <v>1</v>
      </c>
      <c r="I24" s="5"/>
      <c r="J24" s="5"/>
      <c r="K24" s="5"/>
      <c r="L24" s="5"/>
      <c r="M24" s="5">
        <v>2</v>
      </c>
      <c r="N24" s="5"/>
      <c r="O24" s="5"/>
      <c r="P24" s="5"/>
      <c r="Q24" s="5"/>
      <c r="R24" s="5">
        <v>3</v>
      </c>
      <c r="S24" s="5"/>
      <c r="T24" s="5"/>
      <c r="U24" s="5"/>
      <c r="V24" s="5"/>
      <c r="W24" s="22">
        <f t="shared" si="1"/>
        <v>-2.8805200000000002</v>
      </c>
      <c r="X24" s="21">
        <f t="shared" si="2"/>
        <v>-0.34182200000000001</v>
      </c>
      <c r="Y24" s="21">
        <f t="shared" si="3"/>
        <v>-0.35528599999999999</v>
      </c>
      <c r="Z24" s="11">
        <f t="shared" si="4"/>
        <v>-1</v>
      </c>
      <c r="AA24" s="22">
        <f t="shared" si="5"/>
        <v>-2.8800400000000002</v>
      </c>
      <c r="AB24" s="21">
        <f t="shared" si="6"/>
        <v>-0.34086899999999998</v>
      </c>
      <c r="AC24" s="21">
        <f t="shared" si="7"/>
        <v>-0.35403600000000002</v>
      </c>
      <c r="AD24" s="11">
        <f t="shared" si="8"/>
        <v>-1</v>
      </c>
      <c r="AE24" s="22">
        <f t="shared" si="9"/>
        <v>-2.88232</v>
      </c>
      <c r="AF24" s="21">
        <f t="shared" si="10"/>
        <v>-0.34007399999999999</v>
      </c>
      <c r="AG24" s="21">
        <f t="shared" si="11"/>
        <v>-0.35493599999999997</v>
      </c>
      <c r="AH24" s="11">
        <f t="shared" si="12"/>
        <v>-1</v>
      </c>
      <c r="AI24">
        <v>2.5000000000000001E-2</v>
      </c>
      <c r="AJ24">
        <v>-2.5000000000000001E-2</v>
      </c>
      <c r="AK24">
        <v>1.5E-3</v>
      </c>
      <c r="AL24">
        <v>-1.5E-3</v>
      </c>
      <c r="AM24">
        <v>1.5E-3</v>
      </c>
      <c r="AN24">
        <v>-1.5E-3</v>
      </c>
      <c r="AO24" s="16">
        <v>2.5000000000000001E-2</v>
      </c>
      <c r="AP24" s="16">
        <v>-2.5000000000000001E-2</v>
      </c>
      <c r="AQ24">
        <v>1.4999999999999999E-2</v>
      </c>
      <c r="AR24">
        <v>-1.4999999999999999E-2</v>
      </c>
      <c r="AS24">
        <v>1E-3</v>
      </c>
      <c r="AT24">
        <v>-1E-3</v>
      </c>
      <c r="AU24">
        <v>1E-3</v>
      </c>
      <c r="AV24">
        <v>-1E-3</v>
      </c>
      <c r="AW24" s="16">
        <v>1.4999999999999999E-2</v>
      </c>
      <c r="AX24" s="16">
        <v>-1.4999999999999999E-2</v>
      </c>
    </row>
    <row r="25" spans="1:279" customFormat="1">
      <c r="A25" s="2">
        <v>20</v>
      </c>
      <c r="B25" s="2">
        <v>2.83935</v>
      </c>
      <c r="C25" s="2">
        <v>0.41187200000000002</v>
      </c>
      <c r="D25" s="2">
        <v>0.39613700000000002</v>
      </c>
      <c r="E25" s="2">
        <v>31.413869349999999</v>
      </c>
      <c r="F25" s="17" t="str">
        <f t="shared" si="0"/>
        <v/>
      </c>
      <c r="G25" s="9"/>
      <c r="H25" s="25">
        <v>1</v>
      </c>
      <c r="I25" s="5"/>
      <c r="J25" s="5"/>
      <c r="K25" s="5"/>
      <c r="L25" s="5"/>
      <c r="M25" s="5">
        <v>2</v>
      </c>
      <c r="N25" s="5"/>
      <c r="O25" s="5"/>
      <c r="P25" s="5"/>
      <c r="Q25" s="5"/>
      <c r="R25" s="5">
        <v>3</v>
      </c>
      <c r="S25" s="5"/>
      <c r="T25" s="5"/>
      <c r="U25" s="5"/>
      <c r="V25" s="5"/>
      <c r="W25" s="22">
        <f t="shared" si="1"/>
        <v>-2.8805200000000002</v>
      </c>
      <c r="X25" s="21">
        <f t="shared" si="2"/>
        <v>-0.34182200000000001</v>
      </c>
      <c r="Y25" s="21">
        <f t="shared" si="3"/>
        <v>-0.35528599999999999</v>
      </c>
      <c r="Z25" s="11">
        <f t="shared" si="4"/>
        <v>-1</v>
      </c>
      <c r="AA25" s="22">
        <f t="shared" si="5"/>
        <v>-2.8800400000000002</v>
      </c>
      <c r="AB25" s="21">
        <f t="shared" si="6"/>
        <v>-0.34086899999999998</v>
      </c>
      <c r="AC25" s="21">
        <f t="shared" si="7"/>
        <v>-0.35403600000000002</v>
      </c>
      <c r="AD25" s="11">
        <f t="shared" si="8"/>
        <v>-1</v>
      </c>
      <c r="AE25" s="22">
        <f t="shared" si="9"/>
        <v>-2.88232</v>
      </c>
      <c r="AF25" s="21">
        <f t="shared" si="10"/>
        <v>-0.34007399999999999</v>
      </c>
      <c r="AG25" s="21">
        <f t="shared" si="11"/>
        <v>-0.35493599999999997</v>
      </c>
      <c r="AH25" s="11">
        <f t="shared" si="12"/>
        <v>-1</v>
      </c>
      <c r="AI25">
        <v>2.5000000000000001E-2</v>
      </c>
      <c r="AJ25">
        <v>-2.5000000000000001E-2</v>
      </c>
      <c r="AK25">
        <v>1.5E-3</v>
      </c>
      <c r="AL25">
        <v>-1.5E-3</v>
      </c>
      <c r="AM25">
        <v>1.5E-3</v>
      </c>
      <c r="AN25">
        <v>-1.5E-3</v>
      </c>
      <c r="AO25" s="16">
        <v>2.5000000000000001E-2</v>
      </c>
      <c r="AP25" s="16">
        <v>-2.5000000000000001E-2</v>
      </c>
      <c r="AQ25">
        <v>1.4999999999999999E-2</v>
      </c>
      <c r="AR25">
        <v>-1.4999999999999999E-2</v>
      </c>
      <c r="AS25">
        <v>1E-3</v>
      </c>
      <c r="AT25">
        <v>-1E-3</v>
      </c>
      <c r="AU25">
        <v>1E-3</v>
      </c>
      <c r="AV25">
        <v>-1E-3</v>
      </c>
      <c r="AW25" s="16">
        <v>1.4999999999999999E-2</v>
      </c>
      <c r="AX25" s="16">
        <v>-1.4999999999999999E-2</v>
      </c>
    </row>
    <row r="26" spans="1:279" customFormat="1">
      <c r="A26" s="2">
        <v>21</v>
      </c>
      <c r="B26" s="2">
        <v>2.8731399999999998</v>
      </c>
      <c r="C26" s="2">
        <v>0.30735600000000002</v>
      </c>
      <c r="D26" s="2">
        <v>0.32118099999999999</v>
      </c>
      <c r="E26" s="2">
        <v>33.242010049999998</v>
      </c>
      <c r="F26" s="17" t="str">
        <f t="shared" si="0"/>
        <v/>
      </c>
      <c r="G26" s="9"/>
      <c r="H26" s="25">
        <v>1</v>
      </c>
      <c r="I26" s="5"/>
      <c r="J26" s="5"/>
      <c r="K26" s="5"/>
      <c r="L26" s="5"/>
      <c r="M26" s="5">
        <v>2</v>
      </c>
      <c r="N26" s="5"/>
      <c r="O26" s="5"/>
      <c r="P26" s="5"/>
      <c r="Q26" s="5"/>
      <c r="R26" s="5">
        <v>3</v>
      </c>
      <c r="S26" s="5"/>
      <c r="T26" s="5"/>
      <c r="U26" s="5"/>
      <c r="V26" s="5"/>
      <c r="W26" s="22">
        <f t="shared" si="1"/>
        <v>-2.8805200000000002</v>
      </c>
      <c r="X26" s="21">
        <f t="shared" si="2"/>
        <v>-0.34182200000000001</v>
      </c>
      <c r="Y26" s="21">
        <f t="shared" si="3"/>
        <v>-0.35528599999999999</v>
      </c>
      <c r="Z26" s="11">
        <f t="shared" si="4"/>
        <v>-1</v>
      </c>
      <c r="AA26" s="22">
        <f t="shared" si="5"/>
        <v>-2.8800400000000002</v>
      </c>
      <c r="AB26" s="21">
        <f t="shared" si="6"/>
        <v>-0.34086899999999998</v>
      </c>
      <c r="AC26" s="21">
        <f t="shared" si="7"/>
        <v>-0.35403600000000002</v>
      </c>
      <c r="AD26" s="11">
        <f t="shared" si="8"/>
        <v>-1</v>
      </c>
      <c r="AE26" s="22">
        <f t="shared" si="9"/>
        <v>-2.88232</v>
      </c>
      <c r="AF26" s="21">
        <f t="shared" si="10"/>
        <v>-0.34007399999999999</v>
      </c>
      <c r="AG26" s="21">
        <f t="shared" si="11"/>
        <v>-0.35493599999999997</v>
      </c>
      <c r="AH26" s="11">
        <f t="shared" si="12"/>
        <v>-1</v>
      </c>
      <c r="AI26">
        <v>2.5000000000000001E-2</v>
      </c>
      <c r="AJ26">
        <v>-2.5000000000000001E-2</v>
      </c>
      <c r="AK26">
        <v>1.5E-3</v>
      </c>
      <c r="AL26">
        <v>-1.5E-3</v>
      </c>
      <c r="AM26">
        <v>1.5E-3</v>
      </c>
      <c r="AN26">
        <v>-1.5E-3</v>
      </c>
      <c r="AO26" s="16">
        <v>2.5000000000000001E-2</v>
      </c>
      <c r="AP26" s="16">
        <v>-2.5000000000000001E-2</v>
      </c>
      <c r="AQ26">
        <v>1.4999999999999999E-2</v>
      </c>
      <c r="AR26">
        <v>-1.4999999999999999E-2</v>
      </c>
      <c r="AS26">
        <v>1E-3</v>
      </c>
      <c r="AT26">
        <v>-1E-3</v>
      </c>
      <c r="AU26">
        <v>1E-3</v>
      </c>
      <c r="AV26">
        <v>-1E-3</v>
      </c>
      <c r="AW26" s="16">
        <v>1.4999999999999999E-2</v>
      </c>
      <c r="AX26" s="16">
        <v>-1.4999999999999999E-2</v>
      </c>
    </row>
    <row r="27" spans="1:279" customFormat="1">
      <c r="A27" s="2">
        <v>22</v>
      </c>
      <c r="B27" s="2">
        <v>2.87967</v>
      </c>
      <c r="C27" s="2">
        <v>0.30808099999999999</v>
      </c>
      <c r="D27" s="2">
        <v>0.32127600000000001</v>
      </c>
      <c r="E27" s="2">
        <v>33.482311559999999</v>
      </c>
      <c r="F27" s="17" t="str">
        <f t="shared" si="0"/>
        <v/>
      </c>
      <c r="G27" s="9"/>
      <c r="H27" s="25">
        <v>1</v>
      </c>
      <c r="I27" s="5"/>
      <c r="J27" s="5"/>
      <c r="K27" s="5"/>
      <c r="L27" s="5"/>
      <c r="M27" s="5">
        <v>2</v>
      </c>
      <c r="N27" s="5"/>
      <c r="O27" s="5"/>
      <c r="P27" s="5"/>
      <c r="Q27" s="5"/>
      <c r="R27" s="5">
        <v>3</v>
      </c>
      <c r="S27" s="5"/>
      <c r="T27" s="5"/>
      <c r="U27" s="5"/>
      <c r="V27" s="5"/>
      <c r="W27" s="22">
        <f t="shared" si="1"/>
        <v>-2.8805200000000002</v>
      </c>
      <c r="X27" s="21">
        <f t="shared" si="2"/>
        <v>-0.34182200000000001</v>
      </c>
      <c r="Y27" s="21">
        <f t="shared" si="3"/>
        <v>-0.35528599999999999</v>
      </c>
      <c r="Z27" s="11">
        <f t="shared" si="4"/>
        <v>-1</v>
      </c>
      <c r="AA27" s="22">
        <f t="shared" si="5"/>
        <v>-2.8800400000000002</v>
      </c>
      <c r="AB27" s="21">
        <f t="shared" si="6"/>
        <v>-0.34086899999999998</v>
      </c>
      <c r="AC27" s="21">
        <f t="shared" si="7"/>
        <v>-0.35403600000000002</v>
      </c>
      <c r="AD27" s="11">
        <f t="shared" si="8"/>
        <v>-1</v>
      </c>
      <c r="AE27" s="22">
        <f t="shared" si="9"/>
        <v>-2.88232</v>
      </c>
      <c r="AF27" s="21">
        <f t="shared" si="10"/>
        <v>-0.34007399999999999</v>
      </c>
      <c r="AG27" s="21">
        <f t="shared" si="11"/>
        <v>-0.35493599999999997</v>
      </c>
      <c r="AH27" s="11">
        <f t="shared" si="12"/>
        <v>-1</v>
      </c>
      <c r="AI27">
        <v>2.5000000000000001E-2</v>
      </c>
      <c r="AJ27">
        <v>-2.5000000000000001E-2</v>
      </c>
      <c r="AK27">
        <v>1.5E-3</v>
      </c>
      <c r="AL27">
        <v>-1.5E-3</v>
      </c>
      <c r="AM27">
        <v>1.5E-3</v>
      </c>
      <c r="AN27">
        <v>-1.5E-3</v>
      </c>
      <c r="AO27" s="16">
        <v>2.5000000000000001E-2</v>
      </c>
      <c r="AP27" s="16">
        <v>-2.5000000000000001E-2</v>
      </c>
      <c r="AQ27">
        <v>1.4999999999999999E-2</v>
      </c>
      <c r="AR27">
        <v>-1.4999999999999999E-2</v>
      </c>
      <c r="AS27">
        <v>1E-3</v>
      </c>
      <c r="AT27">
        <v>-1E-3</v>
      </c>
      <c r="AU27">
        <v>1E-3</v>
      </c>
      <c r="AV27">
        <v>-1E-3</v>
      </c>
      <c r="AW27" s="16">
        <v>1.4999999999999999E-2</v>
      </c>
      <c r="AX27" s="16">
        <v>-1.4999999999999999E-2</v>
      </c>
    </row>
    <row r="28" spans="1:279" customFormat="1">
      <c r="A28" s="2">
        <v>23</v>
      </c>
      <c r="B28" s="2">
        <v>2.8777699999999999</v>
      </c>
      <c r="C28" s="2">
        <v>0.308338</v>
      </c>
      <c r="D28" s="2">
        <v>0.32091799999999998</v>
      </c>
      <c r="E28" s="2">
        <v>33.410954769999996</v>
      </c>
      <c r="F28" s="17" t="str">
        <f t="shared" si="0"/>
        <v/>
      </c>
      <c r="G28" s="9"/>
      <c r="H28" s="25">
        <v>1</v>
      </c>
      <c r="I28" s="5"/>
      <c r="J28" s="5"/>
      <c r="K28" s="5"/>
      <c r="L28" s="5"/>
      <c r="M28" s="5">
        <v>2</v>
      </c>
      <c r="N28" s="5"/>
      <c r="O28" s="5"/>
      <c r="P28" s="5"/>
      <c r="Q28" s="5"/>
      <c r="R28" s="5">
        <v>3</v>
      </c>
      <c r="S28" s="5"/>
      <c r="T28" s="5"/>
      <c r="U28" s="5"/>
      <c r="V28" s="5"/>
      <c r="W28" s="22">
        <f t="shared" si="1"/>
        <v>-2.8805200000000002</v>
      </c>
      <c r="X28" s="21">
        <f t="shared" si="2"/>
        <v>-0.34182200000000001</v>
      </c>
      <c r="Y28" s="21">
        <f t="shared" si="3"/>
        <v>-0.35528599999999999</v>
      </c>
      <c r="Z28" s="11">
        <f t="shared" si="4"/>
        <v>-1</v>
      </c>
      <c r="AA28" s="22">
        <f t="shared" si="5"/>
        <v>-2.8800400000000002</v>
      </c>
      <c r="AB28" s="21">
        <f t="shared" si="6"/>
        <v>-0.34086899999999998</v>
      </c>
      <c r="AC28" s="21">
        <f t="shared" si="7"/>
        <v>-0.35403600000000002</v>
      </c>
      <c r="AD28" s="11">
        <f t="shared" si="8"/>
        <v>-1</v>
      </c>
      <c r="AE28" s="22">
        <f t="shared" si="9"/>
        <v>-2.88232</v>
      </c>
      <c r="AF28" s="21">
        <f t="shared" si="10"/>
        <v>-0.34007399999999999</v>
      </c>
      <c r="AG28" s="21">
        <f t="shared" si="11"/>
        <v>-0.35493599999999997</v>
      </c>
      <c r="AH28" s="11">
        <f t="shared" si="12"/>
        <v>-1</v>
      </c>
      <c r="AI28">
        <v>2.5000000000000001E-2</v>
      </c>
      <c r="AJ28">
        <v>-2.5000000000000001E-2</v>
      </c>
      <c r="AK28">
        <v>1.5E-3</v>
      </c>
      <c r="AL28">
        <v>-1.5E-3</v>
      </c>
      <c r="AM28">
        <v>1.5E-3</v>
      </c>
      <c r="AN28">
        <v>-1.5E-3</v>
      </c>
      <c r="AO28" s="16">
        <v>2.5000000000000001E-2</v>
      </c>
      <c r="AP28" s="16">
        <v>-2.5000000000000001E-2</v>
      </c>
      <c r="AQ28">
        <v>1.4999999999999999E-2</v>
      </c>
      <c r="AR28">
        <v>-1.4999999999999999E-2</v>
      </c>
      <c r="AS28">
        <v>1E-3</v>
      </c>
      <c r="AT28">
        <v>-1E-3</v>
      </c>
      <c r="AU28">
        <v>1E-3</v>
      </c>
      <c r="AV28">
        <v>-1E-3</v>
      </c>
      <c r="AW28" s="16">
        <v>1.4999999999999999E-2</v>
      </c>
      <c r="AX28" s="16">
        <v>-1.4999999999999999E-2</v>
      </c>
    </row>
    <row r="29" spans="1:279" customFormat="1">
      <c r="A29" s="2">
        <v>24</v>
      </c>
      <c r="B29" s="2">
        <v>2.88998</v>
      </c>
      <c r="C29" s="2">
        <v>0.30891800000000003</v>
      </c>
      <c r="D29" s="2">
        <v>0.321129</v>
      </c>
      <c r="E29" s="2">
        <v>33.433567840000002</v>
      </c>
      <c r="F29" s="17" t="str">
        <f t="shared" si="0"/>
        <v/>
      </c>
      <c r="G29" s="9"/>
      <c r="H29" s="25">
        <v>1</v>
      </c>
      <c r="I29" s="5"/>
      <c r="J29" s="5"/>
      <c r="K29" s="5"/>
      <c r="L29" s="5"/>
      <c r="M29" s="5">
        <v>2</v>
      </c>
      <c r="N29" s="5"/>
      <c r="O29" s="5"/>
      <c r="P29" s="5"/>
      <c r="Q29" s="5"/>
      <c r="R29" s="5">
        <v>3</v>
      </c>
      <c r="S29" s="5"/>
      <c r="T29" s="5"/>
      <c r="U29" s="5"/>
      <c r="V29" s="5"/>
      <c r="W29" s="22">
        <f t="shared" si="1"/>
        <v>-2.8805200000000002</v>
      </c>
      <c r="X29" s="21">
        <f t="shared" si="2"/>
        <v>-0.34182200000000001</v>
      </c>
      <c r="Y29" s="21">
        <f t="shared" si="3"/>
        <v>-0.35528599999999999</v>
      </c>
      <c r="Z29" s="11">
        <f t="shared" si="4"/>
        <v>-1</v>
      </c>
      <c r="AA29" s="22">
        <f t="shared" si="5"/>
        <v>-2.8800400000000002</v>
      </c>
      <c r="AB29" s="21">
        <f t="shared" si="6"/>
        <v>-0.34086899999999998</v>
      </c>
      <c r="AC29" s="21">
        <f t="shared" si="7"/>
        <v>-0.35403600000000002</v>
      </c>
      <c r="AD29" s="11">
        <f t="shared" si="8"/>
        <v>-1</v>
      </c>
      <c r="AE29" s="22">
        <f t="shared" si="9"/>
        <v>-2.88232</v>
      </c>
      <c r="AF29" s="21">
        <f t="shared" si="10"/>
        <v>-0.34007399999999999</v>
      </c>
      <c r="AG29" s="21">
        <f t="shared" si="11"/>
        <v>-0.35493599999999997</v>
      </c>
      <c r="AH29" s="11">
        <f t="shared" si="12"/>
        <v>-1</v>
      </c>
      <c r="AI29">
        <v>2.5000000000000001E-2</v>
      </c>
      <c r="AJ29">
        <v>-2.5000000000000001E-2</v>
      </c>
      <c r="AK29">
        <v>1.5E-3</v>
      </c>
      <c r="AL29">
        <v>-1.5E-3</v>
      </c>
      <c r="AM29">
        <v>1.5E-3</v>
      </c>
      <c r="AN29">
        <v>-1.5E-3</v>
      </c>
      <c r="AO29" s="16">
        <v>2.5000000000000001E-2</v>
      </c>
      <c r="AP29" s="16">
        <v>-2.5000000000000001E-2</v>
      </c>
      <c r="AQ29">
        <v>1.4999999999999999E-2</v>
      </c>
      <c r="AR29">
        <v>-1.4999999999999999E-2</v>
      </c>
      <c r="AS29">
        <v>1E-3</v>
      </c>
      <c r="AT29">
        <v>-1E-3</v>
      </c>
      <c r="AU29">
        <v>1E-3</v>
      </c>
      <c r="AV29">
        <v>-1E-3</v>
      </c>
      <c r="AW29" s="16">
        <v>1.4999999999999999E-2</v>
      </c>
      <c r="AX29" s="16">
        <v>-1.4999999999999999E-2</v>
      </c>
    </row>
    <row r="30" spans="1:279" customFormat="1">
      <c r="A30" s="2">
        <v>25</v>
      </c>
      <c r="B30" s="2">
        <v>2.87134</v>
      </c>
      <c r="C30" s="2">
        <v>0.30728299999999997</v>
      </c>
      <c r="D30" s="2">
        <v>0.32272600000000001</v>
      </c>
      <c r="E30" s="2">
        <v>33.550954769999997</v>
      </c>
      <c r="F30" s="17" t="str">
        <f t="shared" si="0"/>
        <v/>
      </c>
      <c r="G30" s="9"/>
      <c r="H30" s="25">
        <v>1</v>
      </c>
      <c r="I30" s="5"/>
      <c r="J30" s="5"/>
      <c r="K30" s="5"/>
      <c r="L30" s="5"/>
      <c r="M30" s="5">
        <v>2</v>
      </c>
      <c r="N30" s="5"/>
      <c r="O30" s="5"/>
      <c r="P30" s="5"/>
      <c r="Q30" s="5"/>
      <c r="R30" s="5">
        <v>3</v>
      </c>
      <c r="S30" s="5"/>
      <c r="T30" s="5"/>
      <c r="U30" s="5"/>
      <c r="V30" s="5"/>
      <c r="W30" s="22">
        <f t="shared" si="1"/>
        <v>-2.8805200000000002</v>
      </c>
      <c r="X30" s="21">
        <f t="shared" si="2"/>
        <v>-0.34182200000000001</v>
      </c>
      <c r="Y30" s="21">
        <f t="shared" si="3"/>
        <v>-0.35528599999999999</v>
      </c>
      <c r="Z30" s="11">
        <f t="shared" si="4"/>
        <v>-1</v>
      </c>
      <c r="AA30" s="22">
        <f t="shared" si="5"/>
        <v>-2.8800400000000002</v>
      </c>
      <c r="AB30" s="21">
        <f t="shared" si="6"/>
        <v>-0.34086899999999998</v>
      </c>
      <c r="AC30" s="21">
        <f t="shared" si="7"/>
        <v>-0.35403600000000002</v>
      </c>
      <c r="AD30" s="11">
        <f t="shared" si="8"/>
        <v>-1</v>
      </c>
      <c r="AE30" s="22">
        <f t="shared" si="9"/>
        <v>-2.88232</v>
      </c>
      <c r="AF30" s="21">
        <f t="shared" si="10"/>
        <v>-0.34007399999999999</v>
      </c>
      <c r="AG30" s="21">
        <f t="shared" si="11"/>
        <v>-0.35493599999999997</v>
      </c>
      <c r="AH30" s="11">
        <f t="shared" si="12"/>
        <v>-1</v>
      </c>
      <c r="AI30">
        <v>2.5000000000000001E-2</v>
      </c>
      <c r="AJ30">
        <v>-2.5000000000000001E-2</v>
      </c>
      <c r="AK30">
        <v>1.5E-3</v>
      </c>
      <c r="AL30">
        <v>-1.5E-3</v>
      </c>
      <c r="AM30">
        <v>1.5E-3</v>
      </c>
      <c r="AN30">
        <v>-1.5E-3</v>
      </c>
      <c r="AO30" s="16">
        <v>2.5000000000000001E-2</v>
      </c>
      <c r="AP30" s="16">
        <v>-2.5000000000000001E-2</v>
      </c>
      <c r="AQ30">
        <v>1.4999999999999999E-2</v>
      </c>
      <c r="AR30">
        <v>-1.4999999999999999E-2</v>
      </c>
      <c r="AS30">
        <v>1E-3</v>
      </c>
      <c r="AT30">
        <v>-1E-3</v>
      </c>
      <c r="AU30">
        <v>1E-3</v>
      </c>
      <c r="AV30">
        <v>-1E-3</v>
      </c>
      <c r="AW30" s="16">
        <v>1.4999999999999999E-2</v>
      </c>
      <c r="AX30" s="16">
        <v>-1.4999999999999999E-2</v>
      </c>
    </row>
    <row r="31" spans="1:279" customFormat="1">
      <c r="A31" s="2">
        <v>26</v>
      </c>
      <c r="B31" s="2">
        <v>2.86869</v>
      </c>
      <c r="C31" s="2">
        <v>0.38836300000000001</v>
      </c>
      <c r="D31" s="2">
        <v>0.38317200000000001</v>
      </c>
      <c r="E31" s="2">
        <v>33.040804020000003</v>
      </c>
      <c r="F31" s="17" t="str">
        <f t="shared" si="0"/>
        <v/>
      </c>
      <c r="G31" s="9"/>
      <c r="H31" s="25">
        <v>1</v>
      </c>
      <c r="I31" s="5"/>
      <c r="J31" s="5"/>
      <c r="K31" s="5"/>
      <c r="L31" s="5"/>
      <c r="M31" s="5">
        <v>2</v>
      </c>
      <c r="N31" s="5"/>
      <c r="O31" s="5"/>
      <c r="P31" s="5"/>
      <c r="Q31" s="5"/>
      <c r="R31" s="5">
        <v>3</v>
      </c>
      <c r="S31" s="5"/>
      <c r="T31" s="5"/>
      <c r="U31" s="5"/>
      <c r="V31" s="5"/>
      <c r="W31" s="22">
        <f t="shared" si="1"/>
        <v>-2.8805200000000002</v>
      </c>
      <c r="X31" s="21">
        <f t="shared" si="2"/>
        <v>-0.34182200000000001</v>
      </c>
      <c r="Y31" s="21">
        <f t="shared" si="3"/>
        <v>-0.35528599999999999</v>
      </c>
      <c r="Z31" s="11">
        <f t="shared" si="4"/>
        <v>-1</v>
      </c>
      <c r="AA31" s="22">
        <f t="shared" si="5"/>
        <v>-2.8800400000000002</v>
      </c>
      <c r="AB31" s="21">
        <f t="shared" si="6"/>
        <v>-0.34086899999999998</v>
      </c>
      <c r="AC31" s="21">
        <f t="shared" si="7"/>
        <v>-0.35403600000000002</v>
      </c>
      <c r="AD31" s="11">
        <f t="shared" si="8"/>
        <v>-1</v>
      </c>
      <c r="AE31" s="22">
        <f t="shared" si="9"/>
        <v>-2.88232</v>
      </c>
      <c r="AF31" s="21">
        <f t="shared" si="10"/>
        <v>-0.34007399999999999</v>
      </c>
      <c r="AG31" s="21">
        <f t="shared" si="11"/>
        <v>-0.35493599999999997</v>
      </c>
      <c r="AH31" s="11">
        <f t="shared" si="12"/>
        <v>-1</v>
      </c>
      <c r="AI31">
        <v>2.5000000000000001E-2</v>
      </c>
      <c r="AJ31">
        <v>-2.5000000000000001E-2</v>
      </c>
      <c r="AK31">
        <v>1.5E-3</v>
      </c>
      <c r="AL31">
        <v>-1.5E-3</v>
      </c>
      <c r="AM31">
        <v>1.5E-3</v>
      </c>
      <c r="AN31">
        <v>-1.5E-3</v>
      </c>
      <c r="AO31" s="16">
        <v>2.5000000000000001E-2</v>
      </c>
      <c r="AP31" s="16">
        <v>-2.5000000000000001E-2</v>
      </c>
      <c r="AQ31">
        <v>1.4999999999999999E-2</v>
      </c>
      <c r="AR31">
        <v>-1.4999999999999999E-2</v>
      </c>
      <c r="AS31">
        <v>1E-3</v>
      </c>
      <c r="AT31">
        <v>-1E-3</v>
      </c>
      <c r="AU31">
        <v>1E-3</v>
      </c>
      <c r="AV31">
        <v>-1E-3</v>
      </c>
      <c r="AW31" s="16">
        <v>1.4999999999999999E-2</v>
      </c>
      <c r="AX31" s="16">
        <v>-1.4999999999999999E-2</v>
      </c>
    </row>
    <row r="32" spans="1:279" customFormat="1">
      <c r="A32" s="2">
        <v>27</v>
      </c>
      <c r="B32" s="2">
        <v>2.8888400000000001</v>
      </c>
      <c r="C32" s="2">
        <v>0.38937300000000002</v>
      </c>
      <c r="D32" s="2">
        <v>0.38444200000000001</v>
      </c>
      <c r="E32" s="2">
        <v>33.307135680000002</v>
      </c>
      <c r="F32" s="17" t="str">
        <f t="shared" si="0"/>
        <v/>
      </c>
      <c r="G32" s="9"/>
      <c r="H32" s="25">
        <v>1</v>
      </c>
      <c r="I32" s="5"/>
      <c r="J32" s="5"/>
      <c r="K32" s="5"/>
      <c r="L32" s="5"/>
      <c r="M32" s="5">
        <v>2</v>
      </c>
      <c r="N32" s="5"/>
      <c r="O32" s="5"/>
      <c r="P32" s="5"/>
      <c r="Q32" s="5"/>
      <c r="R32" s="5">
        <v>3</v>
      </c>
      <c r="S32" s="5"/>
      <c r="T32" s="5"/>
      <c r="U32" s="5"/>
      <c r="V32" s="5"/>
      <c r="W32" s="22">
        <f t="shared" si="1"/>
        <v>-2.8805200000000002</v>
      </c>
      <c r="X32" s="21">
        <f t="shared" si="2"/>
        <v>-0.34182200000000001</v>
      </c>
      <c r="Y32" s="21">
        <f t="shared" si="3"/>
        <v>-0.35528599999999999</v>
      </c>
      <c r="Z32" s="11">
        <f t="shared" si="4"/>
        <v>-1</v>
      </c>
      <c r="AA32" s="22">
        <f t="shared" si="5"/>
        <v>-2.8800400000000002</v>
      </c>
      <c r="AB32" s="21">
        <f t="shared" si="6"/>
        <v>-0.34086899999999998</v>
      </c>
      <c r="AC32" s="21">
        <f t="shared" si="7"/>
        <v>-0.35403600000000002</v>
      </c>
      <c r="AD32" s="11">
        <f t="shared" si="8"/>
        <v>-1</v>
      </c>
      <c r="AE32" s="22">
        <f t="shared" si="9"/>
        <v>-2.88232</v>
      </c>
      <c r="AF32" s="21">
        <f t="shared" si="10"/>
        <v>-0.34007399999999999</v>
      </c>
      <c r="AG32" s="21">
        <f t="shared" si="11"/>
        <v>-0.35493599999999997</v>
      </c>
      <c r="AH32" s="11">
        <f t="shared" si="12"/>
        <v>-1</v>
      </c>
      <c r="AI32">
        <v>2.5000000000000001E-2</v>
      </c>
      <c r="AJ32">
        <v>-2.5000000000000001E-2</v>
      </c>
      <c r="AK32">
        <v>1.5E-3</v>
      </c>
      <c r="AL32">
        <v>-1.5E-3</v>
      </c>
      <c r="AM32">
        <v>1.5E-3</v>
      </c>
      <c r="AN32">
        <v>-1.5E-3</v>
      </c>
      <c r="AO32" s="16">
        <v>2.5000000000000001E-2</v>
      </c>
      <c r="AP32" s="16">
        <v>-2.5000000000000001E-2</v>
      </c>
      <c r="AQ32">
        <v>1.4999999999999999E-2</v>
      </c>
      <c r="AR32">
        <v>-1.4999999999999999E-2</v>
      </c>
      <c r="AS32">
        <v>1E-3</v>
      </c>
      <c r="AT32">
        <v>-1E-3</v>
      </c>
      <c r="AU32">
        <v>1E-3</v>
      </c>
      <c r="AV32">
        <v>-1E-3</v>
      </c>
      <c r="AW32" s="16">
        <v>1.4999999999999999E-2</v>
      </c>
      <c r="AX32" s="16">
        <v>-1.4999999999999999E-2</v>
      </c>
    </row>
    <row r="33" spans="1:279" customFormat="1">
      <c r="A33" s="2">
        <v>28</v>
      </c>
      <c r="B33" s="2">
        <v>2.86822</v>
      </c>
      <c r="C33" s="2">
        <v>0.38832800000000001</v>
      </c>
      <c r="D33" s="2">
        <v>0.38363000000000003</v>
      </c>
      <c r="E33" s="2">
        <v>33.285527639999998</v>
      </c>
      <c r="F33" s="17" t="str">
        <f t="shared" si="0"/>
        <v/>
      </c>
      <c r="G33" s="9"/>
      <c r="H33" s="25">
        <v>1</v>
      </c>
      <c r="I33" s="5"/>
      <c r="J33" s="5"/>
      <c r="K33" s="5"/>
      <c r="L33" s="5"/>
      <c r="M33" s="5">
        <v>2</v>
      </c>
      <c r="N33" s="5"/>
      <c r="O33" s="5"/>
      <c r="P33" s="5"/>
      <c r="Q33" s="5"/>
      <c r="R33" s="5">
        <v>3</v>
      </c>
      <c r="S33" s="5"/>
      <c r="T33" s="5"/>
      <c r="U33" s="5"/>
      <c r="V33" s="5"/>
      <c r="W33" s="22">
        <f t="shared" si="1"/>
        <v>-2.8805200000000002</v>
      </c>
      <c r="X33" s="21">
        <f t="shared" si="2"/>
        <v>-0.34182200000000001</v>
      </c>
      <c r="Y33" s="21">
        <f t="shared" si="3"/>
        <v>-0.35528599999999999</v>
      </c>
      <c r="Z33" s="11">
        <f t="shared" si="4"/>
        <v>-1</v>
      </c>
      <c r="AA33" s="22">
        <f t="shared" si="5"/>
        <v>-2.8800400000000002</v>
      </c>
      <c r="AB33" s="21">
        <f t="shared" si="6"/>
        <v>-0.34086899999999998</v>
      </c>
      <c r="AC33" s="21">
        <f t="shared" si="7"/>
        <v>-0.35403600000000002</v>
      </c>
      <c r="AD33" s="11">
        <f t="shared" si="8"/>
        <v>-1</v>
      </c>
      <c r="AE33" s="22">
        <f t="shared" si="9"/>
        <v>-2.88232</v>
      </c>
      <c r="AF33" s="21">
        <f t="shared" si="10"/>
        <v>-0.34007399999999999</v>
      </c>
      <c r="AG33" s="21">
        <f t="shared" si="11"/>
        <v>-0.35493599999999997</v>
      </c>
      <c r="AH33" s="11">
        <f t="shared" si="12"/>
        <v>-1</v>
      </c>
      <c r="AI33">
        <v>2.5000000000000001E-2</v>
      </c>
      <c r="AJ33">
        <v>-2.5000000000000001E-2</v>
      </c>
      <c r="AK33">
        <v>1.5E-3</v>
      </c>
      <c r="AL33">
        <v>-1.5E-3</v>
      </c>
      <c r="AM33">
        <v>1.5E-3</v>
      </c>
      <c r="AN33">
        <v>-1.5E-3</v>
      </c>
      <c r="AO33" s="16">
        <v>2.5000000000000001E-2</v>
      </c>
      <c r="AP33" s="16">
        <v>-2.5000000000000001E-2</v>
      </c>
      <c r="AQ33">
        <v>1.4999999999999999E-2</v>
      </c>
      <c r="AR33">
        <v>-1.4999999999999999E-2</v>
      </c>
      <c r="AS33">
        <v>1E-3</v>
      </c>
      <c r="AT33">
        <v>-1E-3</v>
      </c>
      <c r="AU33">
        <v>1E-3</v>
      </c>
      <c r="AV33">
        <v>-1E-3</v>
      </c>
      <c r="AW33" s="16">
        <v>1.4999999999999999E-2</v>
      </c>
      <c r="AX33" s="16">
        <v>-1.4999999999999999E-2</v>
      </c>
      <c r="JR33">
        <v>12.849506578947368</v>
      </c>
    </row>
    <row r="34" spans="1:279" customFormat="1">
      <c r="A34" s="2">
        <v>29</v>
      </c>
      <c r="B34" s="2">
        <v>2.8881800000000002</v>
      </c>
      <c r="C34" s="2">
        <v>0.38962000000000002</v>
      </c>
      <c r="D34" s="2">
        <v>0.384714</v>
      </c>
      <c r="E34" s="2">
        <v>32.622914569999999</v>
      </c>
      <c r="F34" s="17" t="str">
        <f t="shared" si="0"/>
        <v/>
      </c>
      <c r="G34" s="9"/>
      <c r="H34" s="25">
        <v>1</v>
      </c>
      <c r="I34" s="5"/>
      <c r="J34" s="5"/>
      <c r="K34" s="5"/>
      <c r="L34" s="5"/>
      <c r="M34" s="5">
        <v>2</v>
      </c>
      <c r="N34" s="5"/>
      <c r="O34" s="5"/>
      <c r="P34" s="5"/>
      <c r="Q34" s="5"/>
      <c r="R34" s="5">
        <v>3</v>
      </c>
      <c r="S34" s="5"/>
      <c r="T34" s="5"/>
      <c r="U34" s="5"/>
      <c r="V34" s="5"/>
      <c r="W34" s="22">
        <f t="shared" si="1"/>
        <v>-2.8805200000000002</v>
      </c>
      <c r="X34" s="21">
        <f t="shared" si="2"/>
        <v>-0.34182200000000001</v>
      </c>
      <c r="Y34" s="21">
        <f t="shared" si="3"/>
        <v>-0.35528599999999999</v>
      </c>
      <c r="Z34" s="11">
        <f t="shared" si="4"/>
        <v>-1</v>
      </c>
      <c r="AA34" s="22">
        <f t="shared" si="5"/>
        <v>-2.8800400000000002</v>
      </c>
      <c r="AB34" s="21">
        <f t="shared" si="6"/>
        <v>-0.34086899999999998</v>
      </c>
      <c r="AC34" s="21">
        <f t="shared" si="7"/>
        <v>-0.35403600000000002</v>
      </c>
      <c r="AD34" s="11">
        <f t="shared" si="8"/>
        <v>-1</v>
      </c>
      <c r="AE34" s="22">
        <f t="shared" si="9"/>
        <v>-2.88232</v>
      </c>
      <c r="AF34" s="21">
        <f t="shared" si="10"/>
        <v>-0.34007399999999999</v>
      </c>
      <c r="AG34" s="21">
        <f t="shared" si="11"/>
        <v>-0.35493599999999997</v>
      </c>
      <c r="AH34" s="11">
        <f t="shared" si="12"/>
        <v>-1</v>
      </c>
      <c r="AI34">
        <v>2.5000000000000001E-2</v>
      </c>
      <c r="AJ34">
        <v>-2.5000000000000001E-2</v>
      </c>
      <c r="AK34">
        <v>1.5E-3</v>
      </c>
      <c r="AL34">
        <v>-1.5E-3</v>
      </c>
      <c r="AM34">
        <v>1.5E-3</v>
      </c>
      <c r="AN34">
        <v>-1.5E-3</v>
      </c>
      <c r="AO34" s="16">
        <v>2.5000000000000001E-2</v>
      </c>
      <c r="AP34" s="16">
        <v>-2.5000000000000001E-2</v>
      </c>
      <c r="AQ34">
        <v>1.4999999999999999E-2</v>
      </c>
      <c r="AR34">
        <v>-1.4999999999999999E-2</v>
      </c>
      <c r="AS34">
        <v>1E-3</v>
      </c>
      <c r="AT34">
        <v>-1E-3</v>
      </c>
      <c r="AU34">
        <v>1E-3</v>
      </c>
      <c r="AV34">
        <v>-1E-3</v>
      </c>
      <c r="AW34" s="16">
        <v>1.4999999999999999E-2</v>
      </c>
      <c r="AX34" s="16">
        <v>-1.4999999999999999E-2</v>
      </c>
      <c r="JR34">
        <v>12.849506578947368</v>
      </c>
      <c r="JS34">
        <v>12.849506578947368</v>
      </c>
    </row>
    <row r="35" spans="1:279" customFormat="1">
      <c r="A35" s="2">
        <v>30</v>
      </c>
      <c r="B35" s="2">
        <v>2.8717199999999998</v>
      </c>
      <c r="C35" s="2">
        <v>0.38894600000000001</v>
      </c>
      <c r="D35" s="2">
        <v>0.384932</v>
      </c>
      <c r="E35" s="2">
        <v>33.038090449999999</v>
      </c>
      <c r="F35" s="17" t="str">
        <f t="shared" si="0"/>
        <v/>
      </c>
      <c r="G35" s="9"/>
      <c r="H35" s="25">
        <v>1</v>
      </c>
      <c r="I35" s="5"/>
      <c r="J35" s="5"/>
      <c r="K35" s="5"/>
      <c r="L35" s="5"/>
      <c r="M35" s="5">
        <v>2</v>
      </c>
      <c r="N35" s="5"/>
      <c r="O35" s="5"/>
      <c r="P35" s="5"/>
      <c r="Q35" s="5"/>
      <c r="R35" s="5">
        <v>3</v>
      </c>
      <c r="S35" s="5"/>
      <c r="T35" s="5"/>
      <c r="U35" s="5"/>
      <c r="V35" s="5"/>
      <c r="W35" s="22">
        <f t="shared" si="1"/>
        <v>-2.8805200000000002</v>
      </c>
      <c r="X35" s="21">
        <f t="shared" si="2"/>
        <v>-0.34182200000000001</v>
      </c>
      <c r="Y35" s="21">
        <f t="shared" si="3"/>
        <v>-0.35528599999999999</v>
      </c>
      <c r="Z35" s="11">
        <f t="shared" si="4"/>
        <v>-1</v>
      </c>
      <c r="AA35" s="22">
        <f t="shared" si="5"/>
        <v>-2.8800400000000002</v>
      </c>
      <c r="AB35" s="21">
        <f t="shared" si="6"/>
        <v>-0.34086899999999998</v>
      </c>
      <c r="AC35" s="21">
        <f t="shared" si="7"/>
        <v>-0.35403600000000002</v>
      </c>
      <c r="AD35" s="11">
        <f t="shared" si="8"/>
        <v>-1</v>
      </c>
      <c r="AE35" s="22">
        <f t="shared" si="9"/>
        <v>-2.88232</v>
      </c>
      <c r="AF35" s="21">
        <f t="shared" si="10"/>
        <v>-0.34007399999999999</v>
      </c>
      <c r="AG35" s="21">
        <f t="shared" si="11"/>
        <v>-0.35493599999999997</v>
      </c>
      <c r="AH35" s="11">
        <f t="shared" si="12"/>
        <v>-1</v>
      </c>
      <c r="AI35">
        <v>2.5000000000000001E-2</v>
      </c>
      <c r="AJ35">
        <v>-2.5000000000000001E-2</v>
      </c>
      <c r="AK35">
        <v>1.5E-3</v>
      </c>
      <c r="AL35">
        <v>-1.5E-3</v>
      </c>
      <c r="AM35">
        <v>1.5E-3</v>
      </c>
      <c r="AN35">
        <v>-1.5E-3</v>
      </c>
      <c r="AO35" s="16">
        <v>2.5000000000000001E-2</v>
      </c>
      <c r="AP35" s="16">
        <v>-2.5000000000000001E-2</v>
      </c>
      <c r="AQ35">
        <v>1.4999999999999999E-2</v>
      </c>
      <c r="AR35">
        <v>-1.4999999999999999E-2</v>
      </c>
      <c r="AS35">
        <v>1E-3</v>
      </c>
      <c r="AT35">
        <v>-1E-3</v>
      </c>
      <c r="AU35">
        <v>1E-3</v>
      </c>
      <c r="AV35">
        <v>-1E-3</v>
      </c>
      <c r="AW35" s="16">
        <v>1.4999999999999999E-2</v>
      </c>
      <c r="AX35" s="16">
        <v>-1.4999999999999999E-2</v>
      </c>
    </row>
    <row r="36" spans="1:279" customFormat="1">
      <c r="F36" s="17" t="str">
        <f t="shared" si="0"/>
        <v/>
      </c>
      <c r="G36" s="9"/>
      <c r="H36" s="25">
        <v>1</v>
      </c>
      <c r="I36" s="5"/>
      <c r="J36" s="5"/>
      <c r="K36" s="5"/>
      <c r="L36" s="5"/>
      <c r="M36" s="5">
        <v>2</v>
      </c>
      <c r="N36" s="5"/>
      <c r="O36" s="5"/>
      <c r="P36" s="5"/>
      <c r="Q36" s="5"/>
      <c r="R36" s="5">
        <v>3</v>
      </c>
      <c r="S36" s="5"/>
      <c r="T36" s="5"/>
      <c r="U36" s="5"/>
      <c r="V36" s="5"/>
      <c r="W36" s="22">
        <f t="shared" si="1"/>
        <v>-2.8805200000000002</v>
      </c>
      <c r="X36" s="21">
        <f t="shared" si="2"/>
        <v>-0.34182200000000001</v>
      </c>
      <c r="Y36" s="21">
        <f t="shared" si="3"/>
        <v>-0.35528599999999999</v>
      </c>
      <c r="Z36" s="11">
        <f t="shared" si="4"/>
        <v>-1</v>
      </c>
      <c r="AA36" s="22">
        <f t="shared" si="5"/>
        <v>-2.8800400000000002</v>
      </c>
      <c r="AB36" s="21">
        <f t="shared" si="6"/>
        <v>-0.34086899999999998</v>
      </c>
      <c r="AC36" s="21">
        <f t="shared" si="7"/>
        <v>-0.35403600000000002</v>
      </c>
      <c r="AD36" s="11">
        <f t="shared" si="8"/>
        <v>-1</v>
      </c>
      <c r="AE36" s="22">
        <f t="shared" si="9"/>
        <v>-2.88232</v>
      </c>
      <c r="AF36" s="21">
        <f t="shared" si="10"/>
        <v>-0.34007399999999999</v>
      </c>
      <c r="AG36" s="21">
        <f t="shared" si="11"/>
        <v>-0.35493599999999997</v>
      </c>
      <c r="AH36" s="11">
        <f t="shared" si="12"/>
        <v>-1</v>
      </c>
      <c r="AI36">
        <v>2.5000000000000001E-2</v>
      </c>
      <c r="AJ36">
        <v>-2.5000000000000001E-2</v>
      </c>
      <c r="AK36">
        <v>1.5E-3</v>
      </c>
      <c r="AL36">
        <v>-1.5E-3</v>
      </c>
      <c r="AM36">
        <v>1.5E-3</v>
      </c>
      <c r="AN36">
        <v>-1.5E-3</v>
      </c>
      <c r="AO36" s="16">
        <v>2.5000000000000001E-2</v>
      </c>
      <c r="AP36" s="16">
        <v>-2.5000000000000001E-2</v>
      </c>
      <c r="AQ36">
        <v>1.4999999999999999E-2</v>
      </c>
      <c r="AR36">
        <v>-1.4999999999999999E-2</v>
      </c>
      <c r="AS36">
        <v>1E-3</v>
      </c>
      <c r="AT36">
        <v>-1E-3</v>
      </c>
      <c r="AU36">
        <v>1E-3</v>
      </c>
      <c r="AV36">
        <v>-1E-3</v>
      </c>
      <c r="AW36" s="16">
        <v>1.4999999999999999E-2</v>
      </c>
      <c r="AX36" s="16">
        <v>-1.4999999999999999E-2</v>
      </c>
    </row>
    <row r="37" spans="1:279" customFormat="1">
      <c r="F37" s="17" t="str">
        <f t="shared" si="0"/>
        <v/>
      </c>
      <c r="G37" s="9"/>
      <c r="H37" s="25">
        <v>1</v>
      </c>
      <c r="I37" s="5"/>
      <c r="J37" s="5"/>
      <c r="K37" s="5"/>
      <c r="L37" s="5"/>
      <c r="M37" s="5">
        <v>2</v>
      </c>
      <c r="N37" s="5"/>
      <c r="O37" s="5"/>
      <c r="P37" s="5"/>
      <c r="Q37" s="5"/>
      <c r="R37" s="5">
        <v>3</v>
      </c>
      <c r="S37" s="5"/>
      <c r="T37" s="5"/>
      <c r="U37" s="5"/>
      <c r="V37" s="5"/>
      <c r="W37" s="22">
        <f t="shared" si="1"/>
        <v>-2.8805200000000002</v>
      </c>
      <c r="X37" s="21">
        <f t="shared" si="2"/>
        <v>-0.34182200000000001</v>
      </c>
      <c r="Y37" s="21">
        <f t="shared" si="3"/>
        <v>-0.35528599999999999</v>
      </c>
      <c r="Z37" s="11">
        <f t="shared" si="4"/>
        <v>-1</v>
      </c>
      <c r="AA37" s="22">
        <f t="shared" si="5"/>
        <v>-2.8800400000000002</v>
      </c>
      <c r="AB37" s="21">
        <f t="shared" si="6"/>
        <v>-0.34086899999999998</v>
      </c>
      <c r="AC37" s="21">
        <f t="shared" si="7"/>
        <v>-0.35403600000000002</v>
      </c>
      <c r="AD37" s="11">
        <f t="shared" si="8"/>
        <v>-1</v>
      </c>
      <c r="AE37" s="22">
        <f t="shared" si="9"/>
        <v>-2.88232</v>
      </c>
      <c r="AF37" s="21">
        <f t="shared" si="10"/>
        <v>-0.34007399999999999</v>
      </c>
      <c r="AG37" s="21">
        <f t="shared" si="11"/>
        <v>-0.35493599999999997</v>
      </c>
      <c r="AH37" s="11">
        <f t="shared" si="12"/>
        <v>-1</v>
      </c>
      <c r="AI37">
        <v>2.5000000000000001E-2</v>
      </c>
      <c r="AJ37">
        <v>-2.5000000000000001E-2</v>
      </c>
      <c r="AK37">
        <v>1.5E-3</v>
      </c>
      <c r="AL37">
        <v>-1.5E-3</v>
      </c>
      <c r="AM37">
        <v>1.5E-3</v>
      </c>
      <c r="AN37">
        <v>-1.5E-3</v>
      </c>
      <c r="AO37" s="16">
        <v>2.5000000000000001E-2</v>
      </c>
      <c r="AP37" s="16">
        <v>-2.5000000000000001E-2</v>
      </c>
      <c r="AQ37">
        <v>1.4999999999999999E-2</v>
      </c>
      <c r="AR37">
        <v>-1.4999999999999999E-2</v>
      </c>
      <c r="AS37">
        <v>1E-3</v>
      </c>
      <c r="AT37">
        <v>-1E-3</v>
      </c>
      <c r="AU37">
        <v>1E-3</v>
      </c>
      <c r="AV37">
        <v>-1E-3</v>
      </c>
      <c r="AW37" s="16">
        <v>1.4999999999999999E-2</v>
      </c>
      <c r="AX37" s="16">
        <v>-1.4999999999999999E-2</v>
      </c>
    </row>
    <row r="38" spans="1:279" customFormat="1">
      <c r="F38" s="17" t="str">
        <f t="shared" si="0"/>
        <v/>
      </c>
      <c r="G38" s="9"/>
      <c r="H38" s="25">
        <v>1</v>
      </c>
      <c r="I38" s="5"/>
      <c r="J38" s="5"/>
      <c r="K38" s="5"/>
      <c r="L38" s="5"/>
      <c r="M38" s="5">
        <v>2</v>
      </c>
      <c r="N38" s="5"/>
      <c r="O38" s="5"/>
      <c r="P38" s="5"/>
      <c r="Q38" s="5"/>
      <c r="R38" s="5">
        <v>3</v>
      </c>
      <c r="S38" s="5"/>
      <c r="T38" s="5"/>
      <c r="U38" s="5"/>
      <c r="V38" s="5"/>
      <c r="W38" s="22">
        <f t="shared" si="1"/>
        <v>-2.8805200000000002</v>
      </c>
      <c r="X38" s="21">
        <f t="shared" si="2"/>
        <v>-0.34182200000000001</v>
      </c>
      <c r="Y38" s="21">
        <f t="shared" si="3"/>
        <v>-0.35528599999999999</v>
      </c>
      <c r="Z38" s="11">
        <f t="shared" si="4"/>
        <v>-1</v>
      </c>
      <c r="AA38" s="22">
        <f t="shared" si="5"/>
        <v>-2.8800400000000002</v>
      </c>
      <c r="AB38" s="21">
        <f t="shared" si="6"/>
        <v>-0.34086899999999998</v>
      </c>
      <c r="AC38" s="21">
        <f t="shared" si="7"/>
        <v>-0.35403600000000002</v>
      </c>
      <c r="AD38" s="11">
        <f t="shared" si="8"/>
        <v>-1</v>
      </c>
      <c r="AE38" s="22">
        <f t="shared" si="9"/>
        <v>-2.88232</v>
      </c>
      <c r="AF38" s="21">
        <f t="shared" si="10"/>
        <v>-0.34007399999999999</v>
      </c>
      <c r="AG38" s="21">
        <f t="shared" si="11"/>
        <v>-0.35493599999999997</v>
      </c>
      <c r="AH38" s="11">
        <f t="shared" si="12"/>
        <v>-1</v>
      </c>
      <c r="AI38">
        <v>2.5000000000000001E-2</v>
      </c>
      <c r="AJ38">
        <v>-2.5000000000000001E-2</v>
      </c>
      <c r="AK38">
        <v>1.5E-3</v>
      </c>
      <c r="AL38">
        <v>-1.5E-3</v>
      </c>
      <c r="AM38">
        <v>1.5E-3</v>
      </c>
      <c r="AN38">
        <v>-1.5E-3</v>
      </c>
      <c r="AO38" s="16">
        <v>2.5000000000000001E-2</v>
      </c>
      <c r="AP38" s="16">
        <v>-2.5000000000000001E-2</v>
      </c>
      <c r="AQ38">
        <v>1.4999999999999999E-2</v>
      </c>
      <c r="AR38">
        <v>-1.4999999999999999E-2</v>
      </c>
      <c r="AS38">
        <v>1E-3</v>
      </c>
      <c r="AT38">
        <v>-1E-3</v>
      </c>
      <c r="AU38">
        <v>1E-3</v>
      </c>
      <c r="AV38">
        <v>-1E-3</v>
      </c>
      <c r="AW38" s="16">
        <v>1.4999999999999999E-2</v>
      </c>
      <c r="AX38" s="16">
        <v>-1.4999999999999999E-2</v>
      </c>
    </row>
    <row r="39" spans="1:279" customFormat="1">
      <c r="F39" s="17" t="str">
        <f t="shared" si="0"/>
        <v/>
      </c>
      <c r="G39" s="9"/>
      <c r="H39" s="25">
        <v>1</v>
      </c>
      <c r="I39" s="5"/>
      <c r="J39" s="5"/>
      <c r="K39" s="5"/>
      <c r="L39" s="5"/>
      <c r="M39" s="5">
        <v>2</v>
      </c>
      <c r="N39" s="5"/>
      <c r="O39" s="5"/>
      <c r="P39" s="5"/>
      <c r="Q39" s="5"/>
      <c r="R39" s="5">
        <v>3</v>
      </c>
      <c r="S39" s="5"/>
      <c r="T39" s="5"/>
      <c r="U39" s="5"/>
      <c r="V39" s="5"/>
      <c r="W39" s="22">
        <f t="shared" si="1"/>
        <v>-2.8805200000000002</v>
      </c>
      <c r="X39" s="21">
        <f t="shared" si="2"/>
        <v>-0.34182200000000001</v>
      </c>
      <c r="Y39" s="21">
        <f t="shared" si="3"/>
        <v>-0.35528599999999999</v>
      </c>
      <c r="Z39" s="11">
        <f t="shared" si="4"/>
        <v>-1</v>
      </c>
      <c r="AA39" s="22">
        <f t="shared" si="5"/>
        <v>-2.8800400000000002</v>
      </c>
      <c r="AB39" s="21">
        <f t="shared" si="6"/>
        <v>-0.34086899999999998</v>
      </c>
      <c r="AC39" s="21">
        <f t="shared" si="7"/>
        <v>-0.35403600000000002</v>
      </c>
      <c r="AD39" s="11">
        <f t="shared" si="8"/>
        <v>-1</v>
      </c>
      <c r="AE39" s="22">
        <f t="shared" si="9"/>
        <v>-2.88232</v>
      </c>
      <c r="AF39" s="21">
        <f t="shared" si="10"/>
        <v>-0.34007399999999999</v>
      </c>
      <c r="AG39" s="21">
        <f t="shared" si="11"/>
        <v>-0.35493599999999997</v>
      </c>
      <c r="AH39" s="11">
        <f t="shared" si="12"/>
        <v>-1</v>
      </c>
      <c r="AI39">
        <v>2.5000000000000001E-2</v>
      </c>
      <c r="AJ39">
        <v>-2.5000000000000001E-2</v>
      </c>
      <c r="AK39">
        <v>1.5E-3</v>
      </c>
      <c r="AL39">
        <v>-1.5E-3</v>
      </c>
      <c r="AM39">
        <v>1.5E-3</v>
      </c>
      <c r="AN39">
        <v>-1.5E-3</v>
      </c>
      <c r="AO39" s="16">
        <v>2.5000000000000001E-2</v>
      </c>
      <c r="AP39" s="16">
        <v>-2.5000000000000001E-2</v>
      </c>
      <c r="AQ39">
        <v>1.4999999999999999E-2</v>
      </c>
      <c r="AR39">
        <v>-1.4999999999999999E-2</v>
      </c>
      <c r="AS39">
        <v>1E-3</v>
      </c>
      <c r="AT39">
        <v>-1E-3</v>
      </c>
      <c r="AU39">
        <v>1E-3</v>
      </c>
      <c r="AV39">
        <v>-1E-3</v>
      </c>
      <c r="AW39" s="16">
        <v>1.4999999999999999E-2</v>
      </c>
      <c r="AX39" s="16">
        <v>-1.4999999999999999E-2</v>
      </c>
    </row>
    <row r="40" spans="1:279" customFormat="1">
      <c r="F40" s="17" t="str">
        <f t="shared" si="0"/>
        <v/>
      </c>
      <c r="G40" s="9"/>
      <c r="H40" s="25">
        <v>1</v>
      </c>
      <c r="I40" s="5"/>
      <c r="J40" s="5"/>
      <c r="K40" s="5"/>
      <c r="L40" s="5"/>
      <c r="M40" s="5">
        <v>2</v>
      </c>
      <c r="N40" s="5"/>
      <c r="O40" s="5"/>
      <c r="P40" s="5"/>
      <c r="Q40" s="5"/>
      <c r="R40" s="5">
        <v>3</v>
      </c>
      <c r="S40" s="5"/>
      <c r="T40" s="5"/>
      <c r="U40" s="5"/>
      <c r="V40" s="5"/>
      <c r="W40" s="22">
        <f t="shared" si="1"/>
        <v>-2.8805200000000002</v>
      </c>
      <c r="X40" s="21">
        <f t="shared" si="2"/>
        <v>-0.34182200000000001</v>
      </c>
      <c r="Y40" s="21">
        <f t="shared" si="3"/>
        <v>-0.35528599999999999</v>
      </c>
      <c r="Z40" s="11">
        <f t="shared" si="4"/>
        <v>-1</v>
      </c>
      <c r="AA40" s="22">
        <f t="shared" si="5"/>
        <v>-2.8800400000000002</v>
      </c>
      <c r="AB40" s="21">
        <f t="shared" si="6"/>
        <v>-0.34086899999999998</v>
      </c>
      <c r="AC40" s="21">
        <f t="shared" si="7"/>
        <v>-0.35403600000000002</v>
      </c>
      <c r="AD40" s="11">
        <f t="shared" si="8"/>
        <v>-1</v>
      </c>
      <c r="AE40" s="22">
        <f t="shared" si="9"/>
        <v>-2.88232</v>
      </c>
      <c r="AF40" s="21">
        <f t="shared" si="10"/>
        <v>-0.34007399999999999</v>
      </c>
      <c r="AG40" s="21">
        <f t="shared" si="11"/>
        <v>-0.35493599999999997</v>
      </c>
      <c r="AH40" s="11">
        <f t="shared" si="12"/>
        <v>-1</v>
      </c>
      <c r="AI40">
        <v>2.5000000000000001E-2</v>
      </c>
      <c r="AJ40">
        <v>-2.5000000000000001E-2</v>
      </c>
      <c r="AK40">
        <v>1.5E-3</v>
      </c>
      <c r="AL40">
        <v>-1.5E-3</v>
      </c>
      <c r="AM40">
        <v>1.5E-3</v>
      </c>
      <c r="AN40">
        <v>-1.5E-3</v>
      </c>
      <c r="AO40" s="16">
        <v>2.5000000000000001E-2</v>
      </c>
      <c r="AP40" s="16">
        <v>-2.5000000000000001E-2</v>
      </c>
      <c r="AQ40">
        <v>1.4999999999999999E-2</v>
      </c>
      <c r="AR40">
        <v>-1.4999999999999999E-2</v>
      </c>
      <c r="AS40">
        <v>1E-3</v>
      </c>
      <c r="AT40">
        <v>-1E-3</v>
      </c>
      <c r="AU40">
        <v>1E-3</v>
      </c>
      <c r="AV40">
        <v>-1E-3</v>
      </c>
      <c r="AW40" s="16">
        <v>1.4999999999999999E-2</v>
      </c>
      <c r="AX40" s="16">
        <v>-1.4999999999999999E-2</v>
      </c>
    </row>
    <row r="41" spans="1:279" customFormat="1">
      <c r="F41" s="17" t="str">
        <f t="shared" si="0"/>
        <v/>
      </c>
      <c r="G41" s="9"/>
      <c r="H41" s="25">
        <v>1</v>
      </c>
      <c r="I41" s="5"/>
      <c r="J41" s="5"/>
      <c r="K41" s="5"/>
      <c r="L41" s="5"/>
      <c r="M41" s="5">
        <v>2</v>
      </c>
      <c r="N41" s="5"/>
      <c r="O41" s="5"/>
      <c r="P41" s="5"/>
      <c r="Q41" s="5"/>
      <c r="R41" s="5">
        <v>3</v>
      </c>
      <c r="S41" s="5"/>
      <c r="T41" s="5"/>
      <c r="U41" s="5"/>
      <c r="V41" s="5"/>
      <c r="W41" s="22">
        <f t="shared" si="1"/>
        <v>-2.8805200000000002</v>
      </c>
      <c r="X41" s="21">
        <f t="shared" si="2"/>
        <v>-0.34182200000000001</v>
      </c>
      <c r="Y41" s="21">
        <f t="shared" si="3"/>
        <v>-0.35528599999999999</v>
      </c>
      <c r="Z41" s="11">
        <f t="shared" si="4"/>
        <v>-1</v>
      </c>
      <c r="AA41" s="22">
        <f t="shared" si="5"/>
        <v>-2.8800400000000002</v>
      </c>
      <c r="AB41" s="21">
        <f t="shared" si="6"/>
        <v>-0.34086899999999998</v>
      </c>
      <c r="AC41" s="21">
        <f t="shared" si="7"/>
        <v>-0.35403600000000002</v>
      </c>
      <c r="AD41" s="11">
        <f t="shared" si="8"/>
        <v>-1</v>
      </c>
      <c r="AE41" s="22">
        <f t="shared" si="9"/>
        <v>-2.88232</v>
      </c>
      <c r="AF41" s="21">
        <f t="shared" si="10"/>
        <v>-0.34007399999999999</v>
      </c>
      <c r="AG41" s="21">
        <f t="shared" si="11"/>
        <v>-0.35493599999999997</v>
      </c>
      <c r="AH41" s="11">
        <f t="shared" si="12"/>
        <v>-1</v>
      </c>
      <c r="AI41">
        <v>2.5000000000000001E-2</v>
      </c>
      <c r="AJ41">
        <v>-2.5000000000000001E-2</v>
      </c>
      <c r="AK41">
        <v>1.5E-3</v>
      </c>
      <c r="AL41">
        <v>-1.5E-3</v>
      </c>
      <c r="AM41">
        <v>1.5E-3</v>
      </c>
      <c r="AN41">
        <v>-1.5E-3</v>
      </c>
      <c r="AO41" s="16">
        <v>2.5000000000000001E-2</v>
      </c>
      <c r="AP41" s="16">
        <v>-2.5000000000000001E-2</v>
      </c>
      <c r="AQ41">
        <v>1.4999999999999999E-2</v>
      </c>
      <c r="AR41">
        <v>-1.4999999999999999E-2</v>
      </c>
      <c r="AS41">
        <v>1E-3</v>
      </c>
      <c r="AT41">
        <v>-1E-3</v>
      </c>
      <c r="AU41">
        <v>1E-3</v>
      </c>
      <c r="AV41">
        <v>-1E-3</v>
      </c>
      <c r="AW41" s="16">
        <v>1.4999999999999999E-2</v>
      </c>
      <c r="AX41" s="16">
        <v>-1.4999999999999999E-2</v>
      </c>
    </row>
    <row r="42" spans="1:279" customFormat="1">
      <c r="F42" s="17" t="str">
        <f t="shared" si="0"/>
        <v/>
      </c>
      <c r="G42" s="9"/>
      <c r="H42" s="25">
        <v>1</v>
      </c>
      <c r="I42" s="5"/>
      <c r="J42" s="5"/>
      <c r="K42" s="5"/>
      <c r="L42" s="5"/>
      <c r="M42" s="5">
        <v>2</v>
      </c>
      <c r="N42" s="5"/>
      <c r="O42" s="5"/>
      <c r="P42" s="5"/>
      <c r="Q42" s="5"/>
      <c r="R42" s="5">
        <v>3</v>
      </c>
      <c r="S42" s="5"/>
      <c r="T42" s="5"/>
      <c r="U42" s="5"/>
      <c r="V42" s="5"/>
      <c r="W42" s="22">
        <f t="shared" si="1"/>
        <v>-2.8805200000000002</v>
      </c>
      <c r="X42" s="21">
        <f t="shared" si="2"/>
        <v>-0.34182200000000001</v>
      </c>
      <c r="Y42" s="21">
        <f t="shared" si="3"/>
        <v>-0.35528599999999999</v>
      </c>
      <c r="Z42" s="11">
        <f t="shared" si="4"/>
        <v>-1</v>
      </c>
      <c r="AA42" s="22">
        <f t="shared" si="5"/>
        <v>-2.8800400000000002</v>
      </c>
      <c r="AB42" s="21">
        <f t="shared" si="6"/>
        <v>-0.34086899999999998</v>
      </c>
      <c r="AC42" s="21">
        <f t="shared" si="7"/>
        <v>-0.35403600000000002</v>
      </c>
      <c r="AD42" s="11">
        <f t="shared" si="8"/>
        <v>-1</v>
      </c>
      <c r="AE42" s="22">
        <f t="shared" si="9"/>
        <v>-2.88232</v>
      </c>
      <c r="AF42" s="21">
        <f t="shared" si="10"/>
        <v>-0.34007399999999999</v>
      </c>
      <c r="AG42" s="21">
        <f t="shared" si="11"/>
        <v>-0.35493599999999997</v>
      </c>
      <c r="AH42" s="11">
        <f t="shared" si="12"/>
        <v>-1</v>
      </c>
      <c r="AI42">
        <v>2.5000000000000001E-2</v>
      </c>
      <c r="AJ42">
        <v>-2.5000000000000001E-2</v>
      </c>
      <c r="AK42">
        <v>1.5E-3</v>
      </c>
      <c r="AL42">
        <v>-1.5E-3</v>
      </c>
      <c r="AM42">
        <v>1.5E-3</v>
      </c>
      <c r="AN42">
        <v>-1.5E-3</v>
      </c>
      <c r="AO42" s="16">
        <v>2.5000000000000001E-2</v>
      </c>
      <c r="AP42" s="16">
        <v>-2.5000000000000001E-2</v>
      </c>
      <c r="AQ42">
        <v>1.4999999999999999E-2</v>
      </c>
      <c r="AR42">
        <v>-1.4999999999999999E-2</v>
      </c>
      <c r="AS42">
        <v>1E-3</v>
      </c>
      <c r="AT42">
        <v>-1E-3</v>
      </c>
      <c r="AU42">
        <v>1E-3</v>
      </c>
      <c r="AV42">
        <v>-1E-3</v>
      </c>
      <c r="AW42" s="16">
        <v>1.4999999999999999E-2</v>
      </c>
      <c r="AX42" s="16">
        <v>-1.4999999999999999E-2</v>
      </c>
    </row>
    <row r="43" spans="1:279" customFormat="1">
      <c r="F43" s="17" t="str">
        <f t="shared" si="0"/>
        <v/>
      </c>
      <c r="G43" s="9"/>
      <c r="H43" s="25">
        <v>1</v>
      </c>
      <c r="I43" s="5"/>
      <c r="J43" s="5"/>
      <c r="K43" s="5"/>
      <c r="L43" s="5"/>
      <c r="M43" s="5">
        <v>2</v>
      </c>
      <c r="N43" s="5"/>
      <c r="O43" s="5"/>
      <c r="P43" s="5"/>
      <c r="Q43" s="5"/>
      <c r="R43" s="5">
        <v>3</v>
      </c>
      <c r="S43" s="5"/>
      <c r="T43" s="5"/>
      <c r="U43" s="5"/>
      <c r="V43" s="5"/>
      <c r="W43" s="22">
        <f t="shared" si="1"/>
        <v>-2.8805200000000002</v>
      </c>
      <c r="X43" s="21">
        <f t="shared" si="2"/>
        <v>-0.34182200000000001</v>
      </c>
      <c r="Y43" s="21">
        <f t="shared" si="3"/>
        <v>-0.35528599999999999</v>
      </c>
      <c r="Z43" s="11">
        <f t="shared" si="4"/>
        <v>-1</v>
      </c>
      <c r="AA43" s="22">
        <f t="shared" si="5"/>
        <v>-2.8800400000000002</v>
      </c>
      <c r="AB43" s="21">
        <f t="shared" si="6"/>
        <v>-0.34086899999999998</v>
      </c>
      <c r="AC43" s="21">
        <f t="shared" si="7"/>
        <v>-0.35403600000000002</v>
      </c>
      <c r="AD43" s="11">
        <f t="shared" si="8"/>
        <v>-1</v>
      </c>
      <c r="AE43" s="22">
        <f t="shared" si="9"/>
        <v>-2.88232</v>
      </c>
      <c r="AF43" s="21">
        <f t="shared" si="10"/>
        <v>-0.34007399999999999</v>
      </c>
      <c r="AG43" s="21">
        <f t="shared" si="11"/>
        <v>-0.35493599999999997</v>
      </c>
      <c r="AH43" s="11">
        <f t="shared" si="12"/>
        <v>-1</v>
      </c>
      <c r="AI43">
        <v>2.5000000000000001E-2</v>
      </c>
      <c r="AJ43">
        <v>-2.5000000000000001E-2</v>
      </c>
      <c r="AK43">
        <v>1.5E-3</v>
      </c>
      <c r="AL43">
        <v>-1.5E-3</v>
      </c>
      <c r="AM43">
        <v>1.5E-3</v>
      </c>
      <c r="AN43">
        <v>-1.5E-3</v>
      </c>
      <c r="AO43" s="16">
        <v>2.5000000000000001E-2</v>
      </c>
      <c r="AP43" s="16">
        <v>-2.5000000000000001E-2</v>
      </c>
      <c r="AQ43">
        <v>1.4999999999999999E-2</v>
      </c>
      <c r="AR43">
        <v>-1.4999999999999999E-2</v>
      </c>
      <c r="AS43">
        <v>1E-3</v>
      </c>
      <c r="AT43">
        <v>-1E-3</v>
      </c>
      <c r="AU43">
        <v>1E-3</v>
      </c>
      <c r="AV43">
        <v>-1E-3</v>
      </c>
      <c r="AW43" s="16">
        <v>1.4999999999999999E-2</v>
      </c>
      <c r="AX43" s="16">
        <v>-1.4999999999999999E-2</v>
      </c>
    </row>
    <row r="44" spans="1:279" customFormat="1">
      <c r="F44" s="17" t="str">
        <f t="shared" si="0"/>
        <v/>
      </c>
      <c r="G44" s="9"/>
      <c r="H44" s="25">
        <v>1</v>
      </c>
      <c r="I44" s="5"/>
      <c r="J44" s="5"/>
      <c r="K44" s="5"/>
      <c r="L44" s="5"/>
      <c r="M44" s="5">
        <v>2</v>
      </c>
      <c r="N44" s="5"/>
      <c r="O44" s="5"/>
      <c r="P44" s="5"/>
      <c r="Q44" s="5"/>
      <c r="R44" s="5">
        <v>3</v>
      </c>
      <c r="S44" s="5"/>
      <c r="T44" s="5"/>
      <c r="U44" s="5"/>
      <c r="V44" s="5"/>
      <c r="W44" s="22">
        <f t="shared" si="1"/>
        <v>-2.8805200000000002</v>
      </c>
      <c r="X44" s="21">
        <f t="shared" si="2"/>
        <v>-0.34182200000000001</v>
      </c>
      <c r="Y44" s="21">
        <f t="shared" si="3"/>
        <v>-0.35528599999999999</v>
      </c>
      <c r="Z44" s="11">
        <f t="shared" si="4"/>
        <v>-1</v>
      </c>
      <c r="AA44" s="22">
        <f t="shared" si="5"/>
        <v>-2.8800400000000002</v>
      </c>
      <c r="AB44" s="21">
        <f t="shared" si="6"/>
        <v>-0.34086899999999998</v>
      </c>
      <c r="AC44" s="21">
        <f t="shared" si="7"/>
        <v>-0.35403600000000002</v>
      </c>
      <c r="AD44" s="11">
        <f t="shared" si="8"/>
        <v>-1</v>
      </c>
      <c r="AE44" s="22">
        <f t="shared" si="9"/>
        <v>-2.88232</v>
      </c>
      <c r="AF44" s="21">
        <f t="shared" si="10"/>
        <v>-0.34007399999999999</v>
      </c>
      <c r="AG44" s="21">
        <f t="shared" si="11"/>
        <v>-0.35493599999999997</v>
      </c>
      <c r="AH44" s="11">
        <f t="shared" si="12"/>
        <v>-1</v>
      </c>
      <c r="AI44">
        <v>2.5000000000000001E-2</v>
      </c>
      <c r="AJ44">
        <v>-2.5000000000000001E-2</v>
      </c>
      <c r="AK44">
        <v>1.5E-3</v>
      </c>
      <c r="AL44">
        <v>-1.5E-3</v>
      </c>
      <c r="AM44">
        <v>1.5E-3</v>
      </c>
      <c r="AN44">
        <v>-1.5E-3</v>
      </c>
      <c r="AO44" s="16">
        <v>2.5000000000000001E-2</v>
      </c>
      <c r="AP44" s="16">
        <v>-2.5000000000000001E-2</v>
      </c>
      <c r="AQ44">
        <v>1.4999999999999999E-2</v>
      </c>
      <c r="AR44">
        <v>-1.4999999999999999E-2</v>
      </c>
      <c r="AS44">
        <v>1E-3</v>
      </c>
      <c r="AT44">
        <v>-1E-3</v>
      </c>
      <c r="AU44">
        <v>1E-3</v>
      </c>
      <c r="AV44">
        <v>-1E-3</v>
      </c>
      <c r="AW44" s="16">
        <v>1.4999999999999999E-2</v>
      </c>
      <c r="AX44" s="16">
        <v>-1.4999999999999999E-2</v>
      </c>
    </row>
    <row r="45" spans="1:279" customFormat="1">
      <c r="F45" s="17" t="str">
        <f t="shared" si="0"/>
        <v/>
      </c>
      <c r="G45" s="9"/>
      <c r="H45" s="25">
        <v>1</v>
      </c>
      <c r="I45" s="5"/>
      <c r="J45" s="5"/>
      <c r="K45" s="5"/>
      <c r="L45" s="5"/>
      <c r="M45" s="5">
        <v>2</v>
      </c>
      <c r="N45" s="5"/>
      <c r="O45" s="5"/>
      <c r="P45" s="5"/>
      <c r="Q45" s="5"/>
      <c r="R45" s="5">
        <v>3</v>
      </c>
      <c r="S45" s="5"/>
      <c r="T45" s="5"/>
      <c r="U45" s="5"/>
      <c r="V45" s="5"/>
      <c r="W45" s="22">
        <f t="shared" si="1"/>
        <v>-2.8805200000000002</v>
      </c>
      <c r="X45" s="21">
        <f t="shared" si="2"/>
        <v>-0.34182200000000001</v>
      </c>
      <c r="Y45" s="21">
        <f t="shared" si="3"/>
        <v>-0.35528599999999999</v>
      </c>
      <c r="Z45" s="11">
        <f t="shared" si="4"/>
        <v>-1</v>
      </c>
      <c r="AA45" s="22">
        <f t="shared" si="5"/>
        <v>-2.8800400000000002</v>
      </c>
      <c r="AB45" s="21">
        <f t="shared" si="6"/>
        <v>-0.34086899999999998</v>
      </c>
      <c r="AC45" s="21">
        <f t="shared" si="7"/>
        <v>-0.35403600000000002</v>
      </c>
      <c r="AD45" s="11">
        <f t="shared" si="8"/>
        <v>-1</v>
      </c>
      <c r="AE45" s="22">
        <f t="shared" si="9"/>
        <v>-2.88232</v>
      </c>
      <c r="AF45" s="21">
        <f t="shared" si="10"/>
        <v>-0.34007399999999999</v>
      </c>
      <c r="AG45" s="21">
        <f t="shared" si="11"/>
        <v>-0.35493599999999997</v>
      </c>
      <c r="AH45" s="11">
        <f t="shared" si="12"/>
        <v>-1</v>
      </c>
      <c r="AI45">
        <v>2.5000000000000001E-2</v>
      </c>
      <c r="AJ45">
        <v>-2.5000000000000001E-2</v>
      </c>
      <c r="AK45">
        <v>1.5E-3</v>
      </c>
      <c r="AL45">
        <v>-1.5E-3</v>
      </c>
      <c r="AM45">
        <v>1.5E-3</v>
      </c>
      <c r="AN45">
        <v>-1.5E-3</v>
      </c>
      <c r="AO45" s="16">
        <v>2.5000000000000001E-2</v>
      </c>
      <c r="AP45" s="16">
        <v>-2.5000000000000001E-2</v>
      </c>
      <c r="AQ45">
        <v>1.4999999999999999E-2</v>
      </c>
      <c r="AR45">
        <v>-1.4999999999999999E-2</v>
      </c>
      <c r="AS45">
        <v>1E-3</v>
      </c>
      <c r="AT45">
        <v>-1E-3</v>
      </c>
      <c r="AU45">
        <v>1E-3</v>
      </c>
      <c r="AV45">
        <v>-1E-3</v>
      </c>
      <c r="AW45" s="16">
        <v>1.4999999999999999E-2</v>
      </c>
      <c r="AX45" s="16">
        <v>-1.4999999999999999E-2</v>
      </c>
    </row>
    <row r="46" spans="1:279" customFormat="1">
      <c r="F46" s="17" t="str">
        <f t="shared" si="0"/>
        <v/>
      </c>
      <c r="G46" s="9"/>
      <c r="H46" s="25">
        <v>1</v>
      </c>
      <c r="I46" s="5"/>
      <c r="J46" s="5"/>
      <c r="K46" s="5"/>
      <c r="L46" s="5"/>
      <c r="M46" s="5">
        <v>2</v>
      </c>
      <c r="N46" s="5"/>
      <c r="O46" s="5"/>
      <c r="P46" s="5"/>
      <c r="Q46" s="5"/>
      <c r="R46" s="5">
        <v>3</v>
      </c>
      <c r="S46" s="5"/>
      <c r="T46" s="5"/>
      <c r="U46" s="5"/>
      <c r="V46" s="5"/>
      <c r="W46" s="22">
        <f t="shared" si="1"/>
        <v>-2.8805200000000002</v>
      </c>
      <c r="X46" s="21">
        <f t="shared" si="2"/>
        <v>-0.34182200000000001</v>
      </c>
      <c r="Y46" s="21">
        <f t="shared" si="3"/>
        <v>-0.35528599999999999</v>
      </c>
      <c r="Z46" s="11">
        <f t="shared" si="4"/>
        <v>-1</v>
      </c>
      <c r="AA46" s="22">
        <f t="shared" si="5"/>
        <v>-2.8800400000000002</v>
      </c>
      <c r="AB46" s="21">
        <f t="shared" si="6"/>
        <v>-0.34086899999999998</v>
      </c>
      <c r="AC46" s="21">
        <f t="shared" si="7"/>
        <v>-0.35403600000000002</v>
      </c>
      <c r="AD46" s="11">
        <f t="shared" si="8"/>
        <v>-1</v>
      </c>
      <c r="AE46" s="22">
        <f t="shared" si="9"/>
        <v>-2.88232</v>
      </c>
      <c r="AF46" s="21">
        <f t="shared" si="10"/>
        <v>-0.34007399999999999</v>
      </c>
      <c r="AG46" s="21">
        <f t="shared" si="11"/>
        <v>-0.35493599999999997</v>
      </c>
      <c r="AH46" s="11">
        <f t="shared" si="12"/>
        <v>-1</v>
      </c>
      <c r="AI46">
        <v>2.5000000000000001E-2</v>
      </c>
      <c r="AJ46">
        <v>-2.5000000000000001E-2</v>
      </c>
      <c r="AK46">
        <v>1.5E-3</v>
      </c>
      <c r="AL46">
        <v>-1.5E-3</v>
      </c>
      <c r="AM46">
        <v>1.5E-3</v>
      </c>
      <c r="AN46">
        <v>-1.5E-3</v>
      </c>
      <c r="AO46" s="16">
        <v>2.5000000000000001E-2</v>
      </c>
      <c r="AP46" s="16">
        <v>-2.5000000000000001E-2</v>
      </c>
      <c r="AQ46">
        <v>1.4999999999999999E-2</v>
      </c>
      <c r="AR46">
        <v>-1.4999999999999999E-2</v>
      </c>
      <c r="AS46">
        <v>1E-3</v>
      </c>
      <c r="AT46">
        <v>-1E-3</v>
      </c>
      <c r="AU46">
        <v>1E-3</v>
      </c>
      <c r="AV46">
        <v>-1E-3</v>
      </c>
      <c r="AW46" s="16">
        <v>1.4999999999999999E-2</v>
      </c>
      <c r="AX46" s="16">
        <v>-1.4999999999999999E-2</v>
      </c>
      <c r="JR46">
        <v>12.849506578947368</v>
      </c>
      <c r="JS46">
        <v>25.699013157894736</v>
      </c>
    </row>
    <row r="47" spans="1:279" customFormat="1">
      <c r="F47" s="17" t="str">
        <f t="shared" si="0"/>
        <v/>
      </c>
      <c r="G47" s="9"/>
      <c r="H47" s="2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22" t="e">
        <f t="shared" si="1"/>
        <v>#N/A</v>
      </c>
      <c r="X47" s="21" t="e">
        <f t="shared" si="2"/>
        <v>#N/A</v>
      </c>
      <c r="Y47" s="21" t="e">
        <f t="shared" si="3"/>
        <v>#N/A</v>
      </c>
      <c r="Z47" s="11" t="e">
        <f t="shared" si="4"/>
        <v>#N/A</v>
      </c>
      <c r="AA47" s="22" t="e">
        <f t="shared" si="5"/>
        <v>#N/A</v>
      </c>
      <c r="AB47" s="21" t="e">
        <f t="shared" si="6"/>
        <v>#N/A</v>
      </c>
      <c r="AC47" s="21" t="e">
        <f t="shared" si="7"/>
        <v>#N/A</v>
      </c>
      <c r="AD47" s="11" t="e">
        <f t="shared" si="8"/>
        <v>#N/A</v>
      </c>
      <c r="AE47" s="22" t="e">
        <f t="shared" si="9"/>
        <v>#N/A</v>
      </c>
      <c r="AF47" s="21" t="e">
        <f t="shared" si="10"/>
        <v>#N/A</v>
      </c>
      <c r="AG47" s="21" t="e">
        <f t="shared" si="11"/>
        <v>#N/A</v>
      </c>
      <c r="AH47" s="11" t="e">
        <f t="shared" si="12"/>
        <v>#N/A</v>
      </c>
      <c r="AI47">
        <v>2.5000000000000001E-2</v>
      </c>
      <c r="AJ47">
        <v>-2.5000000000000001E-2</v>
      </c>
      <c r="AK47">
        <v>1.5E-3</v>
      </c>
      <c r="AL47">
        <v>-1.5E-3</v>
      </c>
      <c r="AM47">
        <v>1.5E-3</v>
      </c>
      <c r="AN47">
        <v>-1.5E-3</v>
      </c>
      <c r="AO47" s="16">
        <v>2.5000000000000001E-2</v>
      </c>
      <c r="AP47" s="16">
        <v>-2.5000000000000001E-2</v>
      </c>
      <c r="AQ47">
        <v>1.4999999999999999E-2</v>
      </c>
      <c r="AR47">
        <v>-1.4999999999999999E-2</v>
      </c>
      <c r="AS47">
        <v>1E-3</v>
      </c>
      <c r="AT47">
        <v>-1E-3</v>
      </c>
      <c r="AU47">
        <v>1E-3</v>
      </c>
      <c r="AV47">
        <v>-1E-3</v>
      </c>
      <c r="AW47" s="16">
        <v>1.4999999999999999E-2</v>
      </c>
      <c r="AX47" s="16">
        <v>-1.4999999999999999E-2</v>
      </c>
    </row>
    <row r="48" spans="1:279" customFormat="1">
      <c r="F48" s="17" t="str">
        <f t="shared" si="0"/>
        <v/>
      </c>
      <c r="G48" s="9"/>
      <c r="H48" s="2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22" t="e">
        <f t="shared" si="1"/>
        <v>#N/A</v>
      </c>
      <c r="X48" s="21" t="e">
        <f t="shared" si="2"/>
        <v>#N/A</v>
      </c>
      <c r="Y48" s="21" t="e">
        <f t="shared" si="3"/>
        <v>#N/A</v>
      </c>
      <c r="Z48" s="11" t="e">
        <f t="shared" si="4"/>
        <v>#N/A</v>
      </c>
      <c r="AA48" s="22" t="e">
        <f t="shared" si="5"/>
        <v>#N/A</v>
      </c>
      <c r="AB48" s="21" t="e">
        <f t="shared" si="6"/>
        <v>#N/A</v>
      </c>
      <c r="AC48" s="21" t="e">
        <f t="shared" si="7"/>
        <v>#N/A</v>
      </c>
      <c r="AD48" s="11" t="e">
        <f t="shared" si="8"/>
        <v>#N/A</v>
      </c>
      <c r="AE48" s="22" t="e">
        <f t="shared" si="9"/>
        <v>#N/A</v>
      </c>
      <c r="AF48" s="21" t="e">
        <f t="shared" si="10"/>
        <v>#N/A</v>
      </c>
      <c r="AG48" s="21" t="e">
        <f t="shared" si="11"/>
        <v>#N/A</v>
      </c>
      <c r="AH48" s="11" t="e">
        <f t="shared" si="12"/>
        <v>#N/A</v>
      </c>
      <c r="AI48">
        <v>2.5000000000000001E-2</v>
      </c>
      <c r="AJ48">
        <v>-2.5000000000000001E-2</v>
      </c>
      <c r="AK48">
        <v>1.5E-3</v>
      </c>
      <c r="AL48">
        <v>-1.5E-3</v>
      </c>
      <c r="AM48">
        <v>1.5E-3</v>
      </c>
      <c r="AN48">
        <v>-1.5E-3</v>
      </c>
      <c r="AO48" s="16">
        <v>2.5000000000000001E-2</v>
      </c>
      <c r="AP48" s="16">
        <v>-2.5000000000000001E-2</v>
      </c>
      <c r="AQ48">
        <v>1.4999999999999999E-2</v>
      </c>
      <c r="AR48">
        <v>-1.4999999999999999E-2</v>
      </c>
      <c r="AS48">
        <v>1E-3</v>
      </c>
      <c r="AT48">
        <v>-1E-3</v>
      </c>
      <c r="AU48">
        <v>1E-3</v>
      </c>
      <c r="AV48">
        <v>-1E-3</v>
      </c>
      <c r="AW48" s="16">
        <v>1.4999999999999999E-2</v>
      </c>
      <c r="AX48" s="16">
        <v>-1.4999999999999999E-2</v>
      </c>
      <c r="JQ48">
        <v>12.849506578947368</v>
      </c>
      <c r="JR48">
        <v>12.849506578947368</v>
      </c>
      <c r="JS48">
        <v>12.849506578947368</v>
      </c>
    </row>
    <row r="49" spans="6:279" customFormat="1">
      <c r="F49" s="17" t="str">
        <f t="shared" si="0"/>
        <v/>
      </c>
      <c r="G49" s="9"/>
      <c r="H49" s="2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22" t="e">
        <f t="shared" si="1"/>
        <v>#N/A</v>
      </c>
      <c r="X49" s="21" t="e">
        <f t="shared" si="2"/>
        <v>#N/A</v>
      </c>
      <c r="Y49" s="21" t="e">
        <f t="shared" si="3"/>
        <v>#N/A</v>
      </c>
      <c r="Z49" s="11" t="e">
        <f t="shared" si="4"/>
        <v>#N/A</v>
      </c>
      <c r="AA49" s="22" t="e">
        <f t="shared" si="5"/>
        <v>#N/A</v>
      </c>
      <c r="AB49" s="21" t="e">
        <f t="shared" si="6"/>
        <v>#N/A</v>
      </c>
      <c r="AC49" s="21" t="e">
        <f t="shared" si="7"/>
        <v>#N/A</v>
      </c>
      <c r="AD49" s="11" t="e">
        <f t="shared" si="8"/>
        <v>#N/A</v>
      </c>
      <c r="AE49" s="22" t="e">
        <f t="shared" si="9"/>
        <v>#N/A</v>
      </c>
      <c r="AF49" s="21" t="e">
        <f t="shared" si="10"/>
        <v>#N/A</v>
      </c>
      <c r="AG49" s="21" t="e">
        <f t="shared" si="11"/>
        <v>#N/A</v>
      </c>
      <c r="AH49" s="11" t="e">
        <f t="shared" si="12"/>
        <v>#N/A</v>
      </c>
      <c r="AI49">
        <v>2.5000000000000001E-2</v>
      </c>
      <c r="AJ49">
        <v>-2.5000000000000001E-2</v>
      </c>
      <c r="AK49">
        <v>1.5E-3</v>
      </c>
      <c r="AL49">
        <v>-1.5E-3</v>
      </c>
      <c r="AM49">
        <v>1.5E-3</v>
      </c>
      <c r="AN49">
        <v>-1.5E-3</v>
      </c>
      <c r="AO49" s="16">
        <v>2.5000000000000001E-2</v>
      </c>
      <c r="AP49" s="16">
        <v>-2.5000000000000001E-2</v>
      </c>
      <c r="AQ49">
        <v>1.4999999999999999E-2</v>
      </c>
      <c r="AR49">
        <v>-1.4999999999999999E-2</v>
      </c>
      <c r="AS49">
        <v>1E-3</v>
      </c>
      <c r="AT49">
        <v>-1E-3</v>
      </c>
      <c r="AU49">
        <v>1E-3</v>
      </c>
      <c r="AV49">
        <v>-1E-3</v>
      </c>
      <c r="AW49" s="16">
        <v>1.4999999999999999E-2</v>
      </c>
      <c r="AX49" s="16">
        <v>-1.4999999999999999E-2</v>
      </c>
    </row>
    <row r="50" spans="6:279" customFormat="1">
      <c r="F50" s="17" t="str">
        <f t="shared" si="0"/>
        <v/>
      </c>
      <c r="G50" s="9"/>
      <c r="H50" s="2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22" t="e">
        <f t="shared" si="1"/>
        <v>#N/A</v>
      </c>
      <c r="X50" s="21" t="e">
        <f t="shared" si="2"/>
        <v>#N/A</v>
      </c>
      <c r="Y50" s="21" t="e">
        <f t="shared" si="3"/>
        <v>#N/A</v>
      </c>
      <c r="Z50" s="11" t="e">
        <f t="shared" si="4"/>
        <v>#N/A</v>
      </c>
      <c r="AA50" s="22" t="e">
        <f t="shared" si="5"/>
        <v>#N/A</v>
      </c>
      <c r="AB50" s="21" t="e">
        <f t="shared" si="6"/>
        <v>#N/A</v>
      </c>
      <c r="AC50" s="21" t="e">
        <f t="shared" si="7"/>
        <v>#N/A</v>
      </c>
      <c r="AD50" s="11" t="e">
        <f t="shared" si="8"/>
        <v>#N/A</v>
      </c>
      <c r="AE50" s="22" t="e">
        <f t="shared" si="9"/>
        <v>#N/A</v>
      </c>
      <c r="AF50" s="21" t="e">
        <f t="shared" si="10"/>
        <v>#N/A</v>
      </c>
      <c r="AG50" s="21" t="e">
        <f t="shared" si="11"/>
        <v>#N/A</v>
      </c>
      <c r="AH50" s="11" t="e">
        <f t="shared" si="12"/>
        <v>#N/A</v>
      </c>
      <c r="AI50">
        <v>2.5000000000000001E-2</v>
      </c>
      <c r="AJ50">
        <v>-2.5000000000000001E-2</v>
      </c>
      <c r="AK50">
        <v>1.5E-3</v>
      </c>
      <c r="AL50">
        <v>-1.5E-3</v>
      </c>
      <c r="AM50">
        <v>1.5E-3</v>
      </c>
      <c r="AN50">
        <v>-1.5E-3</v>
      </c>
      <c r="AO50" s="16">
        <v>2.5000000000000001E-2</v>
      </c>
      <c r="AP50" s="16">
        <v>-2.5000000000000001E-2</v>
      </c>
      <c r="AQ50">
        <v>1.4999999999999999E-2</v>
      </c>
      <c r="AR50">
        <v>-1.4999999999999999E-2</v>
      </c>
      <c r="AS50">
        <v>1E-3</v>
      </c>
      <c r="AT50">
        <v>-1E-3</v>
      </c>
      <c r="AU50">
        <v>1E-3</v>
      </c>
      <c r="AV50">
        <v>-1E-3</v>
      </c>
      <c r="AW50" s="16">
        <v>1.4999999999999999E-2</v>
      </c>
      <c r="AX50" s="16">
        <v>-1.4999999999999999E-2</v>
      </c>
    </row>
    <row r="51" spans="6:279" customFormat="1">
      <c r="F51" s="17" t="str">
        <f t="shared" si="0"/>
        <v/>
      </c>
      <c r="G51" s="9"/>
      <c r="H51" s="2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22" t="e">
        <f t="shared" si="1"/>
        <v>#N/A</v>
      </c>
      <c r="X51" s="21" t="e">
        <f t="shared" si="2"/>
        <v>#N/A</v>
      </c>
      <c r="Y51" s="21" t="e">
        <f t="shared" si="3"/>
        <v>#N/A</v>
      </c>
      <c r="Z51" s="11" t="e">
        <f t="shared" si="4"/>
        <v>#N/A</v>
      </c>
      <c r="AA51" s="22" t="e">
        <f t="shared" si="5"/>
        <v>#N/A</v>
      </c>
      <c r="AB51" s="21" t="e">
        <f t="shared" si="6"/>
        <v>#N/A</v>
      </c>
      <c r="AC51" s="21" t="e">
        <f t="shared" si="7"/>
        <v>#N/A</v>
      </c>
      <c r="AD51" s="11" t="e">
        <f t="shared" si="8"/>
        <v>#N/A</v>
      </c>
      <c r="AE51" s="22" t="e">
        <f t="shared" si="9"/>
        <v>#N/A</v>
      </c>
      <c r="AF51" s="21" t="e">
        <f t="shared" si="10"/>
        <v>#N/A</v>
      </c>
      <c r="AG51" s="21" t="e">
        <f t="shared" si="11"/>
        <v>#N/A</v>
      </c>
      <c r="AH51" s="11" t="e">
        <f t="shared" si="12"/>
        <v>#N/A</v>
      </c>
      <c r="AI51">
        <v>2.5000000000000001E-2</v>
      </c>
      <c r="AJ51">
        <v>-2.5000000000000001E-2</v>
      </c>
      <c r="AK51">
        <v>1.5E-3</v>
      </c>
      <c r="AL51">
        <v>-1.5E-3</v>
      </c>
      <c r="AM51">
        <v>1.5E-3</v>
      </c>
      <c r="AN51">
        <v>-1.5E-3</v>
      </c>
      <c r="AO51" s="16">
        <v>2.5000000000000001E-2</v>
      </c>
      <c r="AP51" s="16">
        <v>-2.5000000000000001E-2</v>
      </c>
      <c r="AQ51">
        <v>1.4999999999999999E-2</v>
      </c>
      <c r="AR51">
        <v>-1.4999999999999999E-2</v>
      </c>
      <c r="AS51">
        <v>1E-3</v>
      </c>
      <c r="AT51">
        <v>-1E-3</v>
      </c>
      <c r="AU51">
        <v>1E-3</v>
      </c>
      <c r="AV51">
        <v>-1E-3</v>
      </c>
      <c r="AW51" s="16">
        <v>1.4999999999999999E-2</v>
      </c>
      <c r="AX51" s="16">
        <v>-1.4999999999999999E-2</v>
      </c>
    </row>
    <row r="52" spans="6:279" customFormat="1">
      <c r="F52" s="17" t="str">
        <f t="shared" si="0"/>
        <v/>
      </c>
      <c r="G52" s="9"/>
      <c r="H52" s="2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22" t="e">
        <f t="shared" si="1"/>
        <v>#N/A</v>
      </c>
      <c r="X52" s="21" t="e">
        <f t="shared" si="2"/>
        <v>#N/A</v>
      </c>
      <c r="Y52" s="21" t="e">
        <f t="shared" si="3"/>
        <v>#N/A</v>
      </c>
      <c r="Z52" s="11" t="e">
        <f t="shared" si="4"/>
        <v>#N/A</v>
      </c>
      <c r="AA52" s="22" t="e">
        <f t="shared" si="5"/>
        <v>#N/A</v>
      </c>
      <c r="AB52" s="21" t="e">
        <f t="shared" si="6"/>
        <v>#N/A</v>
      </c>
      <c r="AC52" s="21" t="e">
        <f t="shared" si="7"/>
        <v>#N/A</v>
      </c>
      <c r="AD52" s="11" t="e">
        <f t="shared" si="8"/>
        <v>#N/A</v>
      </c>
      <c r="AE52" s="22" t="e">
        <f t="shared" si="9"/>
        <v>#N/A</v>
      </c>
      <c r="AF52" s="21" t="e">
        <f t="shared" si="10"/>
        <v>#N/A</v>
      </c>
      <c r="AG52" s="21" t="e">
        <f t="shared" si="11"/>
        <v>#N/A</v>
      </c>
      <c r="AH52" s="11" t="e">
        <f t="shared" si="12"/>
        <v>#N/A</v>
      </c>
      <c r="AI52">
        <v>2.5000000000000001E-2</v>
      </c>
      <c r="AJ52">
        <v>-2.5000000000000001E-2</v>
      </c>
      <c r="AK52">
        <v>1.5E-3</v>
      </c>
      <c r="AL52">
        <v>-1.5E-3</v>
      </c>
      <c r="AM52">
        <v>1.5E-3</v>
      </c>
      <c r="AN52">
        <v>-1.5E-3</v>
      </c>
      <c r="AO52" s="16">
        <v>2.5000000000000001E-2</v>
      </c>
      <c r="AP52" s="16">
        <v>-2.5000000000000001E-2</v>
      </c>
      <c r="AQ52">
        <v>1.4999999999999999E-2</v>
      </c>
      <c r="AR52">
        <v>-1.4999999999999999E-2</v>
      </c>
      <c r="AS52">
        <v>1E-3</v>
      </c>
      <c r="AT52">
        <v>-1E-3</v>
      </c>
      <c r="AU52">
        <v>1E-3</v>
      </c>
      <c r="AV52">
        <v>-1E-3</v>
      </c>
      <c r="AW52" s="16">
        <v>1.4999999999999999E-2</v>
      </c>
      <c r="AX52" s="16">
        <v>-1.4999999999999999E-2</v>
      </c>
    </row>
    <row r="53" spans="6:279" customFormat="1">
      <c r="F53" s="17" t="str">
        <f t="shared" si="0"/>
        <v/>
      </c>
      <c r="G53" s="9"/>
      <c r="H53" s="2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22" t="e">
        <f t="shared" si="1"/>
        <v>#N/A</v>
      </c>
      <c r="X53" s="21" t="e">
        <f t="shared" si="2"/>
        <v>#N/A</v>
      </c>
      <c r="Y53" s="21" t="e">
        <f t="shared" si="3"/>
        <v>#N/A</v>
      </c>
      <c r="Z53" s="11" t="e">
        <f t="shared" si="4"/>
        <v>#N/A</v>
      </c>
      <c r="AA53" s="22" t="e">
        <f t="shared" si="5"/>
        <v>#N/A</v>
      </c>
      <c r="AB53" s="21" t="e">
        <f t="shared" si="6"/>
        <v>#N/A</v>
      </c>
      <c r="AC53" s="21" t="e">
        <f t="shared" si="7"/>
        <v>#N/A</v>
      </c>
      <c r="AD53" s="11" t="e">
        <f t="shared" si="8"/>
        <v>#N/A</v>
      </c>
      <c r="AE53" s="22" t="e">
        <f t="shared" si="9"/>
        <v>#N/A</v>
      </c>
      <c r="AF53" s="21" t="e">
        <f t="shared" si="10"/>
        <v>#N/A</v>
      </c>
      <c r="AG53" s="21" t="e">
        <f t="shared" si="11"/>
        <v>#N/A</v>
      </c>
      <c r="AH53" s="11" t="e">
        <f t="shared" si="12"/>
        <v>#N/A</v>
      </c>
      <c r="AI53">
        <v>2.5000000000000001E-2</v>
      </c>
      <c r="AJ53">
        <v>-2.5000000000000001E-2</v>
      </c>
      <c r="AK53">
        <v>1.5E-3</v>
      </c>
      <c r="AL53">
        <v>-1.5E-3</v>
      </c>
      <c r="AM53">
        <v>1.5E-3</v>
      </c>
      <c r="AN53">
        <v>-1.5E-3</v>
      </c>
      <c r="AO53" s="16">
        <v>2.5000000000000001E-2</v>
      </c>
      <c r="AP53" s="16">
        <v>-2.5000000000000001E-2</v>
      </c>
      <c r="AQ53">
        <v>1.4999999999999999E-2</v>
      </c>
      <c r="AR53">
        <v>-1.4999999999999999E-2</v>
      </c>
      <c r="AS53">
        <v>1E-3</v>
      </c>
      <c r="AT53">
        <v>-1E-3</v>
      </c>
      <c r="AU53">
        <v>1E-3</v>
      </c>
      <c r="AV53">
        <v>-1E-3</v>
      </c>
      <c r="AW53" s="16">
        <v>1.4999999999999999E-2</v>
      </c>
      <c r="AX53" s="16">
        <v>-1.4999999999999999E-2</v>
      </c>
      <c r="JR53">
        <v>12.849506578947368</v>
      </c>
    </row>
    <row r="54" spans="6:279" customFormat="1">
      <c r="F54" s="17" t="str">
        <f t="shared" si="0"/>
        <v/>
      </c>
      <c r="G54" s="9"/>
      <c r="H54" s="2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22" t="e">
        <f t="shared" si="1"/>
        <v>#N/A</v>
      </c>
      <c r="X54" s="21" t="e">
        <f t="shared" si="2"/>
        <v>#N/A</v>
      </c>
      <c r="Y54" s="21" t="e">
        <f t="shared" si="3"/>
        <v>#N/A</v>
      </c>
      <c r="Z54" s="11" t="e">
        <f t="shared" si="4"/>
        <v>#N/A</v>
      </c>
      <c r="AA54" s="22" t="e">
        <f t="shared" si="5"/>
        <v>#N/A</v>
      </c>
      <c r="AB54" s="21" t="e">
        <f t="shared" si="6"/>
        <v>#N/A</v>
      </c>
      <c r="AC54" s="21" t="e">
        <f t="shared" si="7"/>
        <v>#N/A</v>
      </c>
      <c r="AD54" s="11" t="e">
        <f t="shared" si="8"/>
        <v>#N/A</v>
      </c>
      <c r="AE54" s="22" t="e">
        <f t="shared" si="9"/>
        <v>#N/A</v>
      </c>
      <c r="AF54" s="21" t="e">
        <f t="shared" si="10"/>
        <v>#N/A</v>
      </c>
      <c r="AG54" s="21" t="e">
        <f t="shared" si="11"/>
        <v>#N/A</v>
      </c>
      <c r="AH54" s="11" t="e">
        <f t="shared" si="12"/>
        <v>#N/A</v>
      </c>
      <c r="AI54">
        <v>2.5000000000000001E-2</v>
      </c>
      <c r="AJ54">
        <v>-2.5000000000000001E-2</v>
      </c>
      <c r="AK54">
        <v>1.5E-3</v>
      </c>
      <c r="AL54">
        <v>-1.5E-3</v>
      </c>
      <c r="AM54">
        <v>1.5E-3</v>
      </c>
      <c r="AN54">
        <v>-1.5E-3</v>
      </c>
      <c r="AO54" s="16">
        <v>2.5000000000000001E-2</v>
      </c>
      <c r="AP54" s="16">
        <v>-2.5000000000000001E-2</v>
      </c>
      <c r="AQ54">
        <v>1.4999999999999999E-2</v>
      </c>
      <c r="AR54">
        <v>-1.4999999999999999E-2</v>
      </c>
      <c r="AS54">
        <v>1E-3</v>
      </c>
      <c r="AT54">
        <v>-1E-3</v>
      </c>
      <c r="AU54">
        <v>1E-3</v>
      </c>
      <c r="AV54">
        <v>-1E-3</v>
      </c>
      <c r="AW54" s="16">
        <v>1.4999999999999999E-2</v>
      </c>
      <c r="AX54" s="16">
        <v>-1.4999999999999999E-2</v>
      </c>
    </row>
    <row r="55" spans="6:279" customFormat="1">
      <c r="F55" s="17" t="str">
        <f t="shared" si="0"/>
        <v/>
      </c>
      <c r="G55" s="9"/>
      <c r="H55" s="2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22" t="e">
        <f t="shared" si="1"/>
        <v>#N/A</v>
      </c>
      <c r="X55" s="21" t="e">
        <f t="shared" si="2"/>
        <v>#N/A</v>
      </c>
      <c r="Y55" s="21" t="e">
        <f t="shared" si="3"/>
        <v>#N/A</v>
      </c>
      <c r="Z55" s="11" t="e">
        <f t="shared" si="4"/>
        <v>#N/A</v>
      </c>
      <c r="AA55" s="22" t="e">
        <f t="shared" si="5"/>
        <v>#N/A</v>
      </c>
      <c r="AB55" s="21" t="e">
        <f t="shared" si="6"/>
        <v>#N/A</v>
      </c>
      <c r="AC55" s="21" t="e">
        <f t="shared" si="7"/>
        <v>#N/A</v>
      </c>
      <c r="AD55" s="11" t="e">
        <f t="shared" si="8"/>
        <v>#N/A</v>
      </c>
      <c r="AE55" s="22" t="e">
        <f t="shared" si="9"/>
        <v>#N/A</v>
      </c>
      <c r="AF55" s="21" t="e">
        <f t="shared" si="10"/>
        <v>#N/A</v>
      </c>
      <c r="AG55" s="21" t="e">
        <f t="shared" si="11"/>
        <v>#N/A</v>
      </c>
      <c r="AH55" s="11" t="e">
        <f t="shared" si="12"/>
        <v>#N/A</v>
      </c>
      <c r="AI55">
        <v>2.5000000000000001E-2</v>
      </c>
      <c r="AJ55">
        <v>-2.5000000000000001E-2</v>
      </c>
      <c r="AK55">
        <v>1.5E-3</v>
      </c>
      <c r="AL55">
        <v>-1.5E-3</v>
      </c>
      <c r="AM55">
        <v>1.5E-3</v>
      </c>
      <c r="AN55">
        <v>-1.5E-3</v>
      </c>
      <c r="AO55" s="16">
        <v>2.5000000000000001E-2</v>
      </c>
      <c r="AP55" s="16">
        <v>-2.5000000000000001E-2</v>
      </c>
      <c r="AQ55">
        <v>1.4999999999999999E-2</v>
      </c>
      <c r="AR55">
        <v>-1.4999999999999999E-2</v>
      </c>
      <c r="AS55">
        <v>1E-3</v>
      </c>
      <c r="AT55">
        <v>-1E-3</v>
      </c>
      <c r="AU55">
        <v>1E-3</v>
      </c>
      <c r="AV55">
        <v>-1E-3</v>
      </c>
      <c r="AW55" s="16">
        <v>1.4999999999999999E-2</v>
      </c>
      <c r="AX55" s="16">
        <v>-1.4999999999999999E-2</v>
      </c>
      <c r="JR55">
        <v>12.849506578947368</v>
      </c>
      <c r="JS55">
        <v>12.849506578947368</v>
      </c>
    </row>
    <row r="56" spans="6:279" customFormat="1">
      <c r="F56" s="17" t="str">
        <f t="shared" si="0"/>
        <v/>
      </c>
      <c r="G56" s="9"/>
      <c r="H56" s="2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22" t="e">
        <f t="shared" si="1"/>
        <v>#N/A</v>
      </c>
      <c r="X56" s="21" t="e">
        <f t="shared" si="2"/>
        <v>#N/A</v>
      </c>
      <c r="Y56" s="21" t="e">
        <f t="shared" si="3"/>
        <v>#N/A</v>
      </c>
      <c r="Z56" s="11" t="e">
        <f t="shared" si="4"/>
        <v>#N/A</v>
      </c>
      <c r="AA56" s="22" t="e">
        <f t="shared" si="5"/>
        <v>#N/A</v>
      </c>
      <c r="AB56" s="21" t="e">
        <f t="shared" si="6"/>
        <v>#N/A</v>
      </c>
      <c r="AC56" s="21" t="e">
        <f t="shared" si="7"/>
        <v>#N/A</v>
      </c>
      <c r="AD56" s="11" t="e">
        <f t="shared" si="8"/>
        <v>#N/A</v>
      </c>
      <c r="AE56" s="22" t="e">
        <f t="shared" si="9"/>
        <v>#N/A</v>
      </c>
      <c r="AF56" s="21" t="e">
        <f t="shared" si="10"/>
        <v>#N/A</v>
      </c>
      <c r="AG56" s="21" t="e">
        <f t="shared" si="11"/>
        <v>#N/A</v>
      </c>
      <c r="AH56" s="11" t="e">
        <f t="shared" si="12"/>
        <v>#N/A</v>
      </c>
      <c r="AI56">
        <v>2.5000000000000001E-2</v>
      </c>
      <c r="AJ56">
        <v>-2.5000000000000001E-2</v>
      </c>
      <c r="AK56">
        <v>1.5E-3</v>
      </c>
      <c r="AL56">
        <v>-1.5E-3</v>
      </c>
      <c r="AM56">
        <v>1.5E-3</v>
      </c>
      <c r="AN56">
        <v>-1.5E-3</v>
      </c>
      <c r="AO56" s="16">
        <v>2.5000000000000001E-2</v>
      </c>
      <c r="AP56" s="16">
        <v>-2.5000000000000001E-2</v>
      </c>
      <c r="AQ56">
        <v>1.4999999999999999E-2</v>
      </c>
      <c r="AR56">
        <v>-1.4999999999999999E-2</v>
      </c>
      <c r="AS56">
        <v>1E-3</v>
      </c>
      <c r="AT56">
        <v>-1E-3</v>
      </c>
      <c r="AU56">
        <v>1E-3</v>
      </c>
      <c r="AV56">
        <v>-1E-3</v>
      </c>
      <c r="AW56" s="16">
        <v>1.4999999999999999E-2</v>
      </c>
      <c r="AX56" s="16">
        <v>-1.4999999999999999E-2</v>
      </c>
      <c r="JP56">
        <v>12.849506578947368</v>
      </c>
    </row>
    <row r="57" spans="6:279" customFormat="1">
      <c r="F57" s="17" t="str">
        <f t="shared" si="0"/>
        <v/>
      </c>
      <c r="G57" s="9"/>
      <c r="H57" s="2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22" t="e">
        <f t="shared" si="1"/>
        <v>#N/A</v>
      </c>
      <c r="X57" s="21" t="e">
        <f t="shared" si="2"/>
        <v>#N/A</v>
      </c>
      <c r="Y57" s="21" t="e">
        <f t="shared" si="3"/>
        <v>#N/A</v>
      </c>
      <c r="Z57" s="11" t="e">
        <f t="shared" si="4"/>
        <v>#N/A</v>
      </c>
      <c r="AA57" s="22" t="e">
        <f t="shared" si="5"/>
        <v>#N/A</v>
      </c>
      <c r="AB57" s="21" t="e">
        <f t="shared" si="6"/>
        <v>#N/A</v>
      </c>
      <c r="AC57" s="21" t="e">
        <f t="shared" si="7"/>
        <v>#N/A</v>
      </c>
      <c r="AD57" s="11" t="e">
        <f t="shared" si="8"/>
        <v>#N/A</v>
      </c>
      <c r="AE57" s="22" t="e">
        <f t="shared" si="9"/>
        <v>#N/A</v>
      </c>
      <c r="AF57" s="21" t="e">
        <f t="shared" si="10"/>
        <v>#N/A</v>
      </c>
      <c r="AG57" s="21" t="e">
        <f t="shared" si="11"/>
        <v>#N/A</v>
      </c>
      <c r="AH57" s="11" t="e">
        <f t="shared" si="12"/>
        <v>#N/A</v>
      </c>
      <c r="AI57">
        <v>2.5000000000000001E-2</v>
      </c>
      <c r="AJ57">
        <v>-2.5000000000000001E-2</v>
      </c>
      <c r="AK57">
        <v>1.5E-3</v>
      </c>
      <c r="AL57">
        <v>-1.5E-3</v>
      </c>
      <c r="AM57">
        <v>1.5E-3</v>
      </c>
      <c r="AN57">
        <v>-1.5E-3</v>
      </c>
      <c r="AO57" s="16">
        <v>2.5000000000000001E-2</v>
      </c>
      <c r="AP57" s="16">
        <v>-2.5000000000000001E-2</v>
      </c>
      <c r="AQ57">
        <v>1.4999999999999999E-2</v>
      </c>
      <c r="AR57">
        <v>-1.4999999999999999E-2</v>
      </c>
      <c r="AS57">
        <v>1E-3</v>
      </c>
      <c r="AT57">
        <v>-1E-3</v>
      </c>
      <c r="AU57">
        <v>1E-3</v>
      </c>
      <c r="AV57">
        <v>-1E-3</v>
      </c>
      <c r="AW57" s="16">
        <v>1.4999999999999999E-2</v>
      </c>
      <c r="AX57" s="16">
        <v>-1.4999999999999999E-2</v>
      </c>
      <c r="JP57">
        <v>38.548519736842103</v>
      </c>
      <c r="JR57">
        <v>12.849506578947368</v>
      </c>
      <c r="JS57">
        <v>12.849506578947368</v>
      </c>
    </row>
    <row r="58" spans="6:279" customFormat="1">
      <c r="F58" s="17" t="str">
        <f t="shared" si="0"/>
        <v/>
      </c>
      <c r="G58" s="9"/>
      <c r="H58" s="2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22" t="e">
        <f t="shared" si="1"/>
        <v>#N/A</v>
      </c>
      <c r="X58" s="21" t="e">
        <f t="shared" si="2"/>
        <v>#N/A</v>
      </c>
      <c r="Y58" s="21" t="e">
        <f t="shared" si="3"/>
        <v>#N/A</v>
      </c>
      <c r="Z58" s="11" t="e">
        <f t="shared" si="4"/>
        <v>#N/A</v>
      </c>
      <c r="AA58" s="22" t="e">
        <f t="shared" si="5"/>
        <v>#N/A</v>
      </c>
      <c r="AB58" s="21" t="e">
        <f t="shared" si="6"/>
        <v>#N/A</v>
      </c>
      <c r="AC58" s="21" t="e">
        <f t="shared" si="7"/>
        <v>#N/A</v>
      </c>
      <c r="AD58" s="11" t="e">
        <f t="shared" si="8"/>
        <v>#N/A</v>
      </c>
      <c r="AE58" s="22" t="e">
        <f t="shared" si="9"/>
        <v>#N/A</v>
      </c>
      <c r="AF58" s="21" t="e">
        <f t="shared" si="10"/>
        <v>#N/A</v>
      </c>
      <c r="AG58" s="21" t="e">
        <f t="shared" si="11"/>
        <v>#N/A</v>
      </c>
      <c r="AH58" s="11" t="e">
        <f t="shared" si="12"/>
        <v>#N/A</v>
      </c>
      <c r="AI58">
        <v>2.5000000000000001E-2</v>
      </c>
      <c r="AJ58">
        <v>-2.5000000000000001E-2</v>
      </c>
      <c r="AK58">
        <v>1.5E-3</v>
      </c>
      <c r="AL58">
        <v>-1.5E-3</v>
      </c>
      <c r="AM58">
        <v>1.5E-3</v>
      </c>
      <c r="AN58">
        <v>-1.5E-3</v>
      </c>
      <c r="AO58" s="16">
        <v>2.5000000000000001E-2</v>
      </c>
      <c r="AP58" s="16">
        <v>-2.5000000000000001E-2</v>
      </c>
      <c r="AQ58">
        <v>1.4999999999999999E-2</v>
      </c>
      <c r="AR58">
        <v>-1.4999999999999999E-2</v>
      </c>
      <c r="AS58">
        <v>1E-3</v>
      </c>
      <c r="AT58">
        <v>-1E-3</v>
      </c>
      <c r="AU58">
        <v>1E-3</v>
      </c>
      <c r="AV58">
        <v>-1E-3</v>
      </c>
      <c r="AW58" s="16">
        <v>1.4999999999999999E-2</v>
      </c>
      <c r="AX58" s="16">
        <v>-1.4999999999999999E-2</v>
      </c>
    </row>
    <row r="59" spans="6:279" customFormat="1">
      <c r="F59" s="17" t="str">
        <f t="shared" si="0"/>
        <v/>
      </c>
      <c r="G59" s="9"/>
      <c r="H59" s="2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22" t="e">
        <f t="shared" si="1"/>
        <v>#N/A</v>
      </c>
      <c r="X59" s="21" t="e">
        <f t="shared" si="2"/>
        <v>#N/A</v>
      </c>
      <c r="Y59" s="21" t="e">
        <f t="shared" si="3"/>
        <v>#N/A</v>
      </c>
      <c r="Z59" s="11" t="e">
        <f t="shared" si="4"/>
        <v>#N/A</v>
      </c>
      <c r="AA59" s="22" t="e">
        <f t="shared" si="5"/>
        <v>#N/A</v>
      </c>
      <c r="AB59" s="21" t="e">
        <f t="shared" si="6"/>
        <v>#N/A</v>
      </c>
      <c r="AC59" s="21" t="e">
        <f t="shared" si="7"/>
        <v>#N/A</v>
      </c>
      <c r="AD59" s="11" t="e">
        <f t="shared" si="8"/>
        <v>#N/A</v>
      </c>
      <c r="AE59" s="22" t="e">
        <f t="shared" si="9"/>
        <v>#N/A</v>
      </c>
      <c r="AF59" s="21" t="e">
        <f t="shared" si="10"/>
        <v>#N/A</v>
      </c>
      <c r="AG59" s="21" t="e">
        <f t="shared" si="11"/>
        <v>#N/A</v>
      </c>
      <c r="AH59" s="11" t="e">
        <f t="shared" si="12"/>
        <v>#N/A</v>
      </c>
      <c r="AI59">
        <v>2.5000000000000001E-2</v>
      </c>
      <c r="AJ59">
        <v>-2.5000000000000001E-2</v>
      </c>
      <c r="AK59">
        <v>1.5E-3</v>
      </c>
      <c r="AL59">
        <v>-1.5E-3</v>
      </c>
      <c r="AM59">
        <v>1.5E-3</v>
      </c>
      <c r="AN59">
        <v>-1.5E-3</v>
      </c>
      <c r="AO59" s="16">
        <v>2.5000000000000001E-2</v>
      </c>
      <c r="AP59" s="16">
        <v>-2.5000000000000001E-2</v>
      </c>
      <c r="AQ59">
        <v>1.4999999999999999E-2</v>
      </c>
      <c r="AR59">
        <v>-1.4999999999999999E-2</v>
      </c>
      <c r="AS59">
        <v>1E-3</v>
      </c>
      <c r="AT59">
        <v>-1E-3</v>
      </c>
      <c r="AU59">
        <v>1E-3</v>
      </c>
      <c r="AV59">
        <v>-1E-3</v>
      </c>
      <c r="AW59" s="16">
        <v>1.4999999999999999E-2</v>
      </c>
      <c r="AX59" s="16">
        <v>-1.4999999999999999E-2</v>
      </c>
      <c r="JQ59">
        <v>12.849506578947368</v>
      </c>
      <c r="JR59">
        <v>12.849506578947368</v>
      </c>
      <c r="JS59">
        <v>38.548519736842103</v>
      </c>
    </row>
    <row r="60" spans="6:279" customFormat="1">
      <c r="F60" s="17" t="str">
        <f t="shared" si="0"/>
        <v/>
      </c>
      <c r="G60" s="9"/>
      <c r="H60" s="2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22" t="e">
        <f t="shared" si="1"/>
        <v>#N/A</v>
      </c>
      <c r="X60" s="21" t="e">
        <f t="shared" si="2"/>
        <v>#N/A</v>
      </c>
      <c r="Y60" s="21" t="e">
        <f t="shared" si="3"/>
        <v>#N/A</v>
      </c>
      <c r="Z60" s="11" t="e">
        <f t="shared" si="4"/>
        <v>#N/A</v>
      </c>
      <c r="AA60" s="22" t="e">
        <f t="shared" si="5"/>
        <v>#N/A</v>
      </c>
      <c r="AB60" s="21" t="e">
        <f t="shared" si="6"/>
        <v>#N/A</v>
      </c>
      <c r="AC60" s="21" t="e">
        <f t="shared" si="7"/>
        <v>#N/A</v>
      </c>
      <c r="AD60" s="11" t="e">
        <f t="shared" si="8"/>
        <v>#N/A</v>
      </c>
      <c r="AE60" s="22" t="e">
        <f t="shared" si="9"/>
        <v>#N/A</v>
      </c>
      <c r="AF60" s="21" t="e">
        <f t="shared" si="10"/>
        <v>#N/A</v>
      </c>
      <c r="AG60" s="21" t="e">
        <f t="shared" si="11"/>
        <v>#N/A</v>
      </c>
      <c r="AH60" s="11" t="e">
        <f t="shared" si="12"/>
        <v>#N/A</v>
      </c>
      <c r="AI60">
        <v>2.5000000000000001E-2</v>
      </c>
      <c r="AJ60">
        <v>-2.5000000000000001E-2</v>
      </c>
      <c r="AK60">
        <v>1.5E-3</v>
      </c>
      <c r="AL60">
        <v>-1.5E-3</v>
      </c>
      <c r="AM60">
        <v>1.5E-3</v>
      </c>
      <c r="AN60">
        <v>-1.5E-3</v>
      </c>
      <c r="AO60" s="16">
        <v>2.5000000000000001E-2</v>
      </c>
      <c r="AP60" s="16">
        <v>-2.5000000000000001E-2</v>
      </c>
      <c r="AQ60">
        <v>1.4999999999999999E-2</v>
      </c>
      <c r="AR60">
        <v>-1.4999999999999999E-2</v>
      </c>
      <c r="AS60">
        <v>1E-3</v>
      </c>
      <c r="AT60">
        <v>-1E-3</v>
      </c>
      <c r="AU60">
        <v>1E-3</v>
      </c>
      <c r="AV60">
        <v>-1E-3</v>
      </c>
      <c r="AW60" s="16">
        <v>1.4999999999999999E-2</v>
      </c>
      <c r="AX60" s="16">
        <v>-1.4999999999999999E-2</v>
      </c>
    </row>
    <row r="61" spans="6:279" customFormat="1">
      <c r="F61" s="17" t="str">
        <f t="shared" si="0"/>
        <v/>
      </c>
      <c r="G61" s="9"/>
      <c r="H61" s="2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22" t="e">
        <f t="shared" si="1"/>
        <v>#N/A</v>
      </c>
      <c r="X61" s="21" t="e">
        <f t="shared" si="2"/>
        <v>#N/A</v>
      </c>
      <c r="Y61" s="21" t="e">
        <f t="shared" si="3"/>
        <v>#N/A</v>
      </c>
      <c r="Z61" s="11" t="e">
        <f t="shared" si="4"/>
        <v>#N/A</v>
      </c>
      <c r="AA61" s="22" t="e">
        <f t="shared" si="5"/>
        <v>#N/A</v>
      </c>
      <c r="AB61" s="21" t="e">
        <f t="shared" si="6"/>
        <v>#N/A</v>
      </c>
      <c r="AC61" s="21" t="e">
        <f t="shared" si="7"/>
        <v>#N/A</v>
      </c>
      <c r="AD61" s="11" t="e">
        <f t="shared" si="8"/>
        <v>#N/A</v>
      </c>
      <c r="AE61" s="22" t="e">
        <f t="shared" si="9"/>
        <v>#N/A</v>
      </c>
      <c r="AF61" s="21" t="e">
        <f t="shared" si="10"/>
        <v>#N/A</v>
      </c>
      <c r="AG61" s="21" t="e">
        <f t="shared" si="11"/>
        <v>#N/A</v>
      </c>
      <c r="AH61" s="11" t="e">
        <f t="shared" si="12"/>
        <v>#N/A</v>
      </c>
      <c r="AI61">
        <v>2.5000000000000001E-2</v>
      </c>
      <c r="AJ61">
        <v>-2.5000000000000001E-2</v>
      </c>
      <c r="AK61">
        <v>1.5E-3</v>
      </c>
      <c r="AL61">
        <v>-1.5E-3</v>
      </c>
      <c r="AM61">
        <v>1.5E-3</v>
      </c>
      <c r="AN61">
        <v>-1.5E-3</v>
      </c>
      <c r="AO61" s="16">
        <v>2.5000000000000001E-2</v>
      </c>
      <c r="AP61" s="16">
        <v>-2.5000000000000001E-2</v>
      </c>
      <c r="AQ61">
        <v>1.4999999999999999E-2</v>
      </c>
      <c r="AR61">
        <v>-1.4999999999999999E-2</v>
      </c>
      <c r="AS61">
        <v>1E-3</v>
      </c>
      <c r="AT61">
        <v>-1E-3</v>
      </c>
      <c r="AU61">
        <v>1E-3</v>
      </c>
      <c r="AV61">
        <v>-1E-3</v>
      </c>
      <c r="AW61" s="16">
        <v>1.4999999999999999E-2</v>
      </c>
      <c r="AX61" s="16">
        <v>-1.4999999999999999E-2</v>
      </c>
      <c r="JS61">
        <v>12.849506578947368</v>
      </c>
    </row>
    <row r="62" spans="6:279" customFormat="1">
      <c r="F62" s="17" t="str">
        <f t="shared" si="0"/>
        <v/>
      </c>
      <c r="G62" s="9"/>
      <c r="H62" s="2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22" t="e">
        <f t="shared" si="1"/>
        <v>#N/A</v>
      </c>
      <c r="X62" s="21" t="e">
        <f t="shared" si="2"/>
        <v>#N/A</v>
      </c>
      <c r="Y62" s="21" t="e">
        <f t="shared" si="3"/>
        <v>#N/A</v>
      </c>
      <c r="Z62" s="11" t="e">
        <f t="shared" si="4"/>
        <v>#N/A</v>
      </c>
      <c r="AA62" s="22" t="e">
        <f t="shared" si="5"/>
        <v>#N/A</v>
      </c>
      <c r="AB62" s="21" t="e">
        <f t="shared" si="6"/>
        <v>#N/A</v>
      </c>
      <c r="AC62" s="21" t="e">
        <f t="shared" si="7"/>
        <v>#N/A</v>
      </c>
      <c r="AD62" s="11" t="e">
        <f t="shared" si="8"/>
        <v>#N/A</v>
      </c>
      <c r="AE62" s="22" t="e">
        <f t="shared" si="9"/>
        <v>#N/A</v>
      </c>
      <c r="AF62" s="21" t="e">
        <f t="shared" si="10"/>
        <v>#N/A</v>
      </c>
      <c r="AG62" s="21" t="e">
        <f t="shared" si="11"/>
        <v>#N/A</v>
      </c>
      <c r="AH62" s="11" t="e">
        <f t="shared" si="12"/>
        <v>#N/A</v>
      </c>
      <c r="AI62">
        <v>2.5000000000000001E-2</v>
      </c>
      <c r="AJ62">
        <v>-2.5000000000000001E-2</v>
      </c>
      <c r="AK62">
        <v>1.5E-3</v>
      </c>
      <c r="AL62">
        <v>-1.5E-3</v>
      </c>
      <c r="AM62">
        <v>1.5E-3</v>
      </c>
      <c r="AN62">
        <v>-1.5E-3</v>
      </c>
      <c r="AO62" s="16">
        <v>2.5000000000000001E-2</v>
      </c>
      <c r="AP62" s="16">
        <v>-2.5000000000000001E-2</v>
      </c>
      <c r="AQ62">
        <v>1.4999999999999999E-2</v>
      </c>
      <c r="AR62">
        <v>-1.4999999999999999E-2</v>
      </c>
      <c r="AS62">
        <v>1E-3</v>
      </c>
      <c r="AT62">
        <v>-1E-3</v>
      </c>
      <c r="AU62">
        <v>1E-3</v>
      </c>
      <c r="AV62">
        <v>-1E-3</v>
      </c>
      <c r="AW62" s="16">
        <v>1.4999999999999999E-2</v>
      </c>
      <c r="AX62" s="16">
        <v>-1.4999999999999999E-2</v>
      </c>
      <c r="JS62">
        <v>12.849506578947368</v>
      </c>
    </row>
    <row r="63" spans="6:279" customFormat="1">
      <c r="F63" s="17" t="str">
        <f t="shared" si="0"/>
        <v/>
      </c>
      <c r="G63" s="9"/>
      <c r="H63" s="2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22" t="e">
        <f t="shared" si="1"/>
        <v>#N/A</v>
      </c>
      <c r="X63" s="21" t="e">
        <f t="shared" si="2"/>
        <v>#N/A</v>
      </c>
      <c r="Y63" s="21" t="e">
        <f t="shared" si="3"/>
        <v>#N/A</v>
      </c>
      <c r="Z63" s="11" t="e">
        <f t="shared" si="4"/>
        <v>#N/A</v>
      </c>
      <c r="AA63" s="22" t="e">
        <f t="shared" si="5"/>
        <v>#N/A</v>
      </c>
      <c r="AB63" s="21" t="e">
        <f t="shared" si="6"/>
        <v>#N/A</v>
      </c>
      <c r="AC63" s="21" t="e">
        <f t="shared" si="7"/>
        <v>#N/A</v>
      </c>
      <c r="AD63" s="11" t="e">
        <f t="shared" si="8"/>
        <v>#N/A</v>
      </c>
      <c r="AE63" s="22" t="e">
        <f t="shared" si="9"/>
        <v>#N/A</v>
      </c>
      <c r="AF63" s="21" t="e">
        <f t="shared" si="10"/>
        <v>#N/A</v>
      </c>
      <c r="AG63" s="21" t="e">
        <f t="shared" si="11"/>
        <v>#N/A</v>
      </c>
      <c r="AH63" s="11" t="e">
        <f t="shared" si="12"/>
        <v>#N/A</v>
      </c>
      <c r="AI63">
        <v>2.5000000000000001E-2</v>
      </c>
      <c r="AJ63">
        <v>-2.5000000000000001E-2</v>
      </c>
      <c r="AK63">
        <v>1.5E-3</v>
      </c>
      <c r="AL63">
        <v>-1.5E-3</v>
      </c>
      <c r="AM63">
        <v>1.5E-3</v>
      </c>
      <c r="AN63">
        <v>-1.5E-3</v>
      </c>
      <c r="AO63" s="16">
        <v>2.5000000000000001E-2</v>
      </c>
      <c r="AP63" s="16">
        <v>-2.5000000000000001E-2</v>
      </c>
      <c r="AQ63">
        <v>1.4999999999999999E-2</v>
      </c>
      <c r="AR63">
        <v>-1.4999999999999999E-2</v>
      </c>
      <c r="AS63">
        <v>1E-3</v>
      </c>
      <c r="AT63">
        <v>-1E-3</v>
      </c>
      <c r="AU63">
        <v>1E-3</v>
      </c>
      <c r="AV63">
        <v>-1E-3</v>
      </c>
      <c r="AW63" s="16">
        <v>1.4999999999999999E-2</v>
      </c>
      <c r="AX63" s="16">
        <v>-1.4999999999999999E-2</v>
      </c>
      <c r="JR63">
        <v>12.849506578947368</v>
      </c>
    </row>
    <row r="64" spans="6:279" customFormat="1">
      <c r="F64" s="17" t="str">
        <f t="shared" si="0"/>
        <v/>
      </c>
      <c r="G64" s="9"/>
      <c r="H64" s="2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22" t="e">
        <f t="shared" si="1"/>
        <v>#N/A</v>
      </c>
      <c r="X64" s="21" t="e">
        <f t="shared" si="2"/>
        <v>#N/A</v>
      </c>
      <c r="Y64" s="21" t="e">
        <f t="shared" si="3"/>
        <v>#N/A</v>
      </c>
      <c r="Z64" s="11" t="e">
        <f t="shared" si="4"/>
        <v>#N/A</v>
      </c>
      <c r="AA64" s="22" t="e">
        <f t="shared" si="5"/>
        <v>#N/A</v>
      </c>
      <c r="AB64" s="21" t="e">
        <f t="shared" si="6"/>
        <v>#N/A</v>
      </c>
      <c r="AC64" s="21" t="e">
        <f t="shared" si="7"/>
        <v>#N/A</v>
      </c>
      <c r="AD64" s="11" t="e">
        <f t="shared" si="8"/>
        <v>#N/A</v>
      </c>
      <c r="AE64" s="22" t="e">
        <f t="shared" si="9"/>
        <v>#N/A</v>
      </c>
      <c r="AF64" s="21" t="e">
        <f t="shared" si="10"/>
        <v>#N/A</v>
      </c>
      <c r="AG64" s="21" t="e">
        <f t="shared" si="11"/>
        <v>#N/A</v>
      </c>
      <c r="AH64" s="11" t="e">
        <f t="shared" si="12"/>
        <v>#N/A</v>
      </c>
      <c r="AI64">
        <v>2.5000000000000001E-2</v>
      </c>
      <c r="AJ64">
        <v>-2.5000000000000001E-2</v>
      </c>
      <c r="AK64">
        <v>1.5E-3</v>
      </c>
      <c r="AL64">
        <v>-1.5E-3</v>
      </c>
      <c r="AM64">
        <v>1.5E-3</v>
      </c>
      <c r="AN64">
        <v>-1.5E-3</v>
      </c>
      <c r="AO64" s="16">
        <v>2.5000000000000001E-2</v>
      </c>
      <c r="AP64" s="16">
        <v>-2.5000000000000001E-2</v>
      </c>
      <c r="AQ64">
        <v>1.4999999999999999E-2</v>
      </c>
      <c r="AR64">
        <v>-1.4999999999999999E-2</v>
      </c>
      <c r="AS64">
        <v>1E-3</v>
      </c>
      <c r="AT64">
        <v>-1E-3</v>
      </c>
      <c r="AU64">
        <v>1E-3</v>
      </c>
      <c r="AV64">
        <v>-1E-3</v>
      </c>
      <c r="AW64" s="16">
        <v>1.4999999999999999E-2</v>
      </c>
      <c r="AX64" s="16">
        <v>-1.4999999999999999E-2</v>
      </c>
    </row>
    <row r="65" spans="6:278" customFormat="1">
      <c r="F65" s="17" t="str">
        <f t="shared" si="0"/>
        <v/>
      </c>
      <c r="G65" s="9"/>
      <c r="H65" s="2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22" t="e">
        <f t="shared" si="1"/>
        <v>#N/A</v>
      </c>
      <c r="X65" s="21" t="e">
        <f t="shared" si="2"/>
        <v>#N/A</v>
      </c>
      <c r="Y65" s="21" t="e">
        <f t="shared" si="3"/>
        <v>#N/A</v>
      </c>
      <c r="Z65" s="11" t="e">
        <f t="shared" si="4"/>
        <v>#N/A</v>
      </c>
      <c r="AA65" s="22" t="e">
        <f t="shared" si="5"/>
        <v>#N/A</v>
      </c>
      <c r="AB65" s="21" t="e">
        <f t="shared" si="6"/>
        <v>#N/A</v>
      </c>
      <c r="AC65" s="21" t="e">
        <f t="shared" si="7"/>
        <v>#N/A</v>
      </c>
      <c r="AD65" s="11" t="e">
        <f t="shared" si="8"/>
        <v>#N/A</v>
      </c>
      <c r="AE65" s="22" t="e">
        <f t="shared" si="9"/>
        <v>#N/A</v>
      </c>
      <c r="AF65" s="21" t="e">
        <f t="shared" si="10"/>
        <v>#N/A</v>
      </c>
      <c r="AG65" s="21" t="e">
        <f t="shared" si="11"/>
        <v>#N/A</v>
      </c>
      <c r="AH65" s="11" t="e">
        <f t="shared" si="12"/>
        <v>#N/A</v>
      </c>
      <c r="AI65">
        <v>2.5000000000000001E-2</v>
      </c>
      <c r="AJ65">
        <v>-2.5000000000000001E-2</v>
      </c>
      <c r="AK65">
        <v>1.5E-3</v>
      </c>
      <c r="AL65">
        <v>-1.5E-3</v>
      </c>
      <c r="AM65">
        <v>1.5E-3</v>
      </c>
      <c r="AN65">
        <v>-1.5E-3</v>
      </c>
      <c r="AO65" s="16">
        <v>2.5000000000000001E-2</v>
      </c>
      <c r="AP65" s="16">
        <v>-2.5000000000000001E-2</v>
      </c>
      <c r="AQ65">
        <v>1.4999999999999999E-2</v>
      </c>
      <c r="AR65">
        <v>-1.4999999999999999E-2</v>
      </c>
      <c r="AS65">
        <v>1E-3</v>
      </c>
      <c r="AT65">
        <v>-1E-3</v>
      </c>
      <c r="AU65">
        <v>1E-3</v>
      </c>
      <c r="AV65">
        <v>-1E-3</v>
      </c>
      <c r="AW65" s="16">
        <v>1.4999999999999999E-2</v>
      </c>
      <c r="AX65" s="16">
        <v>-1.4999999999999999E-2</v>
      </c>
      <c r="JR65">
        <v>12.849506578947368</v>
      </c>
    </row>
    <row r="66" spans="6:278" customFormat="1">
      <c r="F66" s="17" t="str">
        <f t="shared" si="0"/>
        <v/>
      </c>
      <c r="G66" s="9"/>
      <c r="H66" s="2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22" t="e">
        <f t="shared" si="1"/>
        <v>#N/A</v>
      </c>
      <c r="X66" s="21" t="e">
        <f t="shared" si="2"/>
        <v>#N/A</v>
      </c>
      <c r="Y66" s="21" t="e">
        <f t="shared" si="3"/>
        <v>#N/A</v>
      </c>
      <c r="Z66" s="11" t="e">
        <f t="shared" si="4"/>
        <v>#N/A</v>
      </c>
      <c r="AA66" s="22" t="e">
        <f t="shared" si="5"/>
        <v>#N/A</v>
      </c>
      <c r="AB66" s="21" t="e">
        <f t="shared" si="6"/>
        <v>#N/A</v>
      </c>
      <c r="AC66" s="21" t="e">
        <f t="shared" si="7"/>
        <v>#N/A</v>
      </c>
      <c r="AD66" s="11" t="e">
        <f t="shared" si="8"/>
        <v>#N/A</v>
      </c>
      <c r="AE66" s="22" t="e">
        <f t="shared" si="9"/>
        <v>#N/A</v>
      </c>
      <c r="AF66" s="21" t="e">
        <f t="shared" si="10"/>
        <v>#N/A</v>
      </c>
      <c r="AG66" s="21" t="e">
        <f t="shared" si="11"/>
        <v>#N/A</v>
      </c>
      <c r="AH66" s="11" t="e">
        <f t="shared" si="12"/>
        <v>#N/A</v>
      </c>
      <c r="AI66">
        <v>2.5000000000000001E-2</v>
      </c>
      <c r="AJ66">
        <v>-2.5000000000000001E-2</v>
      </c>
      <c r="AK66">
        <v>1.5E-3</v>
      </c>
      <c r="AL66">
        <v>-1.5E-3</v>
      </c>
      <c r="AM66">
        <v>1.5E-3</v>
      </c>
      <c r="AN66">
        <v>-1.5E-3</v>
      </c>
      <c r="AO66" s="16">
        <v>2.5000000000000001E-2</v>
      </c>
      <c r="AP66" s="16">
        <v>-2.5000000000000001E-2</v>
      </c>
      <c r="AQ66">
        <v>1.4999999999999999E-2</v>
      </c>
      <c r="AR66">
        <v>-1.4999999999999999E-2</v>
      </c>
      <c r="AS66">
        <v>1E-3</v>
      </c>
      <c r="AT66">
        <v>-1E-3</v>
      </c>
      <c r="AU66">
        <v>1E-3</v>
      </c>
      <c r="AV66">
        <v>-1E-3</v>
      </c>
      <c r="AW66" s="16">
        <v>1.4999999999999999E-2</v>
      </c>
      <c r="AX66" s="16">
        <v>-1.4999999999999999E-2</v>
      </c>
      <c r="JR66">
        <v>24.187306501547987</v>
      </c>
    </row>
    <row r="67" spans="6:278" customFormat="1">
      <c r="F67" s="17" t="str">
        <f t="shared" si="0"/>
        <v/>
      </c>
      <c r="G67" s="9"/>
      <c r="H67" s="2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22" t="e">
        <f t="shared" si="1"/>
        <v>#N/A</v>
      </c>
      <c r="X67" s="21" t="e">
        <f t="shared" si="2"/>
        <v>#N/A</v>
      </c>
      <c r="Y67" s="21" t="e">
        <f t="shared" si="3"/>
        <v>#N/A</v>
      </c>
      <c r="Z67" s="11" t="e">
        <f t="shared" si="4"/>
        <v>#N/A</v>
      </c>
      <c r="AA67" s="22" t="e">
        <f t="shared" si="5"/>
        <v>#N/A</v>
      </c>
      <c r="AB67" s="21" t="e">
        <f t="shared" si="6"/>
        <v>#N/A</v>
      </c>
      <c r="AC67" s="21" t="e">
        <f t="shared" si="7"/>
        <v>#N/A</v>
      </c>
      <c r="AD67" s="11" t="e">
        <f t="shared" si="8"/>
        <v>#N/A</v>
      </c>
      <c r="AE67" s="22" t="e">
        <f t="shared" si="9"/>
        <v>#N/A</v>
      </c>
      <c r="AF67" s="21" t="e">
        <f t="shared" si="10"/>
        <v>#N/A</v>
      </c>
      <c r="AG67" s="21" t="e">
        <f t="shared" si="11"/>
        <v>#N/A</v>
      </c>
      <c r="AH67" s="11" t="e">
        <f t="shared" si="12"/>
        <v>#N/A</v>
      </c>
      <c r="AI67">
        <v>2.5000000000000001E-2</v>
      </c>
      <c r="AJ67">
        <v>-2.5000000000000001E-2</v>
      </c>
      <c r="AK67">
        <v>1.5E-3</v>
      </c>
      <c r="AL67">
        <v>-1.5E-3</v>
      </c>
      <c r="AM67">
        <v>1.5E-3</v>
      </c>
      <c r="AN67">
        <v>-1.5E-3</v>
      </c>
      <c r="AO67" s="16">
        <v>2.5000000000000001E-2</v>
      </c>
      <c r="AP67" s="16">
        <v>-2.5000000000000001E-2</v>
      </c>
      <c r="AQ67">
        <v>1.4999999999999999E-2</v>
      </c>
      <c r="AR67">
        <v>-1.4999999999999999E-2</v>
      </c>
      <c r="AS67">
        <v>1E-3</v>
      </c>
      <c r="AT67">
        <v>-1E-3</v>
      </c>
      <c r="AU67">
        <v>1E-3</v>
      </c>
      <c r="AV67">
        <v>-1E-3</v>
      </c>
      <c r="AW67" s="16">
        <v>1.4999999999999999E-2</v>
      </c>
      <c r="AX67" s="16">
        <v>-1.4999999999999999E-2</v>
      </c>
    </row>
    <row r="68" spans="6:278" customFormat="1">
      <c r="F68" s="17" t="str">
        <f t="shared" si="0"/>
        <v/>
      </c>
      <c r="G68" s="9"/>
      <c r="H68" s="2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22" t="e">
        <f t="shared" si="1"/>
        <v>#N/A</v>
      </c>
      <c r="X68" s="21" t="e">
        <f t="shared" si="2"/>
        <v>#N/A</v>
      </c>
      <c r="Y68" s="21" t="e">
        <f t="shared" si="3"/>
        <v>#N/A</v>
      </c>
      <c r="Z68" s="11" t="e">
        <f t="shared" si="4"/>
        <v>#N/A</v>
      </c>
      <c r="AA68" s="22" t="e">
        <f t="shared" si="5"/>
        <v>#N/A</v>
      </c>
      <c r="AB68" s="21" t="e">
        <f t="shared" si="6"/>
        <v>#N/A</v>
      </c>
      <c r="AC68" s="21" t="e">
        <f t="shared" si="7"/>
        <v>#N/A</v>
      </c>
      <c r="AD68" s="11" t="e">
        <f t="shared" si="8"/>
        <v>#N/A</v>
      </c>
      <c r="AE68" s="22" t="e">
        <f t="shared" si="9"/>
        <v>#N/A</v>
      </c>
      <c r="AF68" s="21" t="e">
        <f t="shared" si="10"/>
        <v>#N/A</v>
      </c>
      <c r="AG68" s="21" t="e">
        <f t="shared" si="11"/>
        <v>#N/A</v>
      </c>
      <c r="AH68" s="11" t="e">
        <f t="shared" si="12"/>
        <v>#N/A</v>
      </c>
      <c r="AI68">
        <v>2.5000000000000001E-2</v>
      </c>
      <c r="AJ68">
        <v>-2.5000000000000001E-2</v>
      </c>
      <c r="AK68">
        <v>1.5E-3</v>
      </c>
      <c r="AL68">
        <v>-1.5E-3</v>
      </c>
      <c r="AM68">
        <v>1.5E-3</v>
      </c>
      <c r="AN68">
        <v>-1.5E-3</v>
      </c>
      <c r="AO68" s="16">
        <v>2.5000000000000001E-2</v>
      </c>
      <c r="AP68" s="16">
        <v>-2.5000000000000001E-2</v>
      </c>
      <c r="AQ68">
        <v>1.4999999999999999E-2</v>
      </c>
      <c r="AR68">
        <v>-1.4999999999999999E-2</v>
      </c>
      <c r="AS68">
        <v>1E-3</v>
      </c>
      <c r="AT68">
        <v>-1E-3</v>
      </c>
      <c r="AU68">
        <v>1E-3</v>
      </c>
      <c r="AV68">
        <v>-1E-3</v>
      </c>
      <c r="AW68" s="16">
        <v>1.4999999999999999E-2</v>
      </c>
      <c r="AX68" s="16">
        <v>-1.4999999999999999E-2</v>
      </c>
    </row>
    <row r="69" spans="6:278" customFormat="1">
      <c r="F69" s="17" t="str">
        <f t="shared" si="0"/>
        <v/>
      </c>
      <c r="G69" s="9"/>
      <c r="H69" s="2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22" t="e">
        <f t="shared" si="1"/>
        <v>#N/A</v>
      </c>
      <c r="X69" s="21" t="e">
        <f t="shared" si="2"/>
        <v>#N/A</v>
      </c>
      <c r="Y69" s="21" t="e">
        <f t="shared" si="3"/>
        <v>#N/A</v>
      </c>
      <c r="Z69" s="11" t="e">
        <f t="shared" si="4"/>
        <v>#N/A</v>
      </c>
      <c r="AA69" s="22" t="e">
        <f t="shared" si="5"/>
        <v>#N/A</v>
      </c>
      <c r="AB69" s="21" t="e">
        <f t="shared" si="6"/>
        <v>#N/A</v>
      </c>
      <c r="AC69" s="21" t="e">
        <f t="shared" si="7"/>
        <v>#N/A</v>
      </c>
      <c r="AD69" s="11" t="e">
        <f t="shared" si="8"/>
        <v>#N/A</v>
      </c>
      <c r="AE69" s="22" t="e">
        <f t="shared" si="9"/>
        <v>#N/A</v>
      </c>
      <c r="AF69" s="21" t="e">
        <f t="shared" si="10"/>
        <v>#N/A</v>
      </c>
      <c r="AG69" s="21" t="e">
        <f t="shared" si="11"/>
        <v>#N/A</v>
      </c>
      <c r="AH69" s="11" t="e">
        <f t="shared" si="12"/>
        <v>#N/A</v>
      </c>
      <c r="AI69">
        <v>2.5000000000000001E-2</v>
      </c>
      <c r="AJ69">
        <v>-2.5000000000000001E-2</v>
      </c>
      <c r="AK69">
        <v>1.5E-3</v>
      </c>
      <c r="AL69">
        <v>-1.5E-3</v>
      </c>
      <c r="AM69">
        <v>1.5E-3</v>
      </c>
      <c r="AN69">
        <v>-1.5E-3</v>
      </c>
      <c r="AO69" s="16">
        <v>2.5000000000000001E-2</v>
      </c>
      <c r="AP69" s="16">
        <v>-2.5000000000000001E-2</v>
      </c>
      <c r="AQ69">
        <v>1.4999999999999999E-2</v>
      </c>
      <c r="AR69">
        <v>-1.4999999999999999E-2</v>
      </c>
      <c r="AS69">
        <v>1E-3</v>
      </c>
      <c r="AT69">
        <v>-1E-3</v>
      </c>
      <c r="AU69">
        <v>1E-3</v>
      </c>
      <c r="AV69">
        <v>-1E-3</v>
      </c>
      <c r="AW69" s="16">
        <v>1.4999999999999999E-2</v>
      </c>
      <c r="AX69" s="16">
        <v>-1.4999999999999999E-2</v>
      </c>
    </row>
    <row r="70" spans="6:278" customFormat="1">
      <c r="F70" s="17" t="str">
        <f t="shared" si="0"/>
        <v/>
      </c>
      <c r="G70" s="9"/>
      <c r="H70" s="2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22" t="e">
        <f t="shared" si="1"/>
        <v>#N/A</v>
      </c>
      <c r="X70" s="21" t="e">
        <f t="shared" si="2"/>
        <v>#N/A</v>
      </c>
      <c r="Y70" s="21" t="e">
        <f t="shared" si="3"/>
        <v>#N/A</v>
      </c>
      <c r="Z70" s="11" t="e">
        <f t="shared" si="4"/>
        <v>#N/A</v>
      </c>
      <c r="AA70" s="22" t="e">
        <f t="shared" si="5"/>
        <v>#N/A</v>
      </c>
      <c r="AB70" s="21" t="e">
        <f t="shared" si="6"/>
        <v>#N/A</v>
      </c>
      <c r="AC70" s="21" t="e">
        <f t="shared" si="7"/>
        <v>#N/A</v>
      </c>
      <c r="AD70" s="11" t="e">
        <f t="shared" si="8"/>
        <v>#N/A</v>
      </c>
      <c r="AE70" s="22" t="e">
        <f t="shared" si="9"/>
        <v>#N/A</v>
      </c>
      <c r="AF70" s="21" t="e">
        <f t="shared" si="10"/>
        <v>#N/A</v>
      </c>
      <c r="AG70" s="21" t="e">
        <f t="shared" si="11"/>
        <v>#N/A</v>
      </c>
      <c r="AH70" s="11" t="e">
        <f t="shared" si="12"/>
        <v>#N/A</v>
      </c>
      <c r="AI70">
        <v>2.5000000000000001E-2</v>
      </c>
      <c r="AJ70">
        <v>-2.5000000000000001E-2</v>
      </c>
      <c r="AK70">
        <v>1.5E-3</v>
      </c>
      <c r="AL70">
        <v>-1.5E-3</v>
      </c>
      <c r="AM70">
        <v>1.5E-3</v>
      </c>
      <c r="AN70">
        <v>-1.5E-3</v>
      </c>
      <c r="AO70" s="16">
        <v>2.5000000000000001E-2</v>
      </c>
      <c r="AP70" s="16">
        <v>-2.5000000000000001E-2</v>
      </c>
      <c r="AQ70">
        <v>1.4999999999999999E-2</v>
      </c>
      <c r="AR70">
        <v>-1.4999999999999999E-2</v>
      </c>
      <c r="AS70">
        <v>1E-3</v>
      </c>
      <c r="AT70">
        <v>-1E-3</v>
      </c>
      <c r="AU70">
        <v>1E-3</v>
      </c>
      <c r="AV70">
        <v>-1E-3</v>
      </c>
      <c r="AW70" s="16">
        <v>1.4999999999999999E-2</v>
      </c>
      <c r="AX70" s="16">
        <v>-1.4999999999999999E-2</v>
      </c>
    </row>
    <row r="71" spans="6:278" customFormat="1">
      <c r="F71" s="17" t="str">
        <f t="shared" ref="F71:F100" si="13">IF(G71="","",G71)</f>
        <v/>
      </c>
      <c r="G71" s="9"/>
      <c r="H71" s="2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22" t="e">
        <f t="shared" ref="W71:W100" si="14">IF(H71="",NA(),I71-VLOOKUP(H71,$A$6:$E$35,2,FALSE))</f>
        <v>#N/A</v>
      </c>
      <c r="X71" s="21" t="e">
        <f t="shared" ref="X71:X100" si="15">IF(H71="",NA(),J71-VLOOKUP(H71,$A$6:$E$35,3,FALSE))</f>
        <v>#N/A</v>
      </c>
      <c r="Y71" s="21" t="e">
        <f t="shared" ref="Y71:Y100" si="16">IF(H71="",NA(),K71-VLOOKUP(H71,$A$6:$E$35,4,FALSE))</f>
        <v>#N/A</v>
      </c>
      <c r="Z71" s="11" t="e">
        <f t="shared" ref="Z71:Z100" si="17">IF(H71="",NA(),L71/VLOOKUP(H71,$A$6:$E$35,5,FALSE)-1)</f>
        <v>#N/A</v>
      </c>
      <c r="AA71" s="22" t="e">
        <f t="shared" ref="AA71:AA100" si="18">IF(M71="",NA(),N71-VLOOKUP(M71,$A$6:$E$35,2,FALSE))</f>
        <v>#N/A</v>
      </c>
      <c r="AB71" s="21" t="e">
        <f t="shared" ref="AB71:AB100" si="19">IF(M71="",NA(),O71-VLOOKUP(M71,$A$6:$E$35,3,FALSE))</f>
        <v>#N/A</v>
      </c>
      <c r="AC71" s="21" t="e">
        <f t="shared" ref="AC71:AC100" si="20">IF(M71="",NA(),P71-VLOOKUP(M71,$A$6:$E$35,4,FALSE))</f>
        <v>#N/A</v>
      </c>
      <c r="AD71" s="11" t="e">
        <f t="shared" ref="AD71:AD100" si="21">IF(M71="",NA(),Q71/VLOOKUP(M71,$A$6:$E$35,5,FALSE)-1)</f>
        <v>#N/A</v>
      </c>
      <c r="AE71" s="22" t="e">
        <f t="shared" ref="AE71:AE100" si="22">IF(R71="",NA(),S71-VLOOKUP(R71,$A$6:$E$35,2,FALSE))</f>
        <v>#N/A</v>
      </c>
      <c r="AF71" s="21" t="e">
        <f t="shared" ref="AF71:AF100" si="23">IF(R71="",NA(),T71-VLOOKUP(R71,$A$6:$E$35,3,FALSE))</f>
        <v>#N/A</v>
      </c>
      <c r="AG71" s="21" t="e">
        <f t="shared" ref="AG71:AG100" si="24">IF(R71="",NA(),U71-VLOOKUP(R71,$A$6:$E$35,4,FALSE))</f>
        <v>#N/A</v>
      </c>
      <c r="AH71" s="11" t="e">
        <f t="shared" ref="AH71:AH100" si="25">IF(R71="",NA(),V71/VLOOKUP(R71,$A$6:$E$35,5,FALSE)-1)</f>
        <v>#N/A</v>
      </c>
      <c r="AI71">
        <v>2.5000000000000001E-2</v>
      </c>
      <c r="AJ71">
        <v>-2.5000000000000001E-2</v>
      </c>
      <c r="AK71">
        <v>1.5E-3</v>
      </c>
      <c r="AL71">
        <v>-1.5E-3</v>
      </c>
      <c r="AM71">
        <v>1.5E-3</v>
      </c>
      <c r="AN71">
        <v>-1.5E-3</v>
      </c>
      <c r="AO71" s="16">
        <v>2.5000000000000001E-2</v>
      </c>
      <c r="AP71" s="16">
        <v>-2.5000000000000001E-2</v>
      </c>
      <c r="AQ71">
        <v>1.4999999999999999E-2</v>
      </c>
      <c r="AR71">
        <v>-1.4999999999999999E-2</v>
      </c>
      <c r="AS71">
        <v>1E-3</v>
      </c>
      <c r="AT71">
        <v>-1E-3</v>
      </c>
      <c r="AU71">
        <v>1E-3</v>
      </c>
      <c r="AV71">
        <v>-1E-3</v>
      </c>
      <c r="AW71" s="16">
        <v>1.4999999999999999E-2</v>
      </c>
      <c r="AX71" s="16">
        <v>-1.4999999999999999E-2</v>
      </c>
    </row>
    <row r="72" spans="6:278" customFormat="1">
      <c r="F72" s="17" t="str">
        <f t="shared" si="13"/>
        <v/>
      </c>
      <c r="G72" s="9"/>
      <c r="H72" s="2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22" t="e">
        <f t="shared" si="14"/>
        <v>#N/A</v>
      </c>
      <c r="X72" s="21" t="e">
        <f t="shared" si="15"/>
        <v>#N/A</v>
      </c>
      <c r="Y72" s="21" t="e">
        <f t="shared" si="16"/>
        <v>#N/A</v>
      </c>
      <c r="Z72" s="11" t="e">
        <f t="shared" si="17"/>
        <v>#N/A</v>
      </c>
      <c r="AA72" s="22" t="e">
        <f t="shared" si="18"/>
        <v>#N/A</v>
      </c>
      <c r="AB72" s="21" t="e">
        <f t="shared" si="19"/>
        <v>#N/A</v>
      </c>
      <c r="AC72" s="21" t="e">
        <f t="shared" si="20"/>
        <v>#N/A</v>
      </c>
      <c r="AD72" s="11" t="e">
        <f t="shared" si="21"/>
        <v>#N/A</v>
      </c>
      <c r="AE72" s="22" t="e">
        <f t="shared" si="22"/>
        <v>#N/A</v>
      </c>
      <c r="AF72" s="21" t="e">
        <f t="shared" si="23"/>
        <v>#N/A</v>
      </c>
      <c r="AG72" s="21" t="e">
        <f t="shared" si="24"/>
        <v>#N/A</v>
      </c>
      <c r="AH72" s="11" t="e">
        <f t="shared" si="25"/>
        <v>#N/A</v>
      </c>
      <c r="AI72">
        <v>2.5000000000000001E-2</v>
      </c>
      <c r="AJ72">
        <v>-2.5000000000000001E-2</v>
      </c>
      <c r="AK72">
        <v>1.5E-3</v>
      </c>
      <c r="AL72">
        <v>-1.5E-3</v>
      </c>
      <c r="AM72">
        <v>1.5E-3</v>
      </c>
      <c r="AN72">
        <v>-1.5E-3</v>
      </c>
      <c r="AO72" s="16">
        <v>2.5000000000000001E-2</v>
      </c>
      <c r="AP72" s="16">
        <v>-2.5000000000000001E-2</v>
      </c>
      <c r="AQ72">
        <v>1.4999999999999999E-2</v>
      </c>
      <c r="AR72">
        <v>-1.4999999999999999E-2</v>
      </c>
      <c r="AS72">
        <v>1E-3</v>
      </c>
      <c r="AT72">
        <v>-1E-3</v>
      </c>
      <c r="AU72">
        <v>1E-3</v>
      </c>
      <c r="AV72">
        <v>-1E-3</v>
      </c>
      <c r="AW72" s="16">
        <v>1.4999999999999999E-2</v>
      </c>
      <c r="AX72" s="16">
        <v>-1.4999999999999999E-2</v>
      </c>
    </row>
    <row r="73" spans="6:278" customFormat="1">
      <c r="F73" s="17" t="str">
        <f t="shared" si="13"/>
        <v/>
      </c>
      <c r="G73" s="9"/>
      <c r="H73" s="2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22" t="e">
        <f t="shared" si="14"/>
        <v>#N/A</v>
      </c>
      <c r="X73" s="21" t="e">
        <f t="shared" si="15"/>
        <v>#N/A</v>
      </c>
      <c r="Y73" s="21" t="e">
        <f t="shared" si="16"/>
        <v>#N/A</v>
      </c>
      <c r="Z73" s="11" t="e">
        <f t="shared" si="17"/>
        <v>#N/A</v>
      </c>
      <c r="AA73" s="22" t="e">
        <f t="shared" si="18"/>
        <v>#N/A</v>
      </c>
      <c r="AB73" s="21" t="e">
        <f t="shared" si="19"/>
        <v>#N/A</v>
      </c>
      <c r="AC73" s="21" t="e">
        <f t="shared" si="20"/>
        <v>#N/A</v>
      </c>
      <c r="AD73" s="11" t="e">
        <f t="shared" si="21"/>
        <v>#N/A</v>
      </c>
      <c r="AE73" s="22" t="e">
        <f t="shared" si="22"/>
        <v>#N/A</v>
      </c>
      <c r="AF73" s="21" t="e">
        <f t="shared" si="23"/>
        <v>#N/A</v>
      </c>
      <c r="AG73" s="21" t="e">
        <f t="shared" si="24"/>
        <v>#N/A</v>
      </c>
      <c r="AH73" s="11" t="e">
        <f t="shared" si="25"/>
        <v>#N/A</v>
      </c>
      <c r="AI73">
        <v>2.5000000000000001E-2</v>
      </c>
      <c r="AJ73">
        <v>-2.5000000000000001E-2</v>
      </c>
      <c r="AK73">
        <v>1.5E-3</v>
      </c>
      <c r="AL73">
        <v>-1.5E-3</v>
      </c>
      <c r="AM73">
        <v>1.5E-3</v>
      </c>
      <c r="AN73">
        <v>-1.5E-3</v>
      </c>
      <c r="AO73" s="16">
        <v>2.5000000000000001E-2</v>
      </c>
      <c r="AP73" s="16">
        <v>-2.5000000000000001E-2</v>
      </c>
      <c r="AQ73">
        <v>1.4999999999999999E-2</v>
      </c>
      <c r="AR73">
        <v>-1.4999999999999999E-2</v>
      </c>
      <c r="AS73">
        <v>1E-3</v>
      </c>
      <c r="AT73">
        <v>-1E-3</v>
      </c>
      <c r="AU73">
        <v>1E-3</v>
      </c>
      <c r="AV73">
        <v>-1E-3</v>
      </c>
      <c r="AW73" s="16">
        <v>1.4999999999999999E-2</v>
      </c>
      <c r="AX73" s="16">
        <v>-1.4999999999999999E-2</v>
      </c>
    </row>
    <row r="74" spans="6:278" customFormat="1">
      <c r="F74" s="17" t="str">
        <f t="shared" si="13"/>
        <v/>
      </c>
      <c r="G74" s="9"/>
      <c r="H74" s="2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22" t="e">
        <f t="shared" si="14"/>
        <v>#N/A</v>
      </c>
      <c r="X74" s="21" t="e">
        <f t="shared" si="15"/>
        <v>#N/A</v>
      </c>
      <c r="Y74" s="21" t="e">
        <f t="shared" si="16"/>
        <v>#N/A</v>
      </c>
      <c r="Z74" s="11" t="e">
        <f t="shared" si="17"/>
        <v>#N/A</v>
      </c>
      <c r="AA74" s="22" t="e">
        <f t="shared" si="18"/>
        <v>#N/A</v>
      </c>
      <c r="AB74" s="21" t="e">
        <f t="shared" si="19"/>
        <v>#N/A</v>
      </c>
      <c r="AC74" s="21" t="e">
        <f t="shared" si="20"/>
        <v>#N/A</v>
      </c>
      <c r="AD74" s="11" t="e">
        <f t="shared" si="21"/>
        <v>#N/A</v>
      </c>
      <c r="AE74" s="22" t="e">
        <f t="shared" si="22"/>
        <v>#N/A</v>
      </c>
      <c r="AF74" s="21" t="e">
        <f t="shared" si="23"/>
        <v>#N/A</v>
      </c>
      <c r="AG74" s="21" t="e">
        <f t="shared" si="24"/>
        <v>#N/A</v>
      </c>
      <c r="AH74" s="11" t="e">
        <f t="shared" si="25"/>
        <v>#N/A</v>
      </c>
      <c r="AI74">
        <v>2.5000000000000001E-2</v>
      </c>
      <c r="AJ74">
        <v>-2.5000000000000001E-2</v>
      </c>
      <c r="AK74">
        <v>1.5E-3</v>
      </c>
      <c r="AL74">
        <v>-1.5E-3</v>
      </c>
      <c r="AM74">
        <v>1.5E-3</v>
      </c>
      <c r="AN74">
        <v>-1.5E-3</v>
      </c>
      <c r="AO74" s="16">
        <v>2.5000000000000001E-2</v>
      </c>
      <c r="AP74" s="16">
        <v>-2.5000000000000001E-2</v>
      </c>
      <c r="AQ74">
        <v>1.4999999999999999E-2</v>
      </c>
      <c r="AR74">
        <v>-1.4999999999999999E-2</v>
      </c>
      <c r="AS74">
        <v>1E-3</v>
      </c>
      <c r="AT74">
        <v>-1E-3</v>
      </c>
      <c r="AU74">
        <v>1E-3</v>
      </c>
      <c r="AV74">
        <v>-1E-3</v>
      </c>
      <c r="AW74" s="16">
        <v>1.4999999999999999E-2</v>
      </c>
      <c r="AX74" s="16">
        <v>-1.4999999999999999E-2</v>
      </c>
    </row>
    <row r="75" spans="6:278" customFormat="1">
      <c r="F75" s="17" t="str">
        <f t="shared" si="13"/>
        <v/>
      </c>
      <c r="G75" s="9"/>
      <c r="H75" s="2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22" t="e">
        <f t="shared" si="14"/>
        <v>#N/A</v>
      </c>
      <c r="X75" s="21" t="e">
        <f t="shared" si="15"/>
        <v>#N/A</v>
      </c>
      <c r="Y75" s="21" t="e">
        <f t="shared" si="16"/>
        <v>#N/A</v>
      </c>
      <c r="Z75" s="11" t="e">
        <f t="shared" si="17"/>
        <v>#N/A</v>
      </c>
      <c r="AA75" s="22" t="e">
        <f t="shared" si="18"/>
        <v>#N/A</v>
      </c>
      <c r="AB75" s="21" t="e">
        <f t="shared" si="19"/>
        <v>#N/A</v>
      </c>
      <c r="AC75" s="21" t="e">
        <f t="shared" si="20"/>
        <v>#N/A</v>
      </c>
      <c r="AD75" s="11" t="e">
        <f t="shared" si="21"/>
        <v>#N/A</v>
      </c>
      <c r="AE75" s="22" t="e">
        <f t="shared" si="22"/>
        <v>#N/A</v>
      </c>
      <c r="AF75" s="21" t="e">
        <f t="shared" si="23"/>
        <v>#N/A</v>
      </c>
      <c r="AG75" s="21" t="e">
        <f t="shared" si="24"/>
        <v>#N/A</v>
      </c>
      <c r="AH75" s="11" t="e">
        <f t="shared" si="25"/>
        <v>#N/A</v>
      </c>
      <c r="AI75">
        <v>2.5000000000000001E-2</v>
      </c>
      <c r="AJ75">
        <v>-2.5000000000000001E-2</v>
      </c>
      <c r="AK75">
        <v>1.5E-3</v>
      </c>
      <c r="AL75">
        <v>-1.5E-3</v>
      </c>
      <c r="AM75">
        <v>1.5E-3</v>
      </c>
      <c r="AN75">
        <v>-1.5E-3</v>
      </c>
      <c r="AO75" s="16">
        <v>2.5000000000000001E-2</v>
      </c>
      <c r="AP75" s="16">
        <v>-2.5000000000000001E-2</v>
      </c>
      <c r="AQ75">
        <v>1.4999999999999999E-2</v>
      </c>
      <c r="AR75">
        <v>-1.4999999999999999E-2</v>
      </c>
      <c r="AS75">
        <v>1E-3</v>
      </c>
      <c r="AT75">
        <v>-1E-3</v>
      </c>
      <c r="AU75">
        <v>1E-3</v>
      </c>
      <c r="AV75">
        <v>-1E-3</v>
      </c>
      <c r="AW75" s="16">
        <v>1.4999999999999999E-2</v>
      </c>
      <c r="AX75" s="16">
        <v>-1.4999999999999999E-2</v>
      </c>
    </row>
    <row r="76" spans="6:278" customFormat="1">
      <c r="F76" s="17" t="str">
        <f t="shared" si="13"/>
        <v/>
      </c>
      <c r="G76" s="9"/>
      <c r="H76" s="2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22" t="e">
        <f t="shared" si="14"/>
        <v>#N/A</v>
      </c>
      <c r="X76" s="21" t="e">
        <f t="shared" si="15"/>
        <v>#N/A</v>
      </c>
      <c r="Y76" s="21" t="e">
        <f t="shared" si="16"/>
        <v>#N/A</v>
      </c>
      <c r="Z76" s="11" t="e">
        <f t="shared" si="17"/>
        <v>#N/A</v>
      </c>
      <c r="AA76" s="22" t="e">
        <f t="shared" si="18"/>
        <v>#N/A</v>
      </c>
      <c r="AB76" s="21" t="e">
        <f t="shared" si="19"/>
        <v>#N/A</v>
      </c>
      <c r="AC76" s="21" t="e">
        <f t="shared" si="20"/>
        <v>#N/A</v>
      </c>
      <c r="AD76" s="11" t="e">
        <f t="shared" si="21"/>
        <v>#N/A</v>
      </c>
      <c r="AE76" s="22" t="e">
        <f t="shared" si="22"/>
        <v>#N/A</v>
      </c>
      <c r="AF76" s="21" t="e">
        <f t="shared" si="23"/>
        <v>#N/A</v>
      </c>
      <c r="AG76" s="21" t="e">
        <f t="shared" si="24"/>
        <v>#N/A</v>
      </c>
      <c r="AH76" s="11" t="e">
        <f t="shared" si="25"/>
        <v>#N/A</v>
      </c>
      <c r="AI76">
        <v>2.5000000000000001E-2</v>
      </c>
      <c r="AJ76">
        <v>-2.5000000000000001E-2</v>
      </c>
      <c r="AK76">
        <v>1.5E-3</v>
      </c>
      <c r="AL76">
        <v>-1.5E-3</v>
      </c>
      <c r="AM76">
        <v>1.5E-3</v>
      </c>
      <c r="AN76">
        <v>-1.5E-3</v>
      </c>
      <c r="AO76" s="16">
        <v>2.5000000000000001E-2</v>
      </c>
      <c r="AP76" s="16">
        <v>-2.5000000000000001E-2</v>
      </c>
      <c r="AQ76">
        <v>1.4999999999999999E-2</v>
      </c>
      <c r="AR76">
        <v>-1.4999999999999999E-2</v>
      </c>
      <c r="AS76">
        <v>1E-3</v>
      </c>
      <c r="AT76">
        <v>-1E-3</v>
      </c>
      <c r="AU76">
        <v>1E-3</v>
      </c>
      <c r="AV76">
        <v>-1E-3</v>
      </c>
      <c r="AW76" s="16">
        <v>1.4999999999999999E-2</v>
      </c>
      <c r="AX76" s="16">
        <v>-1.4999999999999999E-2</v>
      </c>
    </row>
    <row r="77" spans="6:278" customFormat="1">
      <c r="F77" s="17" t="str">
        <f t="shared" si="13"/>
        <v/>
      </c>
      <c r="G77" s="9"/>
      <c r="H77" s="2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22" t="e">
        <f t="shared" si="14"/>
        <v>#N/A</v>
      </c>
      <c r="X77" s="21" t="e">
        <f t="shared" si="15"/>
        <v>#N/A</v>
      </c>
      <c r="Y77" s="21" t="e">
        <f t="shared" si="16"/>
        <v>#N/A</v>
      </c>
      <c r="Z77" s="11" t="e">
        <f t="shared" si="17"/>
        <v>#N/A</v>
      </c>
      <c r="AA77" s="22" t="e">
        <f t="shared" si="18"/>
        <v>#N/A</v>
      </c>
      <c r="AB77" s="21" t="e">
        <f t="shared" si="19"/>
        <v>#N/A</v>
      </c>
      <c r="AC77" s="21" t="e">
        <f t="shared" si="20"/>
        <v>#N/A</v>
      </c>
      <c r="AD77" s="11" t="e">
        <f t="shared" si="21"/>
        <v>#N/A</v>
      </c>
      <c r="AE77" s="22" t="e">
        <f t="shared" si="22"/>
        <v>#N/A</v>
      </c>
      <c r="AF77" s="21" t="e">
        <f t="shared" si="23"/>
        <v>#N/A</v>
      </c>
      <c r="AG77" s="21" t="e">
        <f t="shared" si="24"/>
        <v>#N/A</v>
      </c>
      <c r="AH77" s="11" t="e">
        <f t="shared" si="25"/>
        <v>#N/A</v>
      </c>
      <c r="AI77">
        <v>2.5000000000000001E-2</v>
      </c>
      <c r="AJ77">
        <v>-2.5000000000000001E-2</v>
      </c>
      <c r="AK77">
        <v>1.5E-3</v>
      </c>
      <c r="AL77">
        <v>-1.5E-3</v>
      </c>
      <c r="AM77">
        <v>1.5E-3</v>
      </c>
      <c r="AN77">
        <v>-1.5E-3</v>
      </c>
      <c r="AO77" s="16">
        <v>2.5000000000000001E-2</v>
      </c>
      <c r="AP77" s="16">
        <v>-2.5000000000000001E-2</v>
      </c>
      <c r="AQ77">
        <v>1.4999999999999999E-2</v>
      </c>
      <c r="AR77">
        <v>-1.4999999999999999E-2</v>
      </c>
      <c r="AS77">
        <v>1E-3</v>
      </c>
      <c r="AT77">
        <v>-1E-3</v>
      </c>
      <c r="AU77">
        <v>1E-3</v>
      </c>
      <c r="AV77">
        <v>-1E-3</v>
      </c>
      <c r="AW77" s="16">
        <v>1.4999999999999999E-2</v>
      </c>
      <c r="AX77" s="16">
        <v>-1.4999999999999999E-2</v>
      </c>
    </row>
    <row r="78" spans="6:278" customFormat="1">
      <c r="F78" s="17" t="str">
        <f t="shared" si="13"/>
        <v/>
      </c>
      <c r="G78" s="9"/>
      <c r="H78" s="2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22" t="e">
        <f t="shared" si="14"/>
        <v>#N/A</v>
      </c>
      <c r="X78" s="21" t="e">
        <f t="shared" si="15"/>
        <v>#N/A</v>
      </c>
      <c r="Y78" s="21" t="e">
        <f t="shared" si="16"/>
        <v>#N/A</v>
      </c>
      <c r="Z78" s="11" t="e">
        <f t="shared" si="17"/>
        <v>#N/A</v>
      </c>
      <c r="AA78" s="22" t="e">
        <f t="shared" si="18"/>
        <v>#N/A</v>
      </c>
      <c r="AB78" s="21" t="e">
        <f t="shared" si="19"/>
        <v>#N/A</v>
      </c>
      <c r="AC78" s="21" t="e">
        <f t="shared" si="20"/>
        <v>#N/A</v>
      </c>
      <c r="AD78" s="11" t="e">
        <f t="shared" si="21"/>
        <v>#N/A</v>
      </c>
      <c r="AE78" s="22" t="e">
        <f t="shared" si="22"/>
        <v>#N/A</v>
      </c>
      <c r="AF78" s="21" t="e">
        <f t="shared" si="23"/>
        <v>#N/A</v>
      </c>
      <c r="AG78" s="21" t="e">
        <f t="shared" si="24"/>
        <v>#N/A</v>
      </c>
      <c r="AH78" s="11" t="e">
        <f t="shared" si="25"/>
        <v>#N/A</v>
      </c>
      <c r="AI78">
        <v>2.5000000000000001E-2</v>
      </c>
      <c r="AJ78">
        <v>-2.5000000000000001E-2</v>
      </c>
      <c r="AK78">
        <v>1.5E-3</v>
      </c>
      <c r="AL78">
        <v>-1.5E-3</v>
      </c>
      <c r="AM78">
        <v>1.5E-3</v>
      </c>
      <c r="AN78">
        <v>-1.5E-3</v>
      </c>
      <c r="AO78" s="16">
        <v>2.5000000000000001E-2</v>
      </c>
      <c r="AP78" s="16">
        <v>-2.5000000000000001E-2</v>
      </c>
      <c r="AQ78">
        <v>1.4999999999999999E-2</v>
      </c>
      <c r="AR78">
        <v>-1.4999999999999999E-2</v>
      </c>
      <c r="AS78">
        <v>1E-3</v>
      </c>
      <c r="AT78">
        <v>-1E-3</v>
      </c>
      <c r="AU78">
        <v>1E-3</v>
      </c>
      <c r="AV78">
        <v>-1E-3</v>
      </c>
      <c r="AW78" s="16">
        <v>1.4999999999999999E-2</v>
      </c>
      <c r="AX78" s="16">
        <v>-1.4999999999999999E-2</v>
      </c>
    </row>
    <row r="79" spans="6:278" customFormat="1">
      <c r="F79" s="17" t="str">
        <f t="shared" si="13"/>
        <v/>
      </c>
      <c r="G79" s="9"/>
      <c r="H79" s="2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22" t="e">
        <f t="shared" si="14"/>
        <v>#N/A</v>
      </c>
      <c r="X79" s="21" t="e">
        <f t="shared" si="15"/>
        <v>#N/A</v>
      </c>
      <c r="Y79" s="21" t="e">
        <f t="shared" si="16"/>
        <v>#N/A</v>
      </c>
      <c r="Z79" s="11" t="e">
        <f t="shared" si="17"/>
        <v>#N/A</v>
      </c>
      <c r="AA79" s="22" t="e">
        <f t="shared" si="18"/>
        <v>#N/A</v>
      </c>
      <c r="AB79" s="21" t="e">
        <f t="shared" si="19"/>
        <v>#N/A</v>
      </c>
      <c r="AC79" s="21" t="e">
        <f t="shared" si="20"/>
        <v>#N/A</v>
      </c>
      <c r="AD79" s="11" t="e">
        <f t="shared" si="21"/>
        <v>#N/A</v>
      </c>
      <c r="AE79" s="22" t="e">
        <f t="shared" si="22"/>
        <v>#N/A</v>
      </c>
      <c r="AF79" s="21" t="e">
        <f t="shared" si="23"/>
        <v>#N/A</v>
      </c>
      <c r="AG79" s="21" t="e">
        <f t="shared" si="24"/>
        <v>#N/A</v>
      </c>
      <c r="AH79" s="11" t="e">
        <f t="shared" si="25"/>
        <v>#N/A</v>
      </c>
      <c r="AI79">
        <v>2.5000000000000001E-2</v>
      </c>
      <c r="AJ79">
        <v>-2.5000000000000001E-2</v>
      </c>
      <c r="AK79">
        <v>1.5E-3</v>
      </c>
      <c r="AL79">
        <v>-1.5E-3</v>
      </c>
      <c r="AM79">
        <v>1.5E-3</v>
      </c>
      <c r="AN79">
        <v>-1.5E-3</v>
      </c>
      <c r="AO79" s="16">
        <v>2.5000000000000001E-2</v>
      </c>
      <c r="AP79" s="16">
        <v>-2.5000000000000001E-2</v>
      </c>
      <c r="AQ79">
        <v>1.4999999999999999E-2</v>
      </c>
      <c r="AR79">
        <v>-1.4999999999999999E-2</v>
      </c>
      <c r="AS79">
        <v>1E-3</v>
      </c>
      <c r="AT79">
        <v>-1E-3</v>
      </c>
      <c r="AU79">
        <v>1E-3</v>
      </c>
      <c r="AV79">
        <v>-1E-3</v>
      </c>
      <c r="AW79" s="16">
        <v>1.4999999999999999E-2</v>
      </c>
      <c r="AX79" s="16">
        <v>-1.4999999999999999E-2</v>
      </c>
    </row>
    <row r="80" spans="6:278" customFormat="1">
      <c r="F80" s="17" t="str">
        <f t="shared" si="13"/>
        <v/>
      </c>
      <c r="G80" s="9"/>
      <c r="H80" s="2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22" t="e">
        <f t="shared" si="14"/>
        <v>#N/A</v>
      </c>
      <c r="X80" s="21" t="e">
        <f t="shared" si="15"/>
        <v>#N/A</v>
      </c>
      <c r="Y80" s="21" t="e">
        <f t="shared" si="16"/>
        <v>#N/A</v>
      </c>
      <c r="Z80" s="11" t="e">
        <f t="shared" si="17"/>
        <v>#N/A</v>
      </c>
      <c r="AA80" s="22" t="e">
        <f t="shared" si="18"/>
        <v>#N/A</v>
      </c>
      <c r="AB80" s="21" t="e">
        <f t="shared" si="19"/>
        <v>#N/A</v>
      </c>
      <c r="AC80" s="21" t="e">
        <f t="shared" si="20"/>
        <v>#N/A</v>
      </c>
      <c r="AD80" s="11" t="e">
        <f t="shared" si="21"/>
        <v>#N/A</v>
      </c>
      <c r="AE80" s="22" t="e">
        <f t="shared" si="22"/>
        <v>#N/A</v>
      </c>
      <c r="AF80" s="21" t="e">
        <f t="shared" si="23"/>
        <v>#N/A</v>
      </c>
      <c r="AG80" s="21" t="e">
        <f t="shared" si="24"/>
        <v>#N/A</v>
      </c>
      <c r="AH80" s="11" t="e">
        <f t="shared" si="25"/>
        <v>#N/A</v>
      </c>
      <c r="AI80">
        <v>2.5000000000000001E-2</v>
      </c>
      <c r="AJ80">
        <v>-2.5000000000000001E-2</v>
      </c>
      <c r="AK80">
        <v>1.5E-3</v>
      </c>
      <c r="AL80">
        <v>-1.5E-3</v>
      </c>
      <c r="AM80">
        <v>1.5E-3</v>
      </c>
      <c r="AN80">
        <v>-1.5E-3</v>
      </c>
      <c r="AO80" s="16">
        <v>2.5000000000000001E-2</v>
      </c>
      <c r="AP80" s="16">
        <v>-2.5000000000000001E-2</v>
      </c>
      <c r="AQ80">
        <v>1.4999999999999999E-2</v>
      </c>
      <c r="AR80">
        <v>-1.4999999999999999E-2</v>
      </c>
      <c r="AS80">
        <v>1E-3</v>
      </c>
      <c r="AT80">
        <v>-1E-3</v>
      </c>
      <c r="AU80">
        <v>1E-3</v>
      </c>
      <c r="AV80">
        <v>-1E-3</v>
      </c>
      <c r="AW80" s="16">
        <v>1.4999999999999999E-2</v>
      </c>
      <c r="AX80" s="16">
        <v>-1.4999999999999999E-2</v>
      </c>
    </row>
    <row r="81" spans="6:50">
      <c r="F81" s="17" t="str">
        <f t="shared" si="13"/>
        <v/>
      </c>
      <c r="G81" s="9"/>
      <c r="H81" s="2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22" t="e">
        <f t="shared" si="14"/>
        <v>#N/A</v>
      </c>
      <c r="X81" s="21" t="e">
        <f t="shared" si="15"/>
        <v>#N/A</v>
      </c>
      <c r="Y81" s="21" t="e">
        <f t="shared" si="16"/>
        <v>#N/A</v>
      </c>
      <c r="Z81" s="11" t="e">
        <f t="shared" si="17"/>
        <v>#N/A</v>
      </c>
      <c r="AA81" s="22" t="e">
        <f t="shared" si="18"/>
        <v>#N/A</v>
      </c>
      <c r="AB81" s="21" t="e">
        <f t="shared" si="19"/>
        <v>#N/A</v>
      </c>
      <c r="AC81" s="21" t="e">
        <f t="shared" si="20"/>
        <v>#N/A</v>
      </c>
      <c r="AD81" s="11" t="e">
        <f t="shared" si="21"/>
        <v>#N/A</v>
      </c>
      <c r="AE81" s="22" t="e">
        <f t="shared" si="22"/>
        <v>#N/A</v>
      </c>
      <c r="AF81" s="21" t="e">
        <f t="shared" si="23"/>
        <v>#N/A</v>
      </c>
      <c r="AG81" s="21" t="e">
        <f t="shared" si="24"/>
        <v>#N/A</v>
      </c>
      <c r="AH81" s="11" t="e">
        <f t="shared" si="25"/>
        <v>#N/A</v>
      </c>
      <c r="AI81">
        <v>2.5000000000000001E-2</v>
      </c>
      <c r="AJ81">
        <v>-2.5000000000000001E-2</v>
      </c>
      <c r="AK81">
        <v>1.5E-3</v>
      </c>
      <c r="AL81">
        <v>-1.5E-3</v>
      </c>
      <c r="AM81">
        <v>1.5E-3</v>
      </c>
      <c r="AN81">
        <v>-1.5E-3</v>
      </c>
      <c r="AO81" s="16">
        <v>2.5000000000000001E-2</v>
      </c>
      <c r="AP81" s="16">
        <v>-2.5000000000000001E-2</v>
      </c>
      <c r="AQ81">
        <v>1.4999999999999999E-2</v>
      </c>
      <c r="AR81">
        <v>-1.4999999999999999E-2</v>
      </c>
      <c r="AS81">
        <v>1E-3</v>
      </c>
      <c r="AT81">
        <v>-1E-3</v>
      </c>
      <c r="AU81">
        <v>1E-3</v>
      </c>
      <c r="AV81">
        <v>-1E-3</v>
      </c>
      <c r="AW81" s="16">
        <v>1.4999999999999999E-2</v>
      </c>
      <c r="AX81" s="16">
        <v>-1.4999999999999999E-2</v>
      </c>
    </row>
    <row r="82" spans="6:50">
      <c r="F82" s="17" t="str">
        <f t="shared" si="13"/>
        <v/>
      </c>
      <c r="G82" s="9"/>
      <c r="H82" s="2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22" t="e">
        <f t="shared" si="14"/>
        <v>#N/A</v>
      </c>
      <c r="X82" s="21" t="e">
        <f t="shared" si="15"/>
        <v>#N/A</v>
      </c>
      <c r="Y82" s="21" t="e">
        <f t="shared" si="16"/>
        <v>#N/A</v>
      </c>
      <c r="Z82" s="11" t="e">
        <f t="shared" si="17"/>
        <v>#N/A</v>
      </c>
      <c r="AA82" s="22" t="e">
        <f t="shared" si="18"/>
        <v>#N/A</v>
      </c>
      <c r="AB82" s="21" t="e">
        <f t="shared" si="19"/>
        <v>#N/A</v>
      </c>
      <c r="AC82" s="21" t="e">
        <f t="shared" si="20"/>
        <v>#N/A</v>
      </c>
      <c r="AD82" s="11" t="e">
        <f t="shared" si="21"/>
        <v>#N/A</v>
      </c>
      <c r="AE82" s="22" t="e">
        <f t="shared" si="22"/>
        <v>#N/A</v>
      </c>
      <c r="AF82" s="21" t="e">
        <f t="shared" si="23"/>
        <v>#N/A</v>
      </c>
      <c r="AG82" s="21" t="e">
        <f t="shared" si="24"/>
        <v>#N/A</v>
      </c>
      <c r="AH82" s="11" t="e">
        <f t="shared" si="25"/>
        <v>#N/A</v>
      </c>
      <c r="AI82">
        <v>2.5000000000000001E-2</v>
      </c>
      <c r="AJ82">
        <v>-2.5000000000000001E-2</v>
      </c>
      <c r="AK82">
        <v>1.5E-3</v>
      </c>
      <c r="AL82">
        <v>-1.5E-3</v>
      </c>
      <c r="AM82">
        <v>1.5E-3</v>
      </c>
      <c r="AN82">
        <v>-1.5E-3</v>
      </c>
      <c r="AO82" s="16">
        <v>2.5000000000000001E-2</v>
      </c>
      <c r="AP82" s="16">
        <v>-2.5000000000000001E-2</v>
      </c>
      <c r="AQ82">
        <v>1.4999999999999999E-2</v>
      </c>
      <c r="AR82">
        <v>-1.4999999999999999E-2</v>
      </c>
      <c r="AS82">
        <v>1E-3</v>
      </c>
      <c r="AT82">
        <v>-1E-3</v>
      </c>
      <c r="AU82">
        <v>1E-3</v>
      </c>
      <c r="AV82">
        <v>-1E-3</v>
      </c>
      <c r="AW82" s="16">
        <v>1.4999999999999999E-2</v>
      </c>
      <c r="AX82" s="16">
        <v>-1.4999999999999999E-2</v>
      </c>
    </row>
    <row r="83" spans="6:50">
      <c r="F83" s="17" t="str">
        <f t="shared" si="13"/>
        <v/>
      </c>
      <c r="G83" s="9"/>
      <c r="H83" s="2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22" t="e">
        <f t="shared" si="14"/>
        <v>#N/A</v>
      </c>
      <c r="X83" s="21" t="e">
        <f t="shared" si="15"/>
        <v>#N/A</v>
      </c>
      <c r="Y83" s="21" t="e">
        <f t="shared" si="16"/>
        <v>#N/A</v>
      </c>
      <c r="Z83" s="11" t="e">
        <f t="shared" si="17"/>
        <v>#N/A</v>
      </c>
      <c r="AA83" s="22" t="e">
        <f t="shared" si="18"/>
        <v>#N/A</v>
      </c>
      <c r="AB83" s="21" t="e">
        <f t="shared" si="19"/>
        <v>#N/A</v>
      </c>
      <c r="AC83" s="21" t="e">
        <f t="shared" si="20"/>
        <v>#N/A</v>
      </c>
      <c r="AD83" s="11" t="e">
        <f t="shared" si="21"/>
        <v>#N/A</v>
      </c>
      <c r="AE83" s="22" t="e">
        <f t="shared" si="22"/>
        <v>#N/A</v>
      </c>
      <c r="AF83" s="21" t="e">
        <f t="shared" si="23"/>
        <v>#N/A</v>
      </c>
      <c r="AG83" s="21" t="e">
        <f t="shared" si="24"/>
        <v>#N/A</v>
      </c>
      <c r="AH83" s="11" t="e">
        <f t="shared" si="25"/>
        <v>#N/A</v>
      </c>
      <c r="AI83">
        <v>2.5000000000000001E-2</v>
      </c>
      <c r="AJ83">
        <v>-2.5000000000000001E-2</v>
      </c>
      <c r="AK83">
        <v>1.5E-3</v>
      </c>
      <c r="AL83">
        <v>-1.5E-3</v>
      </c>
      <c r="AM83">
        <v>1.5E-3</v>
      </c>
      <c r="AN83">
        <v>-1.5E-3</v>
      </c>
      <c r="AO83" s="16">
        <v>2.5000000000000001E-2</v>
      </c>
      <c r="AP83" s="16">
        <v>-2.5000000000000001E-2</v>
      </c>
      <c r="AQ83">
        <v>1.4999999999999999E-2</v>
      </c>
      <c r="AR83">
        <v>-1.4999999999999999E-2</v>
      </c>
      <c r="AS83">
        <v>1E-3</v>
      </c>
      <c r="AT83">
        <v>-1E-3</v>
      </c>
      <c r="AU83">
        <v>1E-3</v>
      </c>
      <c r="AV83">
        <v>-1E-3</v>
      </c>
      <c r="AW83" s="16">
        <v>1.4999999999999999E-2</v>
      </c>
      <c r="AX83" s="16">
        <v>-1.4999999999999999E-2</v>
      </c>
    </row>
    <row r="84" spans="6:50">
      <c r="F84" s="17" t="str">
        <f t="shared" si="13"/>
        <v/>
      </c>
      <c r="G84" s="9"/>
      <c r="H84" s="2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22" t="e">
        <f t="shared" si="14"/>
        <v>#N/A</v>
      </c>
      <c r="X84" s="21" t="e">
        <f t="shared" si="15"/>
        <v>#N/A</v>
      </c>
      <c r="Y84" s="21" t="e">
        <f t="shared" si="16"/>
        <v>#N/A</v>
      </c>
      <c r="Z84" s="11" t="e">
        <f t="shared" si="17"/>
        <v>#N/A</v>
      </c>
      <c r="AA84" s="22" t="e">
        <f t="shared" si="18"/>
        <v>#N/A</v>
      </c>
      <c r="AB84" s="21" t="e">
        <f t="shared" si="19"/>
        <v>#N/A</v>
      </c>
      <c r="AC84" s="21" t="e">
        <f t="shared" si="20"/>
        <v>#N/A</v>
      </c>
      <c r="AD84" s="11" t="e">
        <f t="shared" si="21"/>
        <v>#N/A</v>
      </c>
      <c r="AE84" s="22" t="e">
        <f t="shared" si="22"/>
        <v>#N/A</v>
      </c>
      <c r="AF84" s="21" t="e">
        <f t="shared" si="23"/>
        <v>#N/A</v>
      </c>
      <c r="AG84" s="21" t="e">
        <f t="shared" si="24"/>
        <v>#N/A</v>
      </c>
      <c r="AH84" s="11" t="e">
        <f t="shared" si="25"/>
        <v>#N/A</v>
      </c>
      <c r="AI84">
        <v>2.5000000000000001E-2</v>
      </c>
      <c r="AJ84">
        <v>-2.5000000000000001E-2</v>
      </c>
      <c r="AK84">
        <v>1.5E-3</v>
      </c>
      <c r="AL84">
        <v>-1.5E-3</v>
      </c>
      <c r="AM84">
        <v>1.5E-3</v>
      </c>
      <c r="AN84">
        <v>-1.5E-3</v>
      </c>
      <c r="AO84" s="16">
        <v>2.5000000000000001E-2</v>
      </c>
      <c r="AP84" s="16">
        <v>-2.5000000000000001E-2</v>
      </c>
      <c r="AQ84">
        <v>1.4999999999999999E-2</v>
      </c>
      <c r="AR84">
        <v>-1.4999999999999999E-2</v>
      </c>
      <c r="AS84">
        <v>1E-3</v>
      </c>
      <c r="AT84">
        <v>-1E-3</v>
      </c>
      <c r="AU84">
        <v>1E-3</v>
      </c>
      <c r="AV84">
        <v>-1E-3</v>
      </c>
      <c r="AW84" s="16">
        <v>1.4999999999999999E-2</v>
      </c>
      <c r="AX84" s="16">
        <v>-1.4999999999999999E-2</v>
      </c>
    </row>
    <row r="85" spans="6:50">
      <c r="F85" s="17" t="str">
        <f t="shared" si="13"/>
        <v/>
      </c>
      <c r="G85" s="9"/>
      <c r="H85" s="2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22" t="e">
        <f t="shared" si="14"/>
        <v>#N/A</v>
      </c>
      <c r="X85" s="21" t="e">
        <f t="shared" si="15"/>
        <v>#N/A</v>
      </c>
      <c r="Y85" s="21" t="e">
        <f t="shared" si="16"/>
        <v>#N/A</v>
      </c>
      <c r="Z85" s="11" t="e">
        <f t="shared" si="17"/>
        <v>#N/A</v>
      </c>
      <c r="AA85" s="22" t="e">
        <f t="shared" si="18"/>
        <v>#N/A</v>
      </c>
      <c r="AB85" s="21" t="e">
        <f t="shared" si="19"/>
        <v>#N/A</v>
      </c>
      <c r="AC85" s="21" t="e">
        <f t="shared" si="20"/>
        <v>#N/A</v>
      </c>
      <c r="AD85" s="11" t="e">
        <f t="shared" si="21"/>
        <v>#N/A</v>
      </c>
      <c r="AE85" s="22" t="e">
        <f t="shared" si="22"/>
        <v>#N/A</v>
      </c>
      <c r="AF85" s="21" t="e">
        <f t="shared" si="23"/>
        <v>#N/A</v>
      </c>
      <c r="AG85" s="21" t="e">
        <f t="shared" si="24"/>
        <v>#N/A</v>
      </c>
      <c r="AH85" s="11" t="e">
        <f t="shared" si="25"/>
        <v>#N/A</v>
      </c>
      <c r="AI85">
        <v>2.5000000000000001E-2</v>
      </c>
      <c r="AJ85">
        <v>-2.5000000000000001E-2</v>
      </c>
      <c r="AK85">
        <v>1.5E-3</v>
      </c>
      <c r="AL85">
        <v>-1.5E-3</v>
      </c>
      <c r="AM85">
        <v>1.5E-3</v>
      </c>
      <c r="AN85">
        <v>-1.5E-3</v>
      </c>
      <c r="AO85" s="16">
        <v>2.5000000000000001E-2</v>
      </c>
      <c r="AP85" s="16">
        <v>-2.5000000000000001E-2</v>
      </c>
      <c r="AQ85">
        <v>1.4999999999999999E-2</v>
      </c>
      <c r="AR85">
        <v>-1.4999999999999999E-2</v>
      </c>
      <c r="AS85">
        <v>1E-3</v>
      </c>
      <c r="AT85">
        <v>-1E-3</v>
      </c>
      <c r="AU85">
        <v>1E-3</v>
      </c>
      <c r="AV85">
        <v>-1E-3</v>
      </c>
      <c r="AW85" s="16">
        <v>1.4999999999999999E-2</v>
      </c>
      <c r="AX85" s="16">
        <v>-1.4999999999999999E-2</v>
      </c>
    </row>
    <row r="86" spans="6:50">
      <c r="F86" s="17" t="str">
        <f t="shared" si="13"/>
        <v/>
      </c>
      <c r="G86" s="9"/>
      <c r="H86" s="2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22" t="e">
        <f t="shared" si="14"/>
        <v>#N/A</v>
      </c>
      <c r="X86" s="21" t="e">
        <f t="shared" si="15"/>
        <v>#N/A</v>
      </c>
      <c r="Y86" s="21" t="e">
        <f t="shared" si="16"/>
        <v>#N/A</v>
      </c>
      <c r="Z86" s="11" t="e">
        <f t="shared" si="17"/>
        <v>#N/A</v>
      </c>
      <c r="AA86" s="22" t="e">
        <f t="shared" si="18"/>
        <v>#N/A</v>
      </c>
      <c r="AB86" s="21" t="e">
        <f t="shared" si="19"/>
        <v>#N/A</v>
      </c>
      <c r="AC86" s="21" t="e">
        <f t="shared" si="20"/>
        <v>#N/A</v>
      </c>
      <c r="AD86" s="11" t="e">
        <f t="shared" si="21"/>
        <v>#N/A</v>
      </c>
      <c r="AE86" s="22" t="e">
        <f t="shared" si="22"/>
        <v>#N/A</v>
      </c>
      <c r="AF86" s="21" t="e">
        <f t="shared" si="23"/>
        <v>#N/A</v>
      </c>
      <c r="AG86" s="21" t="e">
        <f t="shared" si="24"/>
        <v>#N/A</v>
      </c>
      <c r="AH86" s="11" t="e">
        <f t="shared" si="25"/>
        <v>#N/A</v>
      </c>
      <c r="AI86">
        <v>2.5000000000000001E-2</v>
      </c>
      <c r="AJ86">
        <v>-2.5000000000000001E-2</v>
      </c>
      <c r="AK86">
        <v>1.5E-3</v>
      </c>
      <c r="AL86">
        <v>-1.5E-3</v>
      </c>
      <c r="AM86">
        <v>1.5E-3</v>
      </c>
      <c r="AN86">
        <v>-1.5E-3</v>
      </c>
      <c r="AO86" s="16">
        <v>2.5000000000000001E-2</v>
      </c>
      <c r="AP86" s="16">
        <v>-2.5000000000000001E-2</v>
      </c>
      <c r="AQ86">
        <v>1.4999999999999999E-2</v>
      </c>
      <c r="AR86">
        <v>-1.4999999999999999E-2</v>
      </c>
      <c r="AS86">
        <v>1E-3</v>
      </c>
      <c r="AT86">
        <v>-1E-3</v>
      </c>
      <c r="AU86">
        <v>1E-3</v>
      </c>
      <c r="AV86">
        <v>-1E-3</v>
      </c>
      <c r="AW86" s="16">
        <v>1.4999999999999999E-2</v>
      </c>
      <c r="AX86" s="16">
        <v>-1.4999999999999999E-2</v>
      </c>
    </row>
    <row r="87" spans="6:50">
      <c r="F87" s="17" t="str">
        <f t="shared" si="13"/>
        <v/>
      </c>
      <c r="G87" s="9"/>
      <c r="H87" s="2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22" t="e">
        <f t="shared" si="14"/>
        <v>#N/A</v>
      </c>
      <c r="X87" s="21" t="e">
        <f t="shared" si="15"/>
        <v>#N/A</v>
      </c>
      <c r="Y87" s="21" t="e">
        <f t="shared" si="16"/>
        <v>#N/A</v>
      </c>
      <c r="Z87" s="11" t="e">
        <f t="shared" si="17"/>
        <v>#N/A</v>
      </c>
      <c r="AA87" s="22" t="e">
        <f t="shared" si="18"/>
        <v>#N/A</v>
      </c>
      <c r="AB87" s="21" t="e">
        <f t="shared" si="19"/>
        <v>#N/A</v>
      </c>
      <c r="AC87" s="21" t="e">
        <f t="shared" si="20"/>
        <v>#N/A</v>
      </c>
      <c r="AD87" s="11" t="e">
        <f t="shared" si="21"/>
        <v>#N/A</v>
      </c>
      <c r="AE87" s="22" t="e">
        <f t="shared" si="22"/>
        <v>#N/A</v>
      </c>
      <c r="AF87" s="21" t="e">
        <f t="shared" si="23"/>
        <v>#N/A</v>
      </c>
      <c r="AG87" s="21" t="e">
        <f t="shared" si="24"/>
        <v>#N/A</v>
      </c>
      <c r="AH87" s="11" t="e">
        <f t="shared" si="25"/>
        <v>#N/A</v>
      </c>
      <c r="AI87">
        <v>2.5000000000000001E-2</v>
      </c>
      <c r="AJ87">
        <v>-2.5000000000000001E-2</v>
      </c>
      <c r="AK87">
        <v>1.5E-3</v>
      </c>
      <c r="AL87">
        <v>-1.5E-3</v>
      </c>
      <c r="AM87">
        <v>1.5E-3</v>
      </c>
      <c r="AN87">
        <v>-1.5E-3</v>
      </c>
      <c r="AO87" s="16">
        <v>2.5000000000000001E-2</v>
      </c>
      <c r="AP87" s="16">
        <v>-2.5000000000000001E-2</v>
      </c>
      <c r="AQ87">
        <v>1.4999999999999999E-2</v>
      </c>
      <c r="AR87">
        <v>-1.4999999999999999E-2</v>
      </c>
      <c r="AS87">
        <v>1E-3</v>
      </c>
      <c r="AT87">
        <v>-1E-3</v>
      </c>
      <c r="AU87">
        <v>1E-3</v>
      </c>
      <c r="AV87">
        <v>-1E-3</v>
      </c>
      <c r="AW87" s="16">
        <v>1.4999999999999999E-2</v>
      </c>
      <c r="AX87" s="16">
        <v>-1.4999999999999999E-2</v>
      </c>
    </row>
    <row r="88" spans="6:50">
      <c r="F88" s="17" t="str">
        <f t="shared" si="13"/>
        <v/>
      </c>
      <c r="G88" s="4"/>
      <c r="H88" s="2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22" t="e">
        <f t="shared" si="14"/>
        <v>#N/A</v>
      </c>
      <c r="X88" s="21" t="e">
        <f t="shared" si="15"/>
        <v>#N/A</v>
      </c>
      <c r="Y88" s="21" t="e">
        <f t="shared" si="16"/>
        <v>#N/A</v>
      </c>
      <c r="Z88" s="11" t="e">
        <f t="shared" si="17"/>
        <v>#N/A</v>
      </c>
      <c r="AA88" s="22" t="e">
        <f t="shared" si="18"/>
        <v>#N/A</v>
      </c>
      <c r="AB88" s="21" t="e">
        <f t="shared" si="19"/>
        <v>#N/A</v>
      </c>
      <c r="AC88" s="21" t="e">
        <f t="shared" si="20"/>
        <v>#N/A</v>
      </c>
      <c r="AD88" s="11" t="e">
        <f t="shared" si="21"/>
        <v>#N/A</v>
      </c>
      <c r="AE88" s="22" t="e">
        <f t="shared" si="22"/>
        <v>#N/A</v>
      </c>
      <c r="AF88" s="21" t="e">
        <f t="shared" si="23"/>
        <v>#N/A</v>
      </c>
      <c r="AG88" s="21" t="e">
        <f t="shared" si="24"/>
        <v>#N/A</v>
      </c>
      <c r="AH88" s="11" t="e">
        <f t="shared" si="25"/>
        <v>#N/A</v>
      </c>
      <c r="AI88">
        <v>2.5000000000000001E-2</v>
      </c>
      <c r="AJ88">
        <v>-2.5000000000000001E-2</v>
      </c>
      <c r="AK88">
        <v>1.5E-3</v>
      </c>
      <c r="AL88">
        <v>-1.5E-3</v>
      </c>
      <c r="AM88">
        <v>1.5E-3</v>
      </c>
      <c r="AN88">
        <v>-1.5E-3</v>
      </c>
      <c r="AO88" s="16">
        <v>2.5000000000000001E-2</v>
      </c>
      <c r="AP88" s="16">
        <v>-2.5000000000000001E-2</v>
      </c>
      <c r="AQ88">
        <v>1.4999999999999999E-2</v>
      </c>
      <c r="AR88">
        <v>-1.4999999999999999E-2</v>
      </c>
      <c r="AS88">
        <v>1E-3</v>
      </c>
      <c r="AT88">
        <v>-1E-3</v>
      </c>
      <c r="AU88">
        <v>1E-3</v>
      </c>
      <c r="AV88">
        <v>-1E-3</v>
      </c>
      <c r="AW88" s="16">
        <v>1.4999999999999999E-2</v>
      </c>
      <c r="AX88" s="16">
        <v>-1.4999999999999999E-2</v>
      </c>
    </row>
    <row r="89" spans="6:50">
      <c r="F89" s="17" t="str">
        <f t="shared" si="13"/>
        <v/>
      </c>
      <c r="G89" s="4"/>
      <c r="H89" s="2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22" t="e">
        <f t="shared" si="14"/>
        <v>#N/A</v>
      </c>
      <c r="X89" s="21" t="e">
        <f t="shared" si="15"/>
        <v>#N/A</v>
      </c>
      <c r="Y89" s="21" t="e">
        <f t="shared" si="16"/>
        <v>#N/A</v>
      </c>
      <c r="Z89" s="11" t="e">
        <f t="shared" si="17"/>
        <v>#N/A</v>
      </c>
      <c r="AA89" s="22" t="e">
        <f t="shared" si="18"/>
        <v>#N/A</v>
      </c>
      <c r="AB89" s="21" t="e">
        <f t="shared" si="19"/>
        <v>#N/A</v>
      </c>
      <c r="AC89" s="21" t="e">
        <f t="shared" si="20"/>
        <v>#N/A</v>
      </c>
      <c r="AD89" s="11" t="e">
        <f t="shared" si="21"/>
        <v>#N/A</v>
      </c>
      <c r="AE89" s="22" t="e">
        <f t="shared" si="22"/>
        <v>#N/A</v>
      </c>
      <c r="AF89" s="21" t="e">
        <f t="shared" si="23"/>
        <v>#N/A</v>
      </c>
      <c r="AG89" s="21" t="e">
        <f t="shared" si="24"/>
        <v>#N/A</v>
      </c>
      <c r="AH89" s="11" t="e">
        <f t="shared" si="25"/>
        <v>#N/A</v>
      </c>
      <c r="AI89">
        <v>2.5000000000000001E-2</v>
      </c>
      <c r="AJ89">
        <v>-2.5000000000000001E-2</v>
      </c>
      <c r="AK89">
        <v>1.5E-3</v>
      </c>
      <c r="AL89">
        <v>-1.5E-3</v>
      </c>
      <c r="AM89">
        <v>1.5E-3</v>
      </c>
      <c r="AN89">
        <v>-1.5E-3</v>
      </c>
      <c r="AO89" s="16">
        <v>2.5000000000000001E-2</v>
      </c>
      <c r="AP89" s="16">
        <v>-2.5000000000000001E-2</v>
      </c>
      <c r="AQ89">
        <v>1.4999999999999999E-2</v>
      </c>
      <c r="AR89">
        <v>-1.4999999999999999E-2</v>
      </c>
      <c r="AS89">
        <v>1E-3</v>
      </c>
      <c r="AT89">
        <v>-1E-3</v>
      </c>
      <c r="AU89">
        <v>1E-3</v>
      </c>
      <c r="AV89">
        <v>-1E-3</v>
      </c>
      <c r="AW89" s="16">
        <v>1.4999999999999999E-2</v>
      </c>
      <c r="AX89" s="16">
        <v>-1.4999999999999999E-2</v>
      </c>
    </row>
    <row r="90" spans="6:50">
      <c r="F90" s="17" t="str">
        <f t="shared" si="13"/>
        <v/>
      </c>
      <c r="G90" s="4"/>
      <c r="H90" s="2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22" t="e">
        <f t="shared" si="14"/>
        <v>#N/A</v>
      </c>
      <c r="X90" s="21" t="e">
        <f t="shared" si="15"/>
        <v>#N/A</v>
      </c>
      <c r="Y90" s="21" t="e">
        <f t="shared" si="16"/>
        <v>#N/A</v>
      </c>
      <c r="Z90" s="11" t="e">
        <f t="shared" si="17"/>
        <v>#N/A</v>
      </c>
      <c r="AA90" s="22" t="e">
        <f t="shared" si="18"/>
        <v>#N/A</v>
      </c>
      <c r="AB90" s="21" t="e">
        <f t="shared" si="19"/>
        <v>#N/A</v>
      </c>
      <c r="AC90" s="21" t="e">
        <f t="shared" si="20"/>
        <v>#N/A</v>
      </c>
      <c r="AD90" s="11" t="e">
        <f t="shared" si="21"/>
        <v>#N/A</v>
      </c>
      <c r="AE90" s="22" t="e">
        <f t="shared" si="22"/>
        <v>#N/A</v>
      </c>
      <c r="AF90" s="21" t="e">
        <f t="shared" si="23"/>
        <v>#N/A</v>
      </c>
      <c r="AG90" s="21" t="e">
        <f t="shared" si="24"/>
        <v>#N/A</v>
      </c>
      <c r="AH90" s="11" t="e">
        <f t="shared" si="25"/>
        <v>#N/A</v>
      </c>
      <c r="AI90">
        <v>2.5000000000000001E-2</v>
      </c>
      <c r="AJ90">
        <v>-2.5000000000000001E-2</v>
      </c>
      <c r="AK90">
        <v>1.5E-3</v>
      </c>
      <c r="AL90">
        <v>-1.5E-3</v>
      </c>
      <c r="AM90">
        <v>1.5E-3</v>
      </c>
      <c r="AN90">
        <v>-1.5E-3</v>
      </c>
      <c r="AO90" s="16">
        <v>2.5000000000000001E-2</v>
      </c>
      <c r="AP90" s="16">
        <v>-2.5000000000000001E-2</v>
      </c>
      <c r="AQ90">
        <v>1.4999999999999999E-2</v>
      </c>
      <c r="AR90">
        <v>-1.4999999999999999E-2</v>
      </c>
      <c r="AS90">
        <v>1E-3</v>
      </c>
      <c r="AT90">
        <v>-1E-3</v>
      </c>
      <c r="AU90">
        <v>1E-3</v>
      </c>
      <c r="AV90">
        <v>-1E-3</v>
      </c>
      <c r="AW90" s="16">
        <v>1.4999999999999999E-2</v>
      </c>
      <c r="AX90" s="16">
        <v>-1.4999999999999999E-2</v>
      </c>
    </row>
    <row r="91" spans="6:50">
      <c r="F91" s="17" t="str">
        <f t="shared" si="13"/>
        <v/>
      </c>
      <c r="G91" s="4"/>
      <c r="H91" s="2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22" t="e">
        <f t="shared" si="14"/>
        <v>#N/A</v>
      </c>
      <c r="X91" s="21" t="e">
        <f t="shared" si="15"/>
        <v>#N/A</v>
      </c>
      <c r="Y91" s="21" t="e">
        <f t="shared" si="16"/>
        <v>#N/A</v>
      </c>
      <c r="Z91" s="11" t="e">
        <f t="shared" si="17"/>
        <v>#N/A</v>
      </c>
      <c r="AA91" s="22" t="e">
        <f t="shared" si="18"/>
        <v>#N/A</v>
      </c>
      <c r="AB91" s="21" t="e">
        <f t="shared" si="19"/>
        <v>#N/A</v>
      </c>
      <c r="AC91" s="21" t="e">
        <f t="shared" si="20"/>
        <v>#N/A</v>
      </c>
      <c r="AD91" s="11" t="e">
        <f t="shared" si="21"/>
        <v>#N/A</v>
      </c>
      <c r="AE91" s="22" t="e">
        <f t="shared" si="22"/>
        <v>#N/A</v>
      </c>
      <c r="AF91" s="21" t="e">
        <f t="shared" si="23"/>
        <v>#N/A</v>
      </c>
      <c r="AG91" s="21" t="e">
        <f t="shared" si="24"/>
        <v>#N/A</v>
      </c>
      <c r="AH91" s="11" t="e">
        <f t="shared" si="25"/>
        <v>#N/A</v>
      </c>
      <c r="AI91">
        <v>2.5000000000000001E-2</v>
      </c>
      <c r="AJ91">
        <v>-2.5000000000000001E-2</v>
      </c>
      <c r="AK91">
        <v>1.5E-3</v>
      </c>
      <c r="AL91">
        <v>-1.5E-3</v>
      </c>
      <c r="AM91">
        <v>1.5E-3</v>
      </c>
      <c r="AN91">
        <v>-1.5E-3</v>
      </c>
      <c r="AO91" s="16">
        <v>2.5000000000000001E-2</v>
      </c>
      <c r="AP91" s="16">
        <v>-2.5000000000000001E-2</v>
      </c>
      <c r="AQ91">
        <v>1.4999999999999999E-2</v>
      </c>
      <c r="AR91">
        <v>-1.4999999999999999E-2</v>
      </c>
      <c r="AS91">
        <v>1E-3</v>
      </c>
      <c r="AT91">
        <v>-1E-3</v>
      </c>
      <c r="AU91">
        <v>1E-3</v>
      </c>
      <c r="AV91">
        <v>-1E-3</v>
      </c>
      <c r="AW91" s="16">
        <v>1.4999999999999999E-2</v>
      </c>
      <c r="AX91" s="16">
        <v>-1.4999999999999999E-2</v>
      </c>
    </row>
    <row r="92" spans="6:50">
      <c r="F92" s="17" t="str">
        <f t="shared" si="13"/>
        <v/>
      </c>
      <c r="G92" s="4"/>
      <c r="H92" s="2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22" t="e">
        <f t="shared" si="14"/>
        <v>#N/A</v>
      </c>
      <c r="X92" s="21" t="e">
        <f t="shared" si="15"/>
        <v>#N/A</v>
      </c>
      <c r="Y92" s="21" t="e">
        <f t="shared" si="16"/>
        <v>#N/A</v>
      </c>
      <c r="Z92" s="11" t="e">
        <f t="shared" si="17"/>
        <v>#N/A</v>
      </c>
      <c r="AA92" s="22" t="e">
        <f t="shared" si="18"/>
        <v>#N/A</v>
      </c>
      <c r="AB92" s="21" t="e">
        <f t="shared" si="19"/>
        <v>#N/A</v>
      </c>
      <c r="AC92" s="21" t="e">
        <f t="shared" si="20"/>
        <v>#N/A</v>
      </c>
      <c r="AD92" s="11" t="e">
        <f t="shared" si="21"/>
        <v>#N/A</v>
      </c>
      <c r="AE92" s="22" t="e">
        <f t="shared" si="22"/>
        <v>#N/A</v>
      </c>
      <c r="AF92" s="21" t="e">
        <f t="shared" si="23"/>
        <v>#N/A</v>
      </c>
      <c r="AG92" s="21" t="e">
        <f t="shared" si="24"/>
        <v>#N/A</v>
      </c>
      <c r="AH92" s="11" t="e">
        <f t="shared" si="25"/>
        <v>#N/A</v>
      </c>
      <c r="AI92">
        <v>2.5000000000000001E-2</v>
      </c>
      <c r="AJ92">
        <v>-2.5000000000000001E-2</v>
      </c>
      <c r="AK92">
        <v>1.5E-3</v>
      </c>
      <c r="AL92">
        <v>-1.5E-3</v>
      </c>
      <c r="AM92">
        <v>1.5E-3</v>
      </c>
      <c r="AN92">
        <v>-1.5E-3</v>
      </c>
      <c r="AO92" s="16">
        <v>2.5000000000000001E-2</v>
      </c>
      <c r="AP92" s="16">
        <v>-2.5000000000000001E-2</v>
      </c>
      <c r="AQ92">
        <v>1.4999999999999999E-2</v>
      </c>
      <c r="AR92">
        <v>-1.4999999999999999E-2</v>
      </c>
      <c r="AS92">
        <v>1E-3</v>
      </c>
      <c r="AT92">
        <v>-1E-3</v>
      </c>
      <c r="AU92">
        <v>1E-3</v>
      </c>
      <c r="AV92">
        <v>-1E-3</v>
      </c>
      <c r="AW92" s="16">
        <v>1.4999999999999999E-2</v>
      </c>
      <c r="AX92" s="16">
        <v>-1.4999999999999999E-2</v>
      </c>
    </row>
    <row r="93" spans="6:50">
      <c r="F93" s="17" t="str">
        <f t="shared" si="13"/>
        <v/>
      </c>
      <c r="G93" s="4"/>
      <c r="H93" s="2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22" t="e">
        <f t="shared" si="14"/>
        <v>#N/A</v>
      </c>
      <c r="X93" s="21" t="e">
        <f t="shared" si="15"/>
        <v>#N/A</v>
      </c>
      <c r="Y93" s="21" t="e">
        <f t="shared" si="16"/>
        <v>#N/A</v>
      </c>
      <c r="Z93" s="11" t="e">
        <f t="shared" si="17"/>
        <v>#N/A</v>
      </c>
      <c r="AA93" s="22" t="e">
        <f t="shared" si="18"/>
        <v>#N/A</v>
      </c>
      <c r="AB93" s="21" t="e">
        <f t="shared" si="19"/>
        <v>#N/A</v>
      </c>
      <c r="AC93" s="21" t="e">
        <f t="shared" si="20"/>
        <v>#N/A</v>
      </c>
      <c r="AD93" s="11" t="e">
        <f t="shared" si="21"/>
        <v>#N/A</v>
      </c>
      <c r="AE93" s="22" t="e">
        <f t="shared" si="22"/>
        <v>#N/A</v>
      </c>
      <c r="AF93" s="21" t="e">
        <f t="shared" si="23"/>
        <v>#N/A</v>
      </c>
      <c r="AG93" s="21" t="e">
        <f t="shared" si="24"/>
        <v>#N/A</v>
      </c>
      <c r="AH93" s="11" t="e">
        <f t="shared" si="25"/>
        <v>#N/A</v>
      </c>
      <c r="AI93">
        <v>2.5000000000000001E-2</v>
      </c>
      <c r="AJ93">
        <v>-2.5000000000000001E-2</v>
      </c>
      <c r="AK93">
        <v>1.5E-3</v>
      </c>
      <c r="AL93">
        <v>-1.5E-3</v>
      </c>
      <c r="AM93">
        <v>1.5E-3</v>
      </c>
      <c r="AN93">
        <v>-1.5E-3</v>
      </c>
      <c r="AO93" s="16">
        <v>2.5000000000000001E-2</v>
      </c>
      <c r="AP93" s="16">
        <v>-2.5000000000000001E-2</v>
      </c>
      <c r="AQ93">
        <v>1.4999999999999999E-2</v>
      </c>
      <c r="AR93">
        <v>-1.4999999999999999E-2</v>
      </c>
      <c r="AS93">
        <v>1E-3</v>
      </c>
      <c r="AT93">
        <v>-1E-3</v>
      </c>
      <c r="AU93">
        <v>1E-3</v>
      </c>
      <c r="AV93">
        <v>-1E-3</v>
      </c>
      <c r="AW93" s="16">
        <v>1.4999999999999999E-2</v>
      </c>
      <c r="AX93" s="16">
        <v>-1.4999999999999999E-2</v>
      </c>
    </row>
    <row r="94" spans="6:50">
      <c r="F94" s="17" t="str">
        <f t="shared" si="13"/>
        <v/>
      </c>
      <c r="G94" s="4"/>
      <c r="H94" s="2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22" t="e">
        <f t="shared" si="14"/>
        <v>#N/A</v>
      </c>
      <c r="X94" s="21" t="e">
        <f t="shared" si="15"/>
        <v>#N/A</v>
      </c>
      <c r="Y94" s="21" t="e">
        <f t="shared" si="16"/>
        <v>#N/A</v>
      </c>
      <c r="Z94" s="11" t="e">
        <f t="shared" si="17"/>
        <v>#N/A</v>
      </c>
      <c r="AA94" s="22" t="e">
        <f t="shared" si="18"/>
        <v>#N/A</v>
      </c>
      <c r="AB94" s="21" t="e">
        <f t="shared" si="19"/>
        <v>#N/A</v>
      </c>
      <c r="AC94" s="21" t="e">
        <f t="shared" si="20"/>
        <v>#N/A</v>
      </c>
      <c r="AD94" s="11" t="e">
        <f t="shared" si="21"/>
        <v>#N/A</v>
      </c>
      <c r="AE94" s="22" t="e">
        <f t="shared" si="22"/>
        <v>#N/A</v>
      </c>
      <c r="AF94" s="21" t="e">
        <f t="shared" si="23"/>
        <v>#N/A</v>
      </c>
      <c r="AG94" s="21" t="e">
        <f t="shared" si="24"/>
        <v>#N/A</v>
      </c>
      <c r="AH94" s="11" t="e">
        <f t="shared" si="25"/>
        <v>#N/A</v>
      </c>
      <c r="AI94">
        <v>2.5000000000000001E-2</v>
      </c>
      <c r="AJ94">
        <v>-2.5000000000000001E-2</v>
      </c>
      <c r="AK94">
        <v>1.5E-3</v>
      </c>
      <c r="AL94">
        <v>-1.5E-3</v>
      </c>
      <c r="AM94">
        <v>1.5E-3</v>
      </c>
      <c r="AN94">
        <v>-1.5E-3</v>
      </c>
      <c r="AO94" s="16">
        <v>2.5000000000000001E-2</v>
      </c>
      <c r="AP94" s="16">
        <v>-2.5000000000000001E-2</v>
      </c>
      <c r="AQ94">
        <v>1.4999999999999999E-2</v>
      </c>
      <c r="AR94">
        <v>-1.4999999999999999E-2</v>
      </c>
      <c r="AS94">
        <v>1E-3</v>
      </c>
      <c r="AT94">
        <v>-1E-3</v>
      </c>
      <c r="AU94">
        <v>1E-3</v>
      </c>
      <c r="AV94">
        <v>-1E-3</v>
      </c>
      <c r="AW94" s="16">
        <v>1.4999999999999999E-2</v>
      </c>
      <c r="AX94" s="16">
        <v>-1.4999999999999999E-2</v>
      </c>
    </row>
    <row r="95" spans="6:50">
      <c r="F95" s="17" t="str">
        <f t="shared" si="13"/>
        <v/>
      </c>
      <c r="G95" s="4"/>
      <c r="H95" s="2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22" t="e">
        <f t="shared" si="14"/>
        <v>#N/A</v>
      </c>
      <c r="X95" s="21" t="e">
        <f t="shared" si="15"/>
        <v>#N/A</v>
      </c>
      <c r="Y95" s="21" t="e">
        <f t="shared" si="16"/>
        <v>#N/A</v>
      </c>
      <c r="Z95" s="11" t="e">
        <f t="shared" si="17"/>
        <v>#N/A</v>
      </c>
      <c r="AA95" s="22" t="e">
        <f t="shared" si="18"/>
        <v>#N/A</v>
      </c>
      <c r="AB95" s="21" t="e">
        <f t="shared" si="19"/>
        <v>#N/A</v>
      </c>
      <c r="AC95" s="21" t="e">
        <f t="shared" si="20"/>
        <v>#N/A</v>
      </c>
      <c r="AD95" s="11" t="e">
        <f t="shared" si="21"/>
        <v>#N/A</v>
      </c>
      <c r="AE95" s="22" t="e">
        <f t="shared" si="22"/>
        <v>#N/A</v>
      </c>
      <c r="AF95" s="21" t="e">
        <f t="shared" si="23"/>
        <v>#N/A</v>
      </c>
      <c r="AG95" s="21" t="e">
        <f t="shared" si="24"/>
        <v>#N/A</v>
      </c>
      <c r="AH95" s="11" t="e">
        <f t="shared" si="25"/>
        <v>#N/A</v>
      </c>
      <c r="AI95">
        <v>2.5000000000000001E-2</v>
      </c>
      <c r="AJ95">
        <v>-2.5000000000000001E-2</v>
      </c>
      <c r="AK95">
        <v>1.5E-3</v>
      </c>
      <c r="AL95">
        <v>-1.5E-3</v>
      </c>
      <c r="AM95">
        <v>1.5E-3</v>
      </c>
      <c r="AN95">
        <v>-1.5E-3</v>
      </c>
      <c r="AO95" s="16">
        <v>2.5000000000000001E-2</v>
      </c>
      <c r="AP95" s="16">
        <v>-2.5000000000000001E-2</v>
      </c>
      <c r="AQ95">
        <v>1.4999999999999999E-2</v>
      </c>
      <c r="AR95">
        <v>-1.4999999999999999E-2</v>
      </c>
      <c r="AS95">
        <v>1E-3</v>
      </c>
      <c r="AT95">
        <v>-1E-3</v>
      </c>
      <c r="AU95">
        <v>1E-3</v>
      </c>
      <c r="AV95">
        <v>-1E-3</v>
      </c>
      <c r="AW95" s="16">
        <v>1.4999999999999999E-2</v>
      </c>
      <c r="AX95" s="16">
        <v>-1.4999999999999999E-2</v>
      </c>
    </row>
    <row r="96" spans="6:50">
      <c r="F96" s="17" t="str">
        <f t="shared" si="13"/>
        <v/>
      </c>
      <c r="G96" s="4"/>
      <c r="H96" s="2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22" t="e">
        <f t="shared" si="14"/>
        <v>#N/A</v>
      </c>
      <c r="X96" s="21" t="e">
        <f t="shared" si="15"/>
        <v>#N/A</v>
      </c>
      <c r="Y96" s="21" t="e">
        <f t="shared" si="16"/>
        <v>#N/A</v>
      </c>
      <c r="Z96" s="11" t="e">
        <f t="shared" si="17"/>
        <v>#N/A</v>
      </c>
      <c r="AA96" s="22" t="e">
        <f t="shared" si="18"/>
        <v>#N/A</v>
      </c>
      <c r="AB96" s="21" t="e">
        <f t="shared" si="19"/>
        <v>#N/A</v>
      </c>
      <c r="AC96" s="21" t="e">
        <f t="shared" si="20"/>
        <v>#N/A</v>
      </c>
      <c r="AD96" s="11" t="e">
        <f t="shared" si="21"/>
        <v>#N/A</v>
      </c>
      <c r="AE96" s="22" t="e">
        <f t="shared" si="22"/>
        <v>#N/A</v>
      </c>
      <c r="AF96" s="21" t="e">
        <f t="shared" si="23"/>
        <v>#N/A</v>
      </c>
      <c r="AG96" s="21" t="e">
        <f t="shared" si="24"/>
        <v>#N/A</v>
      </c>
      <c r="AH96" s="11" t="e">
        <f t="shared" si="25"/>
        <v>#N/A</v>
      </c>
      <c r="AI96">
        <v>2.5000000000000001E-2</v>
      </c>
      <c r="AJ96">
        <v>-2.5000000000000001E-2</v>
      </c>
      <c r="AK96">
        <v>1.5E-3</v>
      </c>
      <c r="AL96">
        <v>-1.5E-3</v>
      </c>
      <c r="AM96">
        <v>1.5E-3</v>
      </c>
      <c r="AN96">
        <v>-1.5E-3</v>
      </c>
      <c r="AO96" s="16">
        <v>2.5000000000000001E-2</v>
      </c>
      <c r="AP96" s="16">
        <v>-2.5000000000000001E-2</v>
      </c>
      <c r="AQ96">
        <v>1.4999999999999999E-2</v>
      </c>
      <c r="AR96">
        <v>-1.4999999999999999E-2</v>
      </c>
      <c r="AS96">
        <v>1E-3</v>
      </c>
      <c r="AT96">
        <v>-1E-3</v>
      </c>
      <c r="AU96">
        <v>1E-3</v>
      </c>
      <c r="AV96">
        <v>-1E-3</v>
      </c>
      <c r="AW96" s="16">
        <v>1.4999999999999999E-2</v>
      </c>
      <c r="AX96" s="16">
        <v>-1.4999999999999999E-2</v>
      </c>
    </row>
    <row r="97" spans="6:50">
      <c r="F97" s="17" t="str">
        <f t="shared" si="13"/>
        <v/>
      </c>
      <c r="G97" s="4"/>
      <c r="H97" s="2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22" t="e">
        <f t="shared" si="14"/>
        <v>#N/A</v>
      </c>
      <c r="X97" s="21" t="e">
        <f t="shared" si="15"/>
        <v>#N/A</v>
      </c>
      <c r="Y97" s="21" t="e">
        <f t="shared" si="16"/>
        <v>#N/A</v>
      </c>
      <c r="Z97" s="11" t="e">
        <f t="shared" si="17"/>
        <v>#N/A</v>
      </c>
      <c r="AA97" s="22" t="e">
        <f t="shared" si="18"/>
        <v>#N/A</v>
      </c>
      <c r="AB97" s="21" t="e">
        <f t="shared" si="19"/>
        <v>#N/A</v>
      </c>
      <c r="AC97" s="21" t="e">
        <f t="shared" si="20"/>
        <v>#N/A</v>
      </c>
      <c r="AD97" s="11" t="e">
        <f t="shared" si="21"/>
        <v>#N/A</v>
      </c>
      <c r="AE97" s="22" t="e">
        <f t="shared" si="22"/>
        <v>#N/A</v>
      </c>
      <c r="AF97" s="21" t="e">
        <f t="shared" si="23"/>
        <v>#N/A</v>
      </c>
      <c r="AG97" s="21" t="e">
        <f t="shared" si="24"/>
        <v>#N/A</v>
      </c>
      <c r="AH97" s="11" t="e">
        <f t="shared" si="25"/>
        <v>#N/A</v>
      </c>
      <c r="AI97">
        <v>2.5000000000000001E-2</v>
      </c>
      <c r="AJ97">
        <v>-2.5000000000000001E-2</v>
      </c>
      <c r="AK97">
        <v>1.5E-3</v>
      </c>
      <c r="AL97">
        <v>-1.5E-3</v>
      </c>
      <c r="AM97">
        <v>1.5E-3</v>
      </c>
      <c r="AN97">
        <v>-1.5E-3</v>
      </c>
      <c r="AO97" s="16">
        <v>2.5000000000000001E-2</v>
      </c>
      <c r="AP97" s="16">
        <v>-2.5000000000000001E-2</v>
      </c>
      <c r="AQ97">
        <v>1.4999999999999999E-2</v>
      </c>
      <c r="AR97">
        <v>-1.4999999999999999E-2</v>
      </c>
      <c r="AS97">
        <v>1E-3</v>
      </c>
      <c r="AT97">
        <v>-1E-3</v>
      </c>
      <c r="AU97">
        <v>1E-3</v>
      </c>
      <c r="AV97">
        <v>-1E-3</v>
      </c>
      <c r="AW97" s="16">
        <v>1.4999999999999999E-2</v>
      </c>
      <c r="AX97" s="16">
        <v>-1.4999999999999999E-2</v>
      </c>
    </row>
    <row r="98" spans="6:50">
      <c r="F98" s="17" t="str">
        <f t="shared" si="13"/>
        <v/>
      </c>
      <c r="G98" s="4"/>
      <c r="H98" s="2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22" t="e">
        <f t="shared" si="14"/>
        <v>#N/A</v>
      </c>
      <c r="X98" s="21" t="e">
        <f t="shared" si="15"/>
        <v>#N/A</v>
      </c>
      <c r="Y98" s="21" t="e">
        <f t="shared" si="16"/>
        <v>#N/A</v>
      </c>
      <c r="Z98" s="11" t="e">
        <f t="shared" si="17"/>
        <v>#N/A</v>
      </c>
      <c r="AA98" s="22" t="e">
        <f t="shared" si="18"/>
        <v>#N/A</v>
      </c>
      <c r="AB98" s="21" t="e">
        <f t="shared" si="19"/>
        <v>#N/A</v>
      </c>
      <c r="AC98" s="21" t="e">
        <f t="shared" si="20"/>
        <v>#N/A</v>
      </c>
      <c r="AD98" s="11" t="e">
        <f t="shared" si="21"/>
        <v>#N/A</v>
      </c>
      <c r="AE98" s="22" t="e">
        <f t="shared" si="22"/>
        <v>#N/A</v>
      </c>
      <c r="AF98" s="21" t="e">
        <f t="shared" si="23"/>
        <v>#N/A</v>
      </c>
      <c r="AG98" s="21" t="e">
        <f t="shared" si="24"/>
        <v>#N/A</v>
      </c>
      <c r="AH98" s="11" t="e">
        <f t="shared" si="25"/>
        <v>#N/A</v>
      </c>
      <c r="AI98">
        <v>2.5000000000000001E-2</v>
      </c>
      <c r="AJ98">
        <v>-2.5000000000000001E-2</v>
      </c>
      <c r="AK98">
        <v>1.5E-3</v>
      </c>
      <c r="AL98">
        <v>-1.5E-3</v>
      </c>
      <c r="AM98">
        <v>1.5E-3</v>
      </c>
      <c r="AN98">
        <v>-1.5E-3</v>
      </c>
      <c r="AO98" s="16">
        <v>2.5000000000000001E-2</v>
      </c>
      <c r="AP98" s="16">
        <v>-2.5000000000000001E-2</v>
      </c>
      <c r="AQ98">
        <v>1.4999999999999999E-2</v>
      </c>
      <c r="AR98">
        <v>-1.4999999999999999E-2</v>
      </c>
      <c r="AS98">
        <v>1E-3</v>
      </c>
      <c r="AT98">
        <v>-1E-3</v>
      </c>
      <c r="AU98">
        <v>1E-3</v>
      </c>
      <c r="AV98">
        <v>-1E-3</v>
      </c>
      <c r="AW98" s="16">
        <v>1.4999999999999999E-2</v>
      </c>
      <c r="AX98" s="16">
        <v>-1.4999999999999999E-2</v>
      </c>
    </row>
    <row r="99" spans="6:50">
      <c r="F99" s="17" t="str">
        <f t="shared" si="13"/>
        <v/>
      </c>
      <c r="G99" s="4"/>
      <c r="H99" s="2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22" t="e">
        <f t="shared" si="14"/>
        <v>#N/A</v>
      </c>
      <c r="X99" s="21" t="e">
        <f t="shared" si="15"/>
        <v>#N/A</v>
      </c>
      <c r="Y99" s="21" t="e">
        <f t="shared" si="16"/>
        <v>#N/A</v>
      </c>
      <c r="Z99" s="11" t="e">
        <f t="shared" si="17"/>
        <v>#N/A</v>
      </c>
      <c r="AA99" s="22" t="e">
        <f t="shared" si="18"/>
        <v>#N/A</v>
      </c>
      <c r="AB99" s="21" t="e">
        <f t="shared" si="19"/>
        <v>#N/A</v>
      </c>
      <c r="AC99" s="21" t="e">
        <f t="shared" si="20"/>
        <v>#N/A</v>
      </c>
      <c r="AD99" s="11" t="e">
        <f t="shared" si="21"/>
        <v>#N/A</v>
      </c>
      <c r="AE99" s="22" t="e">
        <f t="shared" si="22"/>
        <v>#N/A</v>
      </c>
      <c r="AF99" s="21" t="e">
        <f t="shared" si="23"/>
        <v>#N/A</v>
      </c>
      <c r="AG99" s="21" t="e">
        <f t="shared" si="24"/>
        <v>#N/A</v>
      </c>
      <c r="AH99" s="11" t="e">
        <f t="shared" si="25"/>
        <v>#N/A</v>
      </c>
      <c r="AI99">
        <v>2.5000000000000001E-2</v>
      </c>
      <c r="AJ99">
        <v>-2.5000000000000001E-2</v>
      </c>
      <c r="AK99">
        <v>1.5E-3</v>
      </c>
      <c r="AL99">
        <v>-1.5E-3</v>
      </c>
      <c r="AM99">
        <v>1.5E-3</v>
      </c>
      <c r="AN99">
        <v>-1.5E-3</v>
      </c>
      <c r="AO99" s="16">
        <v>2.5000000000000001E-2</v>
      </c>
      <c r="AP99" s="16">
        <v>-2.5000000000000001E-2</v>
      </c>
      <c r="AQ99">
        <v>1.4999999999999999E-2</v>
      </c>
      <c r="AR99">
        <v>-1.4999999999999999E-2</v>
      </c>
      <c r="AS99">
        <v>1E-3</v>
      </c>
      <c r="AT99">
        <v>-1E-3</v>
      </c>
      <c r="AU99">
        <v>1E-3</v>
      </c>
      <c r="AV99">
        <v>-1E-3</v>
      </c>
      <c r="AW99" s="16">
        <v>1.4999999999999999E-2</v>
      </c>
      <c r="AX99" s="16">
        <v>-1.4999999999999999E-2</v>
      </c>
    </row>
    <row r="100" spans="6:50">
      <c r="F100" s="17" t="str">
        <f t="shared" si="13"/>
        <v/>
      </c>
      <c r="G100" s="4"/>
      <c r="H100" s="2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22" t="e">
        <f t="shared" si="14"/>
        <v>#N/A</v>
      </c>
      <c r="X100" s="21" t="e">
        <f t="shared" si="15"/>
        <v>#N/A</v>
      </c>
      <c r="Y100" s="21" t="e">
        <f t="shared" si="16"/>
        <v>#N/A</v>
      </c>
      <c r="Z100" s="11" t="e">
        <f t="shared" si="17"/>
        <v>#N/A</v>
      </c>
      <c r="AA100" s="22" t="e">
        <f t="shared" si="18"/>
        <v>#N/A</v>
      </c>
      <c r="AB100" s="21" t="e">
        <f t="shared" si="19"/>
        <v>#N/A</v>
      </c>
      <c r="AC100" s="21" t="e">
        <f t="shared" si="20"/>
        <v>#N/A</v>
      </c>
      <c r="AD100" s="11" t="e">
        <f t="shared" si="21"/>
        <v>#N/A</v>
      </c>
      <c r="AE100" s="22" t="e">
        <f t="shared" si="22"/>
        <v>#N/A</v>
      </c>
      <c r="AF100" s="21" t="e">
        <f t="shared" si="23"/>
        <v>#N/A</v>
      </c>
      <c r="AG100" s="21" t="e">
        <f t="shared" si="24"/>
        <v>#N/A</v>
      </c>
      <c r="AH100" s="11" t="e">
        <f t="shared" si="25"/>
        <v>#N/A</v>
      </c>
      <c r="AI100">
        <v>2.5000000000000001E-2</v>
      </c>
      <c r="AJ100">
        <v>-2.5000000000000001E-2</v>
      </c>
      <c r="AK100">
        <v>1.5E-3</v>
      </c>
      <c r="AL100">
        <v>-1.5E-3</v>
      </c>
      <c r="AM100">
        <v>1.5E-3</v>
      </c>
      <c r="AN100">
        <v>-1.5E-3</v>
      </c>
      <c r="AO100" s="16">
        <v>2.5000000000000001E-2</v>
      </c>
      <c r="AP100" s="16">
        <v>-2.5000000000000001E-2</v>
      </c>
      <c r="AQ100">
        <v>1.4999999999999999E-2</v>
      </c>
      <c r="AR100">
        <v>-1.4999999999999999E-2</v>
      </c>
      <c r="AS100">
        <v>1E-3</v>
      </c>
      <c r="AT100">
        <v>-1E-3</v>
      </c>
      <c r="AU100">
        <v>1E-3</v>
      </c>
      <c r="AV100">
        <v>-1E-3</v>
      </c>
      <c r="AW100" s="16">
        <v>1.4999999999999999E-2</v>
      </c>
      <c r="AX100" s="16">
        <v>-1.4999999999999999E-2</v>
      </c>
    </row>
  </sheetData>
  <mergeCells count="6">
    <mergeCell ref="AE4:AH4"/>
    <mergeCell ref="H4:L4"/>
    <mergeCell ref="M4:Q4"/>
    <mergeCell ref="R4:V4"/>
    <mergeCell ref="W4:Z4"/>
    <mergeCell ref="AA4:AD4"/>
  </mergeCells>
  <phoneticPr fontId="1"/>
  <conditionalFormatting sqref="W6:AH100">
    <cfRule type="containsErrors" dxfId="11" priority="1">
      <formula>ISERROR(W6)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S100"/>
  <sheetViews>
    <sheetView showGridLines="0" zoomScale="70" zoomScaleNormal="70" workbookViewId="0">
      <pane ySplit="5" topLeftCell="A6" activePane="bottomLeft" state="frozen"/>
      <selection pane="bottomLeft" activeCell="H27" sqref="H27"/>
    </sheetView>
  </sheetViews>
  <sheetFormatPr defaultRowHeight="13.5"/>
  <cols>
    <col min="1" max="5" width="9" style="18"/>
    <col min="6" max="6" width="16.125" style="18" bestFit="1" customWidth="1"/>
    <col min="7" max="7" width="20.625" style="19" bestFit="1" customWidth="1"/>
    <col min="8" max="8" width="11.25" style="26" customWidth="1"/>
    <col min="9" max="9" width="11.25" style="20" customWidth="1"/>
    <col min="10" max="10" width="9.75" style="20" customWidth="1"/>
    <col min="11" max="11" width="9.25" style="20" customWidth="1"/>
    <col min="12" max="13" width="9.75" style="20" customWidth="1"/>
    <col min="14" max="14" width="10.125" style="20" customWidth="1"/>
    <col min="15" max="15" width="10" style="20" customWidth="1"/>
    <col min="16" max="22" width="9" style="20"/>
    <col min="23" max="16384" width="9" style="18"/>
  </cols>
  <sheetData>
    <row r="1" spans="1:279" customFormat="1">
      <c r="G1" s="7"/>
      <c r="H1" s="23"/>
      <c r="K1" s="1"/>
      <c r="L1" s="1"/>
      <c r="M1" s="27"/>
      <c r="R1" s="8"/>
    </row>
    <row r="2" spans="1:279" customFormat="1">
      <c r="G2" s="10"/>
      <c r="H2" s="24"/>
      <c r="I2" s="18"/>
      <c r="J2" s="10"/>
      <c r="K2" s="1"/>
      <c r="L2" s="1"/>
      <c r="M2" s="27"/>
      <c r="R2" s="8"/>
    </row>
    <row r="3" spans="1:279" customFormat="1">
      <c r="G3" s="10"/>
      <c r="H3" s="24"/>
      <c r="I3" s="13">
        <v>3.1103700000000001</v>
      </c>
      <c r="J3" s="13">
        <v>0.29050100000000001</v>
      </c>
      <c r="K3" s="14">
        <v>0.28018300000000002</v>
      </c>
      <c r="L3" s="14">
        <v>27.681999999999999</v>
      </c>
      <c r="M3" s="27"/>
      <c r="N3" s="13">
        <v>3.1324200000000002</v>
      </c>
      <c r="O3" s="13">
        <v>0.28729700000000002</v>
      </c>
      <c r="P3" s="14">
        <v>0.27366200000000002</v>
      </c>
      <c r="Q3" s="14">
        <v>27.869</v>
      </c>
      <c r="R3" s="27"/>
      <c r="S3" s="13">
        <v>3.1106600000000002</v>
      </c>
      <c r="T3" s="13">
        <v>0.28251900000000002</v>
      </c>
      <c r="U3" s="14">
        <v>0.26605899999999999</v>
      </c>
      <c r="V3" s="14">
        <v>27.683</v>
      </c>
    </row>
    <row r="4" spans="1:279" customFormat="1">
      <c r="A4" t="s">
        <v>15</v>
      </c>
      <c r="G4" s="3"/>
      <c r="H4" s="34" t="s">
        <v>5</v>
      </c>
      <c r="I4" s="34"/>
      <c r="J4" s="34"/>
      <c r="K4" s="34"/>
      <c r="L4" s="34"/>
      <c r="M4" s="35" t="s">
        <v>6</v>
      </c>
      <c r="N4" s="36"/>
      <c r="O4" s="36"/>
      <c r="P4" s="36"/>
      <c r="Q4" s="37"/>
      <c r="R4" s="35" t="s">
        <v>7</v>
      </c>
      <c r="S4" s="36"/>
      <c r="T4" s="36"/>
      <c r="U4" s="36"/>
      <c r="V4" s="37"/>
      <c r="W4" s="34" t="s">
        <v>5</v>
      </c>
      <c r="X4" s="34"/>
      <c r="Y4" s="34"/>
      <c r="Z4" s="34"/>
      <c r="AA4" s="34" t="s">
        <v>6</v>
      </c>
      <c r="AB4" s="34"/>
      <c r="AC4" s="34"/>
      <c r="AD4" s="34"/>
      <c r="AE4" s="34" t="s">
        <v>7</v>
      </c>
      <c r="AF4" s="34"/>
      <c r="AG4" s="34"/>
      <c r="AH4" s="34"/>
      <c r="AI4" t="s">
        <v>12</v>
      </c>
      <c r="AJ4" t="s">
        <v>12</v>
      </c>
      <c r="AK4" t="s">
        <v>12</v>
      </c>
      <c r="AL4" t="s">
        <v>12</v>
      </c>
      <c r="AM4" t="s">
        <v>12</v>
      </c>
      <c r="AN4" t="s">
        <v>12</v>
      </c>
      <c r="AO4" t="s">
        <v>12</v>
      </c>
      <c r="AP4" t="s">
        <v>12</v>
      </c>
      <c r="AQ4" t="s">
        <v>13</v>
      </c>
      <c r="AR4" t="s">
        <v>13</v>
      </c>
      <c r="AS4" t="s">
        <v>13</v>
      </c>
      <c r="AT4" t="s">
        <v>13</v>
      </c>
      <c r="AU4" t="s">
        <v>13</v>
      </c>
      <c r="AV4" t="s">
        <v>13</v>
      </c>
      <c r="AW4" t="s">
        <v>13</v>
      </c>
      <c r="AX4" t="s">
        <v>13</v>
      </c>
      <c r="BA4" t="s">
        <v>51</v>
      </c>
      <c r="BF4" t="s">
        <v>52</v>
      </c>
    </row>
    <row r="5" spans="1:279" customFormat="1">
      <c r="A5" s="2"/>
      <c r="B5" s="2" t="s">
        <v>1</v>
      </c>
      <c r="C5" s="2" t="s">
        <v>2</v>
      </c>
      <c r="D5" s="2" t="s">
        <v>3</v>
      </c>
      <c r="E5" s="2" t="s">
        <v>4</v>
      </c>
      <c r="G5" s="2" t="s">
        <v>0</v>
      </c>
      <c r="H5" s="5" t="s">
        <v>14</v>
      </c>
      <c r="I5" s="2" t="s">
        <v>1</v>
      </c>
      <c r="J5" s="2" t="s">
        <v>2</v>
      </c>
      <c r="K5" s="2" t="s">
        <v>3</v>
      </c>
      <c r="L5" s="2" t="s">
        <v>4</v>
      </c>
      <c r="M5" s="5" t="s">
        <v>14</v>
      </c>
      <c r="N5" s="2" t="s">
        <v>1</v>
      </c>
      <c r="O5" s="2" t="s">
        <v>2</v>
      </c>
      <c r="P5" s="2" t="s">
        <v>3</v>
      </c>
      <c r="Q5" s="2" t="s">
        <v>4</v>
      </c>
      <c r="R5" s="5" t="s">
        <v>14</v>
      </c>
      <c r="S5" s="2" t="s">
        <v>1</v>
      </c>
      <c r="T5" s="2" t="s">
        <v>2</v>
      </c>
      <c r="U5" s="2" t="s">
        <v>3</v>
      </c>
      <c r="V5" s="2" t="s">
        <v>4</v>
      </c>
      <c r="W5" s="2" t="s">
        <v>1</v>
      </c>
      <c r="X5" s="2" t="s">
        <v>2</v>
      </c>
      <c r="Y5" s="2" t="s">
        <v>3</v>
      </c>
      <c r="Z5" s="2" t="s">
        <v>4</v>
      </c>
      <c r="AA5" s="2" t="s">
        <v>1</v>
      </c>
      <c r="AB5" s="2" t="s">
        <v>2</v>
      </c>
      <c r="AC5" s="2" t="s">
        <v>3</v>
      </c>
      <c r="AD5" s="2" t="s">
        <v>4</v>
      </c>
      <c r="AE5" s="2" t="s">
        <v>1</v>
      </c>
      <c r="AF5" s="2" t="s">
        <v>2</v>
      </c>
      <c r="AG5" s="2" t="s">
        <v>3</v>
      </c>
      <c r="AH5" s="2" t="s">
        <v>4</v>
      </c>
      <c r="AI5" s="15" t="s">
        <v>1</v>
      </c>
      <c r="AK5" t="s">
        <v>2</v>
      </c>
      <c r="AM5" t="s">
        <v>3</v>
      </c>
      <c r="AO5" t="s">
        <v>4</v>
      </c>
      <c r="AQ5" s="15" t="s">
        <v>1</v>
      </c>
      <c r="AS5" t="s">
        <v>2</v>
      </c>
      <c r="AU5" t="s">
        <v>3</v>
      </c>
      <c r="AW5" t="s">
        <v>4</v>
      </c>
      <c r="BA5" t="s">
        <v>47</v>
      </c>
      <c r="BB5" t="s">
        <v>48</v>
      </c>
      <c r="BC5" t="s">
        <v>49</v>
      </c>
      <c r="BD5" t="s">
        <v>50</v>
      </c>
      <c r="BF5" t="s">
        <v>47</v>
      </c>
      <c r="BG5" t="s">
        <v>48</v>
      </c>
      <c r="BH5" t="s">
        <v>49</v>
      </c>
      <c r="BI5" t="s">
        <v>50</v>
      </c>
    </row>
    <row r="6" spans="1:279" customFormat="1">
      <c r="A6" s="2">
        <v>1</v>
      </c>
      <c r="B6" s="2">
        <v>3.1193599999999999</v>
      </c>
      <c r="C6" s="2">
        <v>0.28995700000000002</v>
      </c>
      <c r="D6" s="2">
        <v>0.28256799999999999</v>
      </c>
      <c r="E6" s="2">
        <v>27.1952</v>
      </c>
      <c r="F6" s="17">
        <f>IF(G6="","",G6)</f>
        <v>44243.668333333335</v>
      </c>
      <c r="G6" s="9">
        <v>44243.668333333335</v>
      </c>
      <c r="H6" s="25">
        <v>1</v>
      </c>
      <c r="I6" s="12">
        <v>3.1040000000000001</v>
      </c>
      <c r="J6" s="5">
        <v>0.28853000000000001</v>
      </c>
      <c r="K6" s="5">
        <v>0.28172999999999998</v>
      </c>
      <c r="L6" s="5">
        <v>26.466999999999999</v>
      </c>
      <c r="M6" s="5">
        <v>2</v>
      </c>
      <c r="N6" s="5">
        <v>3.1</v>
      </c>
      <c r="O6" s="5">
        <v>0.28738999999999998</v>
      </c>
      <c r="P6" s="5">
        <v>0.27173999999999998</v>
      </c>
      <c r="Q6" s="5">
        <v>27.524000000000001</v>
      </c>
      <c r="R6" s="5">
        <v>3</v>
      </c>
      <c r="S6" s="5">
        <v>3.1019999999999999</v>
      </c>
      <c r="T6" s="5">
        <v>0.28178999999999998</v>
      </c>
      <c r="U6" s="5">
        <v>0.26582</v>
      </c>
      <c r="V6" s="5">
        <v>27.492999999999999</v>
      </c>
      <c r="W6" s="22">
        <f>IF(H6="",NA(),I6-VLOOKUP(H6,$A$6:$E$35,2,FALSE))</f>
        <v>-1.5359999999999818E-2</v>
      </c>
      <c r="X6" s="21">
        <f>IF(H6="",NA(),J6-VLOOKUP(H6,$A$6:$E$35,3,FALSE))</f>
        <v>-1.4270000000000116E-3</v>
      </c>
      <c r="Y6" s="21">
        <f>IF(H6="",NA(),K6-VLOOKUP(H6,$A$6:$E$35,4,FALSE))</f>
        <v>-8.3800000000000541E-4</v>
      </c>
      <c r="Z6" s="11">
        <f>IF(H6="",NA(),L6/VLOOKUP(H6,$A$6:$E$35,5,FALSE)-1)</f>
        <v>-2.6776784138377363E-2</v>
      </c>
      <c r="AA6" s="22">
        <f>IF(M6="",NA(),N6-VLOOKUP(M6,$A$6:$E$35,2,FALSE))</f>
        <v>-7.3400000000001242E-3</v>
      </c>
      <c r="AB6" s="21">
        <f>IF(M6="",NA(),O6-VLOOKUP(M6,$A$6:$E$35,3,FALSE))</f>
        <v>-2.8160000000000407E-3</v>
      </c>
      <c r="AC6" s="21">
        <f>IF(M6="",NA(),P6-VLOOKUP(M6,$A$6:$E$35,4,FALSE))</f>
        <v>-7.3330000000000339E-3</v>
      </c>
      <c r="AD6" s="11">
        <f>IF(M6="",NA(),Q6/VLOOKUP(M6,$A$6:$E$35,5,FALSE)-1)</f>
        <v>3.1618772101338344E-4</v>
      </c>
      <c r="AE6" s="22">
        <f>IF(R6="",NA(),S6-VLOOKUP(R6,$A$6:$E$35,2,FALSE))</f>
        <v>-1.3860000000000205E-2</v>
      </c>
      <c r="AF6" s="21">
        <f>IF(R6="",NA(),T6-VLOOKUP(R6,$A$6:$E$35,3,FALSE))</f>
        <v>-7.6670000000000349E-3</v>
      </c>
      <c r="AG6" s="21">
        <f>IF(R6="",NA(),U6-VLOOKUP(R6,$A$6:$E$35,4,FALSE))</f>
        <v>-1.255400000000001E-2</v>
      </c>
      <c r="AH6" s="11">
        <f>IF(R6="",NA(),V6/VLOOKUP(R6,$A$6:$E$35,5,FALSE)-1)</f>
        <v>-3.248424731533639E-3</v>
      </c>
      <c r="AI6">
        <v>2.5000000000000001E-2</v>
      </c>
      <c r="AJ6">
        <v>-2.5000000000000001E-2</v>
      </c>
      <c r="AK6">
        <v>1.5E-3</v>
      </c>
      <c r="AL6">
        <v>-1.5E-3</v>
      </c>
      <c r="AM6">
        <v>1.5E-3</v>
      </c>
      <c r="AN6">
        <v>-1.5E-3</v>
      </c>
      <c r="AO6" s="16">
        <v>2.5000000000000001E-2</v>
      </c>
      <c r="AP6" s="16">
        <v>-2.5000000000000001E-2</v>
      </c>
      <c r="AQ6">
        <v>1.4999999999999999E-2</v>
      </c>
      <c r="AR6">
        <v>-1.4999999999999999E-2</v>
      </c>
      <c r="AS6">
        <v>1E-3</v>
      </c>
      <c r="AT6">
        <v>-1E-3</v>
      </c>
      <c r="AU6">
        <v>1E-3</v>
      </c>
      <c r="AV6">
        <v>-1E-3</v>
      </c>
      <c r="AW6" s="16">
        <v>1.4999999999999999E-2</v>
      </c>
      <c r="AX6" s="16">
        <v>-1.4999999999999999E-2</v>
      </c>
    </row>
    <row r="7" spans="1:279" customFormat="1">
      <c r="A7" s="2">
        <v>2</v>
      </c>
      <c r="B7" s="2">
        <v>3.1073400000000002</v>
      </c>
      <c r="C7" s="2">
        <v>0.29020600000000002</v>
      </c>
      <c r="D7" s="2">
        <v>0.27907300000000002</v>
      </c>
      <c r="E7" s="2">
        <v>27.5153</v>
      </c>
      <c r="F7" s="17">
        <f t="shared" ref="F7:F70" si="0">IF(G7="","",G7)</f>
        <v>44243.686388888891</v>
      </c>
      <c r="G7" s="9">
        <v>44243.686388888891</v>
      </c>
      <c r="H7" s="25">
        <v>1</v>
      </c>
      <c r="I7" s="5">
        <v>3.1059999999999999</v>
      </c>
      <c r="J7" s="5">
        <v>0.28843000000000002</v>
      </c>
      <c r="K7" s="5">
        <v>0.28148000000000001</v>
      </c>
      <c r="L7" s="5">
        <v>26.835000000000001</v>
      </c>
      <c r="M7" s="5">
        <v>2</v>
      </c>
      <c r="N7" s="5">
        <v>3.1019999999999999</v>
      </c>
      <c r="O7" s="5">
        <v>0.28720000000000001</v>
      </c>
      <c r="P7" s="5">
        <v>0.27151999999999998</v>
      </c>
      <c r="Q7" s="5">
        <v>27.981999999999999</v>
      </c>
      <c r="R7" s="5">
        <v>3</v>
      </c>
      <c r="S7" s="5">
        <v>3.1030000000000002</v>
      </c>
      <c r="T7" s="5">
        <v>0.28165000000000001</v>
      </c>
      <c r="U7" s="5">
        <v>0.26556999999999997</v>
      </c>
      <c r="V7" s="5">
        <v>27.876999999999999</v>
      </c>
      <c r="W7" s="22">
        <f t="shared" ref="W7:W70" si="1">IF(H7="",NA(),I7-VLOOKUP(H7,$A$6:$E$35,2,FALSE))</f>
        <v>-1.3360000000000039E-2</v>
      </c>
      <c r="X7" s="21">
        <f t="shared" ref="X7:X70" si="2">IF(H7="",NA(),J7-VLOOKUP(H7,$A$6:$E$35,3,FALSE))</f>
        <v>-1.5270000000000006E-3</v>
      </c>
      <c r="Y7" s="21">
        <f t="shared" ref="Y7:Y70" si="3">IF(H7="",NA(),K7-VLOOKUP(H7,$A$6:$E$35,4,FALSE))</f>
        <v>-1.0879999999999779E-3</v>
      </c>
      <c r="Z7" s="11">
        <f t="shared" ref="Z7:Z70" si="4">IF(H7="",NA(),L7/VLOOKUP(H7,$A$6:$E$35,5,FALSE)-1)</f>
        <v>-1.3244984409013338E-2</v>
      </c>
      <c r="AA7" s="22">
        <f t="shared" ref="AA7:AA70" si="5">IF(M7="",NA(),N7-VLOOKUP(M7,$A$6:$E$35,2,FALSE))</f>
        <v>-5.3400000000003445E-3</v>
      </c>
      <c r="AB7" s="21">
        <f t="shared" ref="AB7:AB70" si="6">IF(M7="",NA(),O7-VLOOKUP(M7,$A$6:$E$35,3,FALSE))</f>
        <v>-3.0060000000000087E-3</v>
      </c>
      <c r="AC7" s="21">
        <f t="shared" ref="AC7:AC70" si="7">IF(M7="",NA(),P7-VLOOKUP(M7,$A$6:$E$35,4,FALSE))</f>
        <v>-7.5530000000000319E-3</v>
      </c>
      <c r="AD7" s="11">
        <f t="shared" ref="AD7:AD70" si="8">IF(M7="",NA(),Q7/VLOOKUP(M7,$A$6:$E$35,5,FALSE)-1)</f>
        <v>1.6961472344477313E-2</v>
      </c>
      <c r="AE7" s="22">
        <f t="shared" ref="AE7:AE70" si="9">IF(R7="",NA(),S7-VLOOKUP(R7,$A$6:$E$35,2,FALSE))</f>
        <v>-1.2859999999999872E-2</v>
      </c>
      <c r="AF7" s="21">
        <f t="shared" ref="AF7:AF70" si="10">IF(R7="",NA(),T7-VLOOKUP(R7,$A$6:$E$35,3,FALSE))</f>
        <v>-7.8070000000000084E-3</v>
      </c>
      <c r="AG7" s="21">
        <f t="shared" ref="AG7:AG70" si="11">IF(R7="",NA(),U7-VLOOKUP(R7,$A$6:$E$35,4,FALSE))</f>
        <v>-1.2804000000000038E-2</v>
      </c>
      <c r="AH7" s="11">
        <f t="shared" ref="AH7:AH70" si="12">IF(R7="",NA(),V7/VLOOKUP(R7,$A$6:$E$35,5,FALSE)-1)</f>
        <v>1.0673395546467734E-2</v>
      </c>
      <c r="AI7">
        <v>2.5000000000000001E-2</v>
      </c>
      <c r="AJ7">
        <v>-2.5000000000000001E-2</v>
      </c>
      <c r="AK7">
        <v>1.5E-3</v>
      </c>
      <c r="AL7">
        <v>-1.5E-3</v>
      </c>
      <c r="AM7">
        <v>1.5E-3</v>
      </c>
      <c r="AN7">
        <v>-1.5E-3</v>
      </c>
      <c r="AO7" s="16">
        <v>2.5000000000000001E-2</v>
      </c>
      <c r="AP7" s="16">
        <v>-2.5000000000000001E-2</v>
      </c>
      <c r="AQ7">
        <v>1.4999999999999999E-2</v>
      </c>
      <c r="AR7">
        <v>-1.4999999999999999E-2</v>
      </c>
      <c r="AS7">
        <v>1E-3</v>
      </c>
      <c r="AT7">
        <v>-1E-3</v>
      </c>
      <c r="AU7">
        <v>1E-3</v>
      </c>
      <c r="AV7">
        <v>-1E-3</v>
      </c>
      <c r="AW7" s="16">
        <v>1.4999999999999999E-2</v>
      </c>
      <c r="AX7" s="16">
        <v>-1.4999999999999999E-2</v>
      </c>
    </row>
    <row r="8" spans="1:279" customFormat="1">
      <c r="A8" s="2">
        <v>3</v>
      </c>
      <c r="B8" s="2">
        <v>3.1158600000000001</v>
      </c>
      <c r="C8" s="2">
        <v>0.28945700000000002</v>
      </c>
      <c r="D8" s="2">
        <v>0.27837400000000001</v>
      </c>
      <c r="E8" s="2">
        <v>27.582599999999999</v>
      </c>
      <c r="F8" s="17">
        <f t="shared" si="0"/>
        <v>44244.684745370374</v>
      </c>
      <c r="G8" s="9">
        <v>44244.684745370374</v>
      </c>
      <c r="H8" s="25">
        <v>1</v>
      </c>
      <c r="I8" s="5">
        <v>3.109</v>
      </c>
      <c r="J8" s="5">
        <v>0.28853000000000001</v>
      </c>
      <c r="K8" s="5">
        <v>0.28166000000000002</v>
      </c>
      <c r="L8" s="5">
        <v>26.771000000000001</v>
      </c>
      <c r="M8" s="5">
        <v>2</v>
      </c>
      <c r="N8" s="5">
        <v>3.1059999999999999</v>
      </c>
      <c r="O8" s="5">
        <v>0.2873</v>
      </c>
      <c r="P8" s="5">
        <v>0.27171000000000001</v>
      </c>
      <c r="Q8" s="5">
        <v>27.936</v>
      </c>
      <c r="R8" s="5">
        <v>3</v>
      </c>
      <c r="S8" s="5">
        <v>3.1059999999999999</v>
      </c>
      <c r="T8" s="5">
        <v>0.28173999999999999</v>
      </c>
      <c r="U8" s="5">
        <v>0.26574999999999999</v>
      </c>
      <c r="V8" s="5">
        <v>27.83</v>
      </c>
      <c r="W8" s="22">
        <f t="shared" si="1"/>
        <v>-1.0359999999999925E-2</v>
      </c>
      <c r="X8" s="21">
        <f t="shared" si="2"/>
        <v>-1.4270000000000116E-3</v>
      </c>
      <c r="Y8" s="21">
        <f t="shared" si="3"/>
        <v>-9.0799999999996439E-4</v>
      </c>
      <c r="Z8" s="11">
        <f t="shared" si="4"/>
        <v>-1.559834088368528E-2</v>
      </c>
      <c r="AA8" s="22">
        <f t="shared" si="5"/>
        <v>-1.3400000000003409E-3</v>
      </c>
      <c r="AB8" s="21">
        <f t="shared" si="6"/>
        <v>-2.9060000000000197E-3</v>
      </c>
      <c r="AC8" s="21">
        <f t="shared" si="7"/>
        <v>-7.3630000000000084E-3</v>
      </c>
      <c r="AD8" s="11">
        <f t="shared" si="8"/>
        <v>1.5289675198889352E-2</v>
      </c>
      <c r="AE8" s="22">
        <f t="shared" si="9"/>
        <v>-9.8600000000002019E-3</v>
      </c>
      <c r="AF8" s="21">
        <f t="shared" si="10"/>
        <v>-7.7170000000000294E-3</v>
      </c>
      <c r="AG8" s="21">
        <f t="shared" si="11"/>
        <v>-1.2624000000000024E-2</v>
      </c>
      <c r="AH8" s="11">
        <f t="shared" si="12"/>
        <v>8.9694227520247249E-3</v>
      </c>
      <c r="AI8">
        <v>2.5000000000000001E-2</v>
      </c>
      <c r="AJ8">
        <v>-2.5000000000000001E-2</v>
      </c>
      <c r="AK8">
        <v>1.5E-3</v>
      </c>
      <c r="AL8">
        <v>-1.5E-3</v>
      </c>
      <c r="AM8">
        <v>1.5E-3</v>
      </c>
      <c r="AN8">
        <v>-1.5E-3</v>
      </c>
      <c r="AO8" s="16">
        <v>2.5000000000000001E-2</v>
      </c>
      <c r="AP8" s="16">
        <v>-2.5000000000000001E-2</v>
      </c>
      <c r="AQ8">
        <v>1.4999999999999999E-2</v>
      </c>
      <c r="AR8">
        <v>-1.4999999999999999E-2</v>
      </c>
      <c r="AS8">
        <v>1E-3</v>
      </c>
      <c r="AT8">
        <v>-1E-3</v>
      </c>
      <c r="AU8">
        <v>1E-3</v>
      </c>
      <c r="AV8">
        <v>-1E-3</v>
      </c>
      <c r="AW8" s="16">
        <v>1.4999999999999999E-2</v>
      </c>
      <c r="AX8" s="16">
        <v>-1.4999999999999999E-2</v>
      </c>
      <c r="JS8">
        <v>12.849506578947368</v>
      </c>
    </row>
    <row r="9" spans="1:279" customFormat="1">
      <c r="A9" s="2">
        <v>4</v>
      </c>
      <c r="B9" s="2">
        <v>3.1199300000000001</v>
      </c>
      <c r="C9" s="2">
        <v>0.288769</v>
      </c>
      <c r="D9" s="2">
        <v>0.28003600000000001</v>
      </c>
      <c r="E9" s="2">
        <v>27.685099999999998</v>
      </c>
      <c r="F9" s="17">
        <f t="shared" si="0"/>
        <v>44245.861041666663</v>
      </c>
      <c r="G9" s="9">
        <v>44245.861041666663</v>
      </c>
      <c r="H9" s="25">
        <v>1</v>
      </c>
      <c r="I9" s="5">
        <v>3.1040000000000001</v>
      </c>
      <c r="J9" s="5">
        <v>0.2883</v>
      </c>
      <c r="K9" s="5">
        <v>0.28137000000000001</v>
      </c>
      <c r="L9" s="5">
        <v>26.643999999999998</v>
      </c>
      <c r="M9" s="5">
        <v>2</v>
      </c>
      <c r="N9" s="5">
        <v>3.1</v>
      </c>
      <c r="O9" s="5">
        <v>0.28727999999999998</v>
      </c>
      <c r="P9" s="5">
        <v>0.27161999999999997</v>
      </c>
      <c r="Q9" s="5">
        <v>27.847999999999999</v>
      </c>
      <c r="R9" s="5">
        <v>3</v>
      </c>
      <c r="S9" s="5">
        <v>3.101</v>
      </c>
      <c r="T9" s="5">
        <v>0.28158</v>
      </c>
      <c r="U9" s="5">
        <v>0.2656</v>
      </c>
      <c r="V9" s="5">
        <v>27.742999999999999</v>
      </c>
      <c r="W9" s="22">
        <f t="shared" si="1"/>
        <v>-1.5359999999999818E-2</v>
      </c>
      <c r="X9" s="21">
        <f t="shared" si="2"/>
        <v>-1.6570000000000196E-3</v>
      </c>
      <c r="Y9" s="21">
        <f t="shared" si="3"/>
        <v>-1.1979999999999769E-3</v>
      </c>
      <c r="Z9" s="11">
        <f t="shared" si="4"/>
        <v>-2.0268282638112645E-2</v>
      </c>
      <c r="AA9" s="22">
        <f t="shared" si="5"/>
        <v>-7.3400000000001242E-3</v>
      </c>
      <c r="AB9" s="21">
        <f t="shared" si="6"/>
        <v>-2.9260000000000397E-3</v>
      </c>
      <c r="AC9" s="21">
        <f t="shared" si="7"/>
        <v>-7.4530000000000429E-3</v>
      </c>
      <c r="AD9" s="11">
        <f t="shared" si="8"/>
        <v>1.2091454572546789E-2</v>
      </c>
      <c r="AE9" s="22">
        <f t="shared" si="9"/>
        <v>-1.4860000000000095E-2</v>
      </c>
      <c r="AF9" s="21">
        <f t="shared" si="10"/>
        <v>-7.8770000000000229E-3</v>
      </c>
      <c r="AG9" s="21">
        <f t="shared" si="11"/>
        <v>-1.2774000000000008E-2</v>
      </c>
      <c r="AH9" s="11">
        <f t="shared" si="12"/>
        <v>5.8152603452901186E-3</v>
      </c>
      <c r="AI9">
        <v>2.5000000000000001E-2</v>
      </c>
      <c r="AJ9">
        <v>-2.5000000000000001E-2</v>
      </c>
      <c r="AK9">
        <v>1.5E-3</v>
      </c>
      <c r="AL9">
        <v>-1.5E-3</v>
      </c>
      <c r="AM9">
        <v>1.5E-3</v>
      </c>
      <c r="AN9">
        <v>-1.5E-3</v>
      </c>
      <c r="AO9" s="16">
        <v>2.5000000000000001E-2</v>
      </c>
      <c r="AP9" s="16">
        <v>-2.5000000000000001E-2</v>
      </c>
      <c r="AQ9">
        <v>1.4999999999999999E-2</v>
      </c>
      <c r="AR9">
        <v>-1.4999999999999999E-2</v>
      </c>
      <c r="AS9">
        <v>1E-3</v>
      </c>
      <c r="AT9">
        <v>-1E-3</v>
      </c>
      <c r="AU9">
        <v>1E-3</v>
      </c>
      <c r="AV9">
        <v>-1E-3</v>
      </c>
      <c r="AW9" s="16">
        <v>1.4999999999999999E-2</v>
      </c>
      <c r="AX9" s="16">
        <v>-1.4999999999999999E-2</v>
      </c>
    </row>
    <row r="10" spans="1:279" customFormat="1">
      <c r="A10" s="2">
        <v>5</v>
      </c>
      <c r="B10" s="2">
        <v>3.1190799999999999</v>
      </c>
      <c r="C10" s="2">
        <v>0.289802</v>
      </c>
      <c r="D10" s="2">
        <v>0.28290700000000002</v>
      </c>
      <c r="E10" s="2">
        <v>27.0138</v>
      </c>
      <c r="F10" s="17">
        <f t="shared" si="0"/>
        <v>44246.827106481483</v>
      </c>
      <c r="G10" s="9">
        <v>44246.827106481483</v>
      </c>
      <c r="H10" s="25">
        <v>1</v>
      </c>
      <c r="I10" s="5">
        <v>3.11</v>
      </c>
      <c r="J10" s="5">
        <v>0.28835</v>
      </c>
      <c r="K10" s="5">
        <v>0.28142</v>
      </c>
      <c r="L10" s="5">
        <v>26.734999999999999</v>
      </c>
      <c r="M10" s="5">
        <v>2</v>
      </c>
      <c r="N10" s="5">
        <v>3.1070000000000002</v>
      </c>
      <c r="O10" s="5">
        <v>0.2873</v>
      </c>
      <c r="P10" s="5">
        <v>0.27161000000000002</v>
      </c>
      <c r="Q10" s="5">
        <v>27.93</v>
      </c>
      <c r="R10" s="5">
        <v>3</v>
      </c>
      <c r="S10" s="5">
        <v>3.113</v>
      </c>
      <c r="T10" s="5">
        <v>0.28327999999999998</v>
      </c>
      <c r="U10" s="5">
        <v>0.26849000000000001</v>
      </c>
      <c r="V10" s="5">
        <v>27.817</v>
      </c>
      <c r="W10" s="22">
        <f t="shared" si="1"/>
        <v>-9.360000000000035E-3</v>
      </c>
      <c r="X10" s="21">
        <f t="shared" si="2"/>
        <v>-1.6070000000000251E-3</v>
      </c>
      <c r="Y10" s="21">
        <f t="shared" si="3"/>
        <v>-1.1479999999999824E-3</v>
      </c>
      <c r="Z10" s="11">
        <f t="shared" si="4"/>
        <v>-1.6922103900688379E-2</v>
      </c>
      <c r="AA10" s="22">
        <f t="shared" si="5"/>
        <v>-3.4000000000000696E-4</v>
      </c>
      <c r="AB10" s="21">
        <f t="shared" si="6"/>
        <v>-2.9060000000000197E-3</v>
      </c>
      <c r="AC10" s="21">
        <f t="shared" si="7"/>
        <v>-7.4629999999999974E-3</v>
      </c>
      <c r="AD10" s="11">
        <f t="shared" si="8"/>
        <v>1.5071614701638758E-2</v>
      </c>
      <c r="AE10" s="22">
        <f t="shared" si="9"/>
        <v>-2.8600000000000847E-3</v>
      </c>
      <c r="AF10" s="21">
        <f t="shared" si="10"/>
        <v>-6.1770000000000436E-3</v>
      </c>
      <c r="AG10" s="21">
        <f t="shared" si="11"/>
        <v>-9.8840000000000039E-3</v>
      </c>
      <c r="AH10" s="11">
        <f t="shared" si="12"/>
        <v>8.4981111280300059E-3</v>
      </c>
      <c r="AI10">
        <v>2.5000000000000001E-2</v>
      </c>
      <c r="AJ10">
        <v>-2.5000000000000001E-2</v>
      </c>
      <c r="AK10">
        <v>1.5E-3</v>
      </c>
      <c r="AL10">
        <v>-1.5E-3</v>
      </c>
      <c r="AM10">
        <v>1.5E-3</v>
      </c>
      <c r="AN10">
        <v>-1.5E-3</v>
      </c>
      <c r="AO10" s="16">
        <v>2.5000000000000001E-2</v>
      </c>
      <c r="AP10" s="16">
        <v>-2.5000000000000001E-2</v>
      </c>
      <c r="AQ10">
        <v>1.4999999999999999E-2</v>
      </c>
      <c r="AR10">
        <v>-1.4999999999999999E-2</v>
      </c>
      <c r="AS10">
        <v>1E-3</v>
      </c>
      <c r="AT10">
        <v>-1E-3</v>
      </c>
      <c r="AU10">
        <v>1E-3</v>
      </c>
      <c r="AV10">
        <v>-1E-3</v>
      </c>
      <c r="AW10" s="16">
        <v>1.4999999999999999E-2</v>
      </c>
      <c r="AX10" s="16">
        <v>-1.4999999999999999E-2</v>
      </c>
      <c r="JQ10">
        <v>28.935185185185187</v>
      </c>
    </row>
    <row r="11" spans="1:279" customFormat="1">
      <c r="A11" s="2">
        <v>6</v>
      </c>
      <c r="B11" s="2">
        <v>3.1103700000000001</v>
      </c>
      <c r="C11" s="2">
        <v>0.29050100000000001</v>
      </c>
      <c r="D11" s="2">
        <v>0.28018300000000002</v>
      </c>
      <c r="E11" s="2">
        <v>27.681999999999999</v>
      </c>
      <c r="F11" s="17">
        <f t="shared" si="0"/>
        <v>44247.684178240743</v>
      </c>
      <c r="G11" s="9">
        <v>44247.684178240743</v>
      </c>
      <c r="H11" s="25">
        <v>1</v>
      </c>
      <c r="I11" s="5">
        <v>3.1059999999999999</v>
      </c>
      <c r="J11" s="5">
        <v>0.28843000000000002</v>
      </c>
      <c r="K11" s="5">
        <v>0.28155000000000002</v>
      </c>
      <c r="L11" s="5">
        <v>26.696999999999999</v>
      </c>
      <c r="M11" s="5">
        <v>2</v>
      </c>
      <c r="N11" s="5">
        <v>3.1040000000000001</v>
      </c>
      <c r="O11" s="5">
        <v>0.28731000000000001</v>
      </c>
      <c r="P11" s="5">
        <v>0.27165</v>
      </c>
      <c r="Q11" s="5">
        <v>27.760999999999999</v>
      </c>
      <c r="R11" s="5">
        <v>3</v>
      </c>
      <c r="S11" s="5">
        <v>3.11</v>
      </c>
      <c r="T11" s="5">
        <v>0.28327000000000002</v>
      </c>
      <c r="U11" s="5">
        <v>0.26835999999999999</v>
      </c>
      <c r="V11" s="5">
        <v>27.713000000000001</v>
      </c>
      <c r="W11" s="22">
        <f t="shared" si="1"/>
        <v>-1.3360000000000039E-2</v>
      </c>
      <c r="X11" s="21">
        <f t="shared" si="2"/>
        <v>-1.5270000000000006E-3</v>
      </c>
      <c r="Y11" s="21">
        <f t="shared" si="3"/>
        <v>-1.0179999999999634E-3</v>
      </c>
      <c r="Z11" s="11">
        <f t="shared" si="4"/>
        <v>-1.8319409307524848E-2</v>
      </c>
      <c r="AA11" s="22">
        <f t="shared" si="5"/>
        <v>-3.3400000000001207E-3</v>
      </c>
      <c r="AB11" s="21">
        <f t="shared" si="6"/>
        <v>-2.8960000000000097E-3</v>
      </c>
      <c r="AC11" s="21">
        <f t="shared" si="7"/>
        <v>-7.4230000000000129E-3</v>
      </c>
      <c r="AD11" s="11">
        <f t="shared" si="8"/>
        <v>8.9295773624129549E-3</v>
      </c>
      <c r="AE11" s="22">
        <f t="shared" si="9"/>
        <v>-5.8600000000001984E-3</v>
      </c>
      <c r="AF11" s="21">
        <f t="shared" si="10"/>
        <v>-6.1869999999999981E-3</v>
      </c>
      <c r="AG11" s="21">
        <f t="shared" si="11"/>
        <v>-1.0014000000000023E-2</v>
      </c>
      <c r="AH11" s="11">
        <f t="shared" si="12"/>
        <v>4.7276181360713654E-3</v>
      </c>
      <c r="AI11">
        <v>2.5000000000000001E-2</v>
      </c>
      <c r="AJ11">
        <v>-2.5000000000000001E-2</v>
      </c>
      <c r="AK11">
        <v>1.5E-3</v>
      </c>
      <c r="AL11">
        <v>-1.5E-3</v>
      </c>
      <c r="AM11">
        <v>1.5E-3</v>
      </c>
      <c r="AN11">
        <v>-1.5E-3</v>
      </c>
      <c r="AO11" s="16">
        <v>2.5000000000000001E-2</v>
      </c>
      <c r="AP11" s="16">
        <v>-2.5000000000000001E-2</v>
      </c>
      <c r="AQ11">
        <v>1.4999999999999999E-2</v>
      </c>
      <c r="AR11">
        <v>-1.4999999999999999E-2</v>
      </c>
      <c r="AS11">
        <v>1E-3</v>
      </c>
      <c r="AT11">
        <v>-1E-3</v>
      </c>
      <c r="AU11">
        <v>1E-3</v>
      </c>
      <c r="AV11">
        <v>-1E-3</v>
      </c>
      <c r="AW11" s="16">
        <v>1.4999999999999999E-2</v>
      </c>
      <c r="AX11" s="16">
        <v>-1.4999999999999999E-2</v>
      </c>
      <c r="JR11">
        <v>25.699013157894736</v>
      </c>
    </row>
    <row r="12" spans="1:279" customFormat="1">
      <c r="A12" s="2">
        <v>7</v>
      </c>
      <c r="B12" s="2">
        <v>3.11009</v>
      </c>
      <c r="C12" s="2">
        <v>0.291406</v>
      </c>
      <c r="D12" s="2">
        <v>0.281337</v>
      </c>
      <c r="E12" s="2">
        <v>27.555</v>
      </c>
      <c r="F12" s="17">
        <f t="shared" si="0"/>
        <v>44248.691250000003</v>
      </c>
      <c r="G12" s="9">
        <v>44248.691250000003</v>
      </c>
      <c r="H12" s="25">
        <v>1</v>
      </c>
      <c r="I12" s="5">
        <v>3.105</v>
      </c>
      <c r="J12" s="5">
        <v>0.28833999999999999</v>
      </c>
      <c r="K12" s="5">
        <v>0.28139999999999998</v>
      </c>
      <c r="L12" s="5">
        <v>26.678999999999998</v>
      </c>
      <c r="M12" s="5">
        <v>2</v>
      </c>
      <c r="N12" s="5">
        <v>3.1019999999999999</v>
      </c>
      <c r="O12" s="5">
        <v>0.28732000000000002</v>
      </c>
      <c r="P12" s="5">
        <v>0.27174999999999999</v>
      </c>
      <c r="Q12" s="5">
        <v>27.922000000000001</v>
      </c>
      <c r="R12" s="5">
        <v>3</v>
      </c>
      <c r="S12" s="5">
        <v>3.1070000000000002</v>
      </c>
      <c r="T12" s="5">
        <v>0.28328999999999999</v>
      </c>
      <c r="U12" s="5">
        <v>0.26838000000000001</v>
      </c>
      <c r="V12" s="5">
        <v>27.802</v>
      </c>
      <c r="W12" s="22">
        <f t="shared" si="1"/>
        <v>-1.4359999999999928E-2</v>
      </c>
      <c r="X12" s="21">
        <f t="shared" si="2"/>
        <v>-1.6170000000000351E-3</v>
      </c>
      <c r="Y12" s="21">
        <f t="shared" si="3"/>
        <v>-1.1680000000000024E-3</v>
      </c>
      <c r="Z12" s="11">
        <f t="shared" si="4"/>
        <v>-1.8981290816026397E-2</v>
      </c>
      <c r="AA12" s="22">
        <f t="shared" si="5"/>
        <v>-5.3400000000003445E-3</v>
      </c>
      <c r="AB12" s="21">
        <f t="shared" si="6"/>
        <v>-2.8859999999999997E-3</v>
      </c>
      <c r="AC12" s="21">
        <f t="shared" si="7"/>
        <v>-7.3230000000000239E-3</v>
      </c>
      <c r="AD12" s="11">
        <f t="shared" si="8"/>
        <v>1.4780867371971151E-2</v>
      </c>
      <c r="AE12" s="22">
        <f t="shared" si="9"/>
        <v>-8.859999999999868E-3</v>
      </c>
      <c r="AF12" s="21">
        <f t="shared" si="10"/>
        <v>-6.1670000000000336E-3</v>
      </c>
      <c r="AG12" s="21">
        <f t="shared" si="11"/>
        <v>-9.9940000000000029E-3</v>
      </c>
      <c r="AH12" s="11">
        <f t="shared" si="12"/>
        <v>7.9542900234206293E-3</v>
      </c>
      <c r="AI12">
        <v>2.5000000000000001E-2</v>
      </c>
      <c r="AJ12">
        <v>-2.5000000000000001E-2</v>
      </c>
      <c r="AK12">
        <v>1.5E-3</v>
      </c>
      <c r="AL12">
        <v>-1.5E-3</v>
      </c>
      <c r="AM12">
        <v>1.5E-3</v>
      </c>
      <c r="AN12">
        <v>-1.5E-3</v>
      </c>
      <c r="AO12" s="16">
        <v>2.5000000000000001E-2</v>
      </c>
      <c r="AP12" s="16">
        <v>-2.5000000000000001E-2</v>
      </c>
      <c r="AQ12">
        <v>1.4999999999999999E-2</v>
      </c>
      <c r="AR12">
        <v>-1.4999999999999999E-2</v>
      </c>
      <c r="AS12">
        <v>1E-3</v>
      </c>
      <c r="AT12">
        <v>-1E-3</v>
      </c>
      <c r="AU12">
        <v>1E-3</v>
      </c>
      <c r="AV12">
        <v>-1E-3</v>
      </c>
      <c r="AW12" s="16">
        <v>1.4999999999999999E-2</v>
      </c>
      <c r="AX12" s="16">
        <v>-1.4999999999999999E-2</v>
      </c>
      <c r="JP12">
        <v>25.699013157894736</v>
      </c>
      <c r="JR12">
        <v>12.849506578947368</v>
      </c>
      <c r="JS12">
        <v>12.849506578947368</v>
      </c>
    </row>
    <row r="13" spans="1:279" customFormat="1">
      <c r="A13" s="2">
        <v>8</v>
      </c>
      <c r="B13" s="2">
        <v>3.10744</v>
      </c>
      <c r="C13" s="2">
        <v>0.28986200000000001</v>
      </c>
      <c r="D13" s="2">
        <v>0.27893000000000001</v>
      </c>
      <c r="E13" s="2">
        <v>27.244399999999999</v>
      </c>
      <c r="F13" s="17">
        <f t="shared" si="0"/>
        <v>44249.74664351852</v>
      </c>
      <c r="G13" s="9">
        <v>44249.74664351852</v>
      </c>
      <c r="H13" s="25">
        <v>1</v>
      </c>
      <c r="I13" s="5">
        <v>3.1040000000000001</v>
      </c>
      <c r="J13" s="2">
        <v>0.28838999999999998</v>
      </c>
      <c r="K13" s="5">
        <v>0.28161999999999998</v>
      </c>
      <c r="L13" s="5">
        <v>26.709</v>
      </c>
      <c r="M13" s="5">
        <v>2</v>
      </c>
      <c r="N13" s="5">
        <v>3.1</v>
      </c>
      <c r="O13" s="2">
        <v>0.28732999999999997</v>
      </c>
      <c r="P13" s="5">
        <v>0.27176</v>
      </c>
      <c r="Q13" s="5">
        <v>27.863</v>
      </c>
      <c r="R13" s="5">
        <v>3</v>
      </c>
      <c r="S13" s="5">
        <v>3.105</v>
      </c>
      <c r="T13" s="2">
        <v>0.28310000000000002</v>
      </c>
      <c r="U13" s="5">
        <v>0.26826</v>
      </c>
      <c r="V13" s="5">
        <v>27.667000000000002</v>
      </c>
      <c r="W13" s="22">
        <f t="shared" si="1"/>
        <v>-1.5359999999999818E-2</v>
      </c>
      <c r="X13" s="21">
        <f t="shared" si="2"/>
        <v>-1.5670000000000406E-3</v>
      </c>
      <c r="Y13" s="21">
        <f t="shared" si="3"/>
        <v>-9.4800000000000439E-4</v>
      </c>
      <c r="Z13" s="11">
        <f t="shared" si="4"/>
        <v>-1.7878154968523852E-2</v>
      </c>
      <c r="AA13" s="22">
        <f t="shared" si="5"/>
        <v>-7.3400000000001242E-3</v>
      </c>
      <c r="AB13" s="21">
        <f t="shared" si="6"/>
        <v>-2.8760000000000452E-3</v>
      </c>
      <c r="AC13" s="21">
        <f t="shared" si="7"/>
        <v>-7.3130000000000139E-3</v>
      </c>
      <c r="AD13" s="11">
        <f t="shared" si="8"/>
        <v>1.2636605815673496E-2</v>
      </c>
      <c r="AE13" s="22">
        <f t="shared" si="9"/>
        <v>-1.0860000000000092E-2</v>
      </c>
      <c r="AF13" s="21">
        <f t="shared" si="10"/>
        <v>-6.3570000000000015E-3</v>
      </c>
      <c r="AG13" s="21">
        <f t="shared" si="11"/>
        <v>-1.0114000000000012E-2</v>
      </c>
      <c r="AH13" s="11">
        <f t="shared" si="12"/>
        <v>3.0599000819357958E-3</v>
      </c>
      <c r="AI13">
        <v>2.5000000000000001E-2</v>
      </c>
      <c r="AJ13">
        <v>-2.5000000000000001E-2</v>
      </c>
      <c r="AK13">
        <v>1.5E-3</v>
      </c>
      <c r="AL13">
        <v>-1.5E-3</v>
      </c>
      <c r="AM13">
        <v>1.5E-3</v>
      </c>
      <c r="AN13">
        <v>-1.5E-3</v>
      </c>
      <c r="AO13" s="16">
        <v>2.5000000000000001E-2</v>
      </c>
      <c r="AP13" s="16">
        <v>-2.5000000000000001E-2</v>
      </c>
      <c r="AQ13">
        <v>1.4999999999999999E-2</v>
      </c>
      <c r="AR13">
        <v>-1.4999999999999999E-2</v>
      </c>
      <c r="AS13">
        <v>1E-3</v>
      </c>
      <c r="AT13">
        <v>-1E-3</v>
      </c>
      <c r="AU13">
        <v>1E-3</v>
      </c>
      <c r="AV13">
        <v>-1E-3</v>
      </c>
      <c r="AW13" s="16">
        <v>1.4999999999999999E-2</v>
      </c>
      <c r="AX13" s="16">
        <v>-1.4999999999999999E-2</v>
      </c>
    </row>
    <row r="14" spans="1:279" customFormat="1">
      <c r="A14" s="2">
        <v>9</v>
      </c>
      <c r="B14" s="2">
        <v>3.1072500000000001</v>
      </c>
      <c r="C14" s="2">
        <v>0.28959600000000002</v>
      </c>
      <c r="D14" s="2">
        <v>0.27895900000000001</v>
      </c>
      <c r="E14" s="2">
        <v>27.323499999999999</v>
      </c>
      <c r="F14" s="17">
        <f t="shared" si="0"/>
        <v>44250.652430555558</v>
      </c>
      <c r="G14" s="9">
        <v>44250.652430555558</v>
      </c>
      <c r="H14" s="25">
        <v>1</v>
      </c>
      <c r="I14" s="5">
        <v>3.1</v>
      </c>
      <c r="J14" s="5">
        <v>0.28827999999999998</v>
      </c>
      <c r="K14" s="5">
        <v>0.28133999999999998</v>
      </c>
      <c r="L14" s="5">
        <v>26.645</v>
      </c>
      <c r="M14" s="5">
        <v>2</v>
      </c>
      <c r="N14" s="5">
        <v>3.0950000000000002</v>
      </c>
      <c r="O14" s="5">
        <v>0.28721000000000002</v>
      </c>
      <c r="P14" s="5">
        <v>0.27155000000000001</v>
      </c>
      <c r="Q14" s="5">
        <v>27.818999999999999</v>
      </c>
      <c r="R14" s="5">
        <v>3</v>
      </c>
      <c r="S14" s="5">
        <v>3.0990000000000002</v>
      </c>
      <c r="T14" s="5">
        <v>0.28305000000000002</v>
      </c>
      <c r="U14" s="5">
        <v>0.26817999999999997</v>
      </c>
      <c r="V14" s="5">
        <v>27.69</v>
      </c>
      <c r="W14" s="22">
        <f t="shared" si="1"/>
        <v>-1.9359999999999822E-2</v>
      </c>
      <c r="X14" s="21">
        <f t="shared" si="2"/>
        <v>-1.6770000000000396E-3</v>
      </c>
      <c r="Y14" s="21">
        <f t="shared" si="3"/>
        <v>-1.2280000000000069E-3</v>
      </c>
      <c r="Z14" s="11">
        <f t="shared" si="4"/>
        <v>-2.0231511443195904E-2</v>
      </c>
      <c r="AA14" s="22">
        <f t="shared" si="5"/>
        <v>-1.2340000000000018E-2</v>
      </c>
      <c r="AB14" s="21">
        <f t="shared" si="6"/>
        <v>-2.9959999999999987E-3</v>
      </c>
      <c r="AC14" s="21">
        <f t="shared" si="7"/>
        <v>-7.5230000000000019E-3</v>
      </c>
      <c r="AD14" s="11">
        <f t="shared" si="8"/>
        <v>1.1037495502502326E-2</v>
      </c>
      <c r="AE14" s="22">
        <f t="shared" si="9"/>
        <v>-1.6859999999999875E-2</v>
      </c>
      <c r="AF14" s="21">
        <f t="shared" si="10"/>
        <v>-6.406999999999996E-3</v>
      </c>
      <c r="AG14" s="21">
        <f t="shared" si="11"/>
        <v>-1.0194000000000036E-2</v>
      </c>
      <c r="AH14" s="11">
        <f t="shared" si="12"/>
        <v>3.8937591090035806E-3</v>
      </c>
      <c r="AI14">
        <v>2.5000000000000001E-2</v>
      </c>
      <c r="AJ14">
        <v>-2.5000000000000001E-2</v>
      </c>
      <c r="AK14">
        <v>1.5E-3</v>
      </c>
      <c r="AL14">
        <v>-1.5E-3</v>
      </c>
      <c r="AM14">
        <v>1.5E-3</v>
      </c>
      <c r="AN14">
        <v>-1.5E-3</v>
      </c>
      <c r="AO14" s="16">
        <v>2.5000000000000001E-2</v>
      </c>
      <c r="AP14" s="16">
        <v>-2.5000000000000001E-2</v>
      </c>
      <c r="AQ14">
        <v>1.4999999999999999E-2</v>
      </c>
      <c r="AR14">
        <v>-1.4999999999999999E-2</v>
      </c>
      <c r="AS14">
        <v>1E-3</v>
      </c>
      <c r="AT14">
        <v>-1E-3</v>
      </c>
      <c r="AU14">
        <v>1E-3</v>
      </c>
      <c r="AV14">
        <v>-1E-3</v>
      </c>
      <c r="AW14" s="16">
        <v>1.4999999999999999E-2</v>
      </c>
      <c r="AX14" s="16">
        <v>-1.4999999999999999E-2</v>
      </c>
    </row>
    <row r="15" spans="1:279" customFormat="1">
      <c r="A15" s="2">
        <v>10</v>
      </c>
      <c r="B15" s="2">
        <v>3.1376200000000001</v>
      </c>
      <c r="C15" s="2">
        <v>0.29059400000000002</v>
      </c>
      <c r="D15" s="2">
        <v>0.27949499999999999</v>
      </c>
      <c r="E15" s="2">
        <v>28.013500000000001</v>
      </c>
      <c r="F15" s="17">
        <f t="shared" si="0"/>
        <v>44251.634594907409</v>
      </c>
      <c r="G15" s="9">
        <v>44251.634594907409</v>
      </c>
      <c r="H15" s="25">
        <v>1</v>
      </c>
      <c r="I15" s="5">
        <v>3.101</v>
      </c>
      <c r="J15" s="5">
        <v>0.28828999999999999</v>
      </c>
      <c r="K15" s="5">
        <v>0.28133000000000002</v>
      </c>
      <c r="L15" s="5">
        <v>26.672000000000001</v>
      </c>
      <c r="M15" s="5">
        <v>2</v>
      </c>
      <c r="N15" s="5">
        <v>3.097</v>
      </c>
      <c r="O15" s="5">
        <v>0.28721999999999998</v>
      </c>
      <c r="P15" s="5">
        <v>0.27161999999999997</v>
      </c>
      <c r="Q15" s="5">
        <v>27.802</v>
      </c>
      <c r="R15" s="5">
        <v>3</v>
      </c>
      <c r="S15" s="5">
        <v>3.101</v>
      </c>
      <c r="T15" s="5">
        <v>0.28304000000000001</v>
      </c>
      <c r="U15" s="5">
        <v>0.26815</v>
      </c>
      <c r="V15" s="5">
        <v>27.719000000000001</v>
      </c>
      <c r="W15" s="22">
        <f t="shared" si="1"/>
        <v>-1.8359999999999932E-2</v>
      </c>
      <c r="X15" s="21">
        <f t="shared" si="2"/>
        <v>-1.6670000000000296E-3</v>
      </c>
      <c r="Y15" s="21">
        <f t="shared" si="3"/>
        <v>-1.2379999999999614E-3</v>
      </c>
      <c r="Z15" s="11">
        <f t="shared" si="4"/>
        <v>-1.923868918044358E-2</v>
      </c>
      <c r="AA15" s="22">
        <f t="shared" si="5"/>
        <v>-1.0340000000000238E-2</v>
      </c>
      <c r="AB15" s="21">
        <f t="shared" si="6"/>
        <v>-2.9860000000000442E-3</v>
      </c>
      <c r="AC15" s="21">
        <f t="shared" si="7"/>
        <v>-7.4530000000000429E-3</v>
      </c>
      <c r="AD15" s="11">
        <f t="shared" si="8"/>
        <v>1.0419657426958828E-2</v>
      </c>
      <c r="AE15" s="22">
        <f t="shared" si="9"/>
        <v>-1.4860000000000095E-2</v>
      </c>
      <c r="AF15" s="21">
        <f t="shared" si="10"/>
        <v>-6.417000000000006E-3</v>
      </c>
      <c r="AG15" s="21">
        <f t="shared" si="11"/>
        <v>-1.0224000000000011E-2</v>
      </c>
      <c r="AH15" s="11">
        <f t="shared" si="12"/>
        <v>4.945146577915116E-3</v>
      </c>
      <c r="AI15">
        <v>2.5000000000000001E-2</v>
      </c>
      <c r="AJ15">
        <v>-2.5000000000000001E-2</v>
      </c>
      <c r="AK15">
        <v>1.5E-3</v>
      </c>
      <c r="AL15">
        <v>-1.5E-3</v>
      </c>
      <c r="AM15">
        <v>1.5E-3</v>
      </c>
      <c r="AN15">
        <v>-1.5E-3</v>
      </c>
      <c r="AO15" s="16">
        <v>2.5000000000000001E-2</v>
      </c>
      <c r="AP15" s="16">
        <v>-2.5000000000000001E-2</v>
      </c>
      <c r="AQ15">
        <v>1.4999999999999999E-2</v>
      </c>
      <c r="AR15">
        <v>-1.4999999999999999E-2</v>
      </c>
      <c r="AS15">
        <v>1E-3</v>
      </c>
      <c r="AT15">
        <v>-1E-3</v>
      </c>
      <c r="AU15">
        <v>1E-3</v>
      </c>
      <c r="AV15">
        <v>-1E-3</v>
      </c>
      <c r="AW15" s="16">
        <v>1.4999999999999999E-2</v>
      </c>
      <c r="AX15" s="16">
        <v>-1.4999999999999999E-2</v>
      </c>
      <c r="JS15">
        <v>30.502684236212787</v>
      </c>
    </row>
    <row r="16" spans="1:279" customFormat="1">
      <c r="A16" s="2">
        <v>11</v>
      </c>
      <c r="B16" s="2">
        <v>3.12608</v>
      </c>
      <c r="C16" s="2">
        <v>0.28748800000000002</v>
      </c>
      <c r="D16" s="2">
        <v>0.27488000000000001</v>
      </c>
      <c r="E16" s="2">
        <v>28.246700000000001</v>
      </c>
      <c r="F16" s="17">
        <f t="shared" si="0"/>
        <v>44252.671018518522</v>
      </c>
      <c r="G16" s="9">
        <v>44252.671018518522</v>
      </c>
      <c r="H16" s="25">
        <v>1</v>
      </c>
      <c r="I16" s="5">
        <v>3.1040000000000001</v>
      </c>
      <c r="J16" s="5">
        <v>0.28827000000000003</v>
      </c>
      <c r="K16" s="5">
        <v>0.28133999999999998</v>
      </c>
      <c r="L16" s="5">
        <v>26.687999999999999</v>
      </c>
      <c r="M16" s="5">
        <v>2</v>
      </c>
      <c r="N16" s="5">
        <v>3.101</v>
      </c>
      <c r="O16" s="5">
        <v>0.28720000000000001</v>
      </c>
      <c r="P16" s="5">
        <v>0.27167000000000002</v>
      </c>
      <c r="Q16" s="5">
        <v>27.835999999999999</v>
      </c>
      <c r="R16" s="5">
        <v>3</v>
      </c>
      <c r="S16" s="5">
        <v>3.1040000000000001</v>
      </c>
      <c r="T16" s="5">
        <v>0.28316999999999998</v>
      </c>
      <c r="U16" s="5">
        <v>0.26834999999999998</v>
      </c>
      <c r="V16" s="5">
        <v>27.756</v>
      </c>
      <c r="W16" s="22">
        <f t="shared" si="1"/>
        <v>-1.5359999999999818E-2</v>
      </c>
      <c r="X16" s="21">
        <f t="shared" si="2"/>
        <v>-1.6869999999999941E-3</v>
      </c>
      <c r="Y16" s="21">
        <f t="shared" si="3"/>
        <v>-1.2280000000000069E-3</v>
      </c>
      <c r="Z16" s="11">
        <f t="shared" si="4"/>
        <v>-1.8650350061775622E-2</v>
      </c>
      <c r="AA16" s="22">
        <f t="shared" si="5"/>
        <v>-6.3400000000002343E-3</v>
      </c>
      <c r="AB16" s="21">
        <f t="shared" si="6"/>
        <v>-3.0060000000000087E-3</v>
      </c>
      <c r="AC16" s="21">
        <f t="shared" si="7"/>
        <v>-7.4029999999999929E-3</v>
      </c>
      <c r="AD16" s="11">
        <f t="shared" si="8"/>
        <v>1.1655333578045601E-2</v>
      </c>
      <c r="AE16" s="22">
        <f t="shared" si="9"/>
        <v>-1.1859999999999982E-2</v>
      </c>
      <c r="AF16" s="21">
        <f t="shared" si="10"/>
        <v>-6.2870000000000426E-3</v>
      </c>
      <c r="AG16" s="21">
        <f t="shared" si="11"/>
        <v>-1.0024000000000033E-2</v>
      </c>
      <c r="AH16" s="11">
        <f t="shared" si="12"/>
        <v>6.2865719692850597E-3</v>
      </c>
      <c r="AI16">
        <v>2.5000000000000001E-2</v>
      </c>
      <c r="AJ16">
        <v>-2.5000000000000001E-2</v>
      </c>
      <c r="AK16">
        <v>1.5E-3</v>
      </c>
      <c r="AL16">
        <v>-1.5E-3</v>
      </c>
      <c r="AM16">
        <v>1.5E-3</v>
      </c>
      <c r="AN16">
        <v>-1.5E-3</v>
      </c>
      <c r="AO16" s="16">
        <v>2.5000000000000001E-2</v>
      </c>
      <c r="AP16" s="16">
        <v>-2.5000000000000001E-2</v>
      </c>
      <c r="AQ16">
        <v>1.4999999999999999E-2</v>
      </c>
      <c r="AR16">
        <v>-1.4999999999999999E-2</v>
      </c>
      <c r="AS16">
        <v>1E-3</v>
      </c>
      <c r="AT16">
        <v>-1E-3</v>
      </c>
      <c r="AU16">
        <v>1E-3</v>
      </c>
      <c r="AV16">
        <v>-1E-3</v>
      </c>
      <c r="AW16" s="16">
        <v>1.4999999999999999E-2</v>
      </c>
      <c r="AX16" s="16">
        <v>-1.4999999999999999E-2</v>
      </c>
      <c r="JP16">
        <v>30.502684236212787</v>
      </c>
      <c r="JQ16">
        <v>28.935185185185187</v>
      </c>
    </row>
    <row r="17" spans="1:279" customFormat="1">
      <c r="A17" s="2">
        <v>12</v>
      </c>
      <c r="B17" s="2">
        <v>3.1156700000000002</v>
      </c>
      <c r="C17" s="2">
        <v>0.28812599999999999</v>
      </c>
      <c r="D17" s="2">
        <v>0.27393200000000001</v>
      </c>
      <c r="E17" s="2">
        <v>28.7394</v>
      </c>
      <c r="F17" s="17" t="str">
        <f t="shared" si="0"/>
        <v/>
      </c>
      <c r="G17" s="9"/>
      <c r="H17" s="25">
        <v>1</v>
      </c>
      <c r="I17" s="5"/>
      <c r="J17" s="5"/>
      <c r="K17" s="5"/>
      <c r="L17" s="5"/>
      <c r="M17" s="5">
        <v>2</v>
      </c>
      <c r="N17" s="5"/>
      <c r="O17" s="5"/>
      <c r="P17" s="5"/>
      <c r="Q17" s="5"/>
      <c r="R17" s="5">
        <v>3</v>
      </c>
      <c r="S17" s="5"/>
      <c r="T17" s="5"/>
      <c r="U17" s="5"/>
      <c r="V17" s="5"/>
      <c r="W17" s="22">
        <f t="shared" si="1"/>
        <v>-3.1193599999999999</v>
      </c>
      <c r="X17" s="21">
        <f t="shared" si="2"/>
        <v>-0.28995700000000002</v>
      </c>
      <c r="Y17" s="21">
        <f t="shared" si="3"/>
        <v>-0.28256799999999999</v>
      </c>
      <c r="Z17" s="11">
        <f t="shared" si="4"/>
        <v>-1</v>
      </c>
      <c r="AA17" s="22">
        <f t="shared" si="5"/>
        <v>-3.1073400000000002</v>
      </c>
      <c r="AB17" s="21">
        <f t="shared" si="6"/>
        <v>-0.29020600000000002</v>
      </c>
      <c r="AC17" s="21">
        <f t="shared" si="7"/>
        <v>-0.27907300000000002</v>
      </c>
      <c r="AD17" s="11">
        <f t="shared" si="8"/>
        <v>-1</v>
      </c>
      <c r="AE17" s="22">
        <f t="shared" si="9"/>
        <v>-3.1158600000000001</v>
      </c>
      <c r="AF17" s="21">
        <f t="shared" si="10"/>
        <v>-0.28945700000000002</v>
      </c>
      <c r="AG17" s="21">
        <f t="shared" si="11"/>
        <v>-0.27837400000000001</v>
      </c>
      <c r="AH17" s="11">
        <f t="shared" si="12"/>
        <v>-1</v>
      </c>
      <c r="AI17">
        <v>2.5000000000000001E-2</v>
      </c>
      <c r="AJ17">
        <v>-2.5000000000000001E-2</v>
      </c>
      <c r="AK17">
        <v>1.5E-3</v>
      </c>
      <c r="AL17">
        <v>-1.5E-3</v>
      </c>
      <c r="AM17">
        <v>1.5E-3</v>
      </c>
      <c r="AN17">
        <v>-1.5E-3</v>
      </c>
      <c r="AO17" s="16">
        <v>2.5000000000000001E-2</v>
      </c>
      <c r="AP17" s="16">
        <v>-2.5000000000000001E-2</v>
      </c>
      <c r="AQ17">
        <v>1.4999999999999999E-2</v>
      </c>
      <c r="AR17">
        <v>-1.4999999999999999E-2</v>
      </c>
      <c r="AS17">
        <v>1E-3</v>
      </c>
      <c r="AT17">
        <v>-1E-3</v>
      </c>
      <c r="AU17">
        <v>1E-3</v>
      </c>
      <c r="AV17">
        <v>-1E-3</v>
      </c>
      <c r="AW17" s="16">
        <v>1.4999999999999999E-2</v>
      </c>
      <c r="AX17" s="16">
        <v>-1.4999999999999999E-2</v>
      </c>
    </row>
    <row r="18" spans="1:279" customFormat="1">
      <c r="A18" s="2">
        <v>13</v>
      </c>
      <c r="B18" s="2">
        <v>3.11368</v>
      </c>
      <c r="C18" s="2">
        <v>0.28887699999999999</v>
      </c>
      <c r="D18" s="2">
        <v>0.27410299999999999</v>
      </c>
      <c r="E18" s="2">
        <v>28.440300000000001</v>
      </c>
      <c r="F18" s="17" t="str">
        <f t="shared" si="0"/>
        <v/>
      </c>
      <c r="G18" s="9"/>
      <c r="H18" s="25">
        <v>1</v>
      </c>
      <c r="I18" s="5"/>
      <c r="J18" s="5"/>
      <c r="K18" s="5"/>
      <c r="L18" s="5"/>
      <c r="M18" s="5">
        <v>2</v>
      </c>
      <c r="N18" s="5"/>
      <c r="O18" s="5"/>
      <c r="P18" s="5"/>
      <c r="Q18" s="5"/>
      <c r="R18" s="5">
        <v>3</v>
      </c>
      <c r="S18" s="5"/>
      <c r="T18" s="5"/>
      <c r="U18" s="5"/>
      <c r="V18" s="5"/>
      <c r="W18" s="22">
        <f t="shared" si="1"/>
        <v>-3.1193599999999999</v>
      </c>
      <c r="X18" s="21">
        <f t="shared" si="2"/>
        <v>-0.28995700000000002</v>
      </c>
      <c r="Y18" s="21">
        <f t="shared" si="3"/>
        <v>-0.28256799999999999</v>
      </c>
      <c r="Z18" s="11">
        <f t="shared" si="4"/>
        <v>-1</v>
      </c>
      <c r="AA18" s="22">
        <f t="shared" si="5"/>
        <v>-3.1073400000000002</v>
      </c>
      <c r="AB18" s="21">
        <f t="shared" si="6"/>
        <v>-0.29020600000000002</v>
      </c>
      <c r="AC18" s="21">
        <f t="shared" si="7"/>
        <v>-0.27907300000000002</v>
      </c>
      <c r="AD18" s="11">
        <f t="shared" si="8"/>
        <v>-1</v>
      </c>
      <c r="AE18" s="22">
        <f t="shared" si="9"/>
        <v>-3.1158600000000001</v>
      </c>
      <c r="AF18" s="21">
        <f t="shared" si="10"/>
        <v>-0.28945700000000002</v>
      </c>
      <c r="AG18" s="21">
        <f t="shared" si="11"/>
        <v>-0.27837400000000001</v>
      </c>
      <c r="AH18" s="11">
        <f t="shared" si="12"/>
        <v>-1</v>
      </c>
      <c r="AI18">
        <v>2.5000000000000001E-2</v>
      </c>
      <c r="AJ18">
        <v>-2.5000000000000001E-2</v>
      </c>
      <c r="AK18">
        <v>1.5E-3</v>
      </c>
      <c r="AL18">
        <v>-1.5E-3</v>
      </c>
      <c r="AM18">
        <v>1.5E-3</v>
      </c>
      <c r="AN18">
        <v>-1.5E-3</v>
      </c>
      <c r="AO18" s="16">
        <v>2.5000000000000001E-2</v>
      </c>
      <c r="AP18" s="16">
        <v>-2.5000000000000001E-2</v>
      </c>
      <c r="AQ18">
        <v>1.4999999999999999E-2</v>
      </c>
      <c r="AR18">
        <v>-1.4999999999999999E-2</v>
      </c>
      <c r="AS18">
        <v>1E-3</v>
      </c>
      <c r="AT18">
        <v>-1E-3</v>
      </c>
      <c r="AU18">
        <v>1E-3</v>
      </c>
      <c r="AV18">
        <v>-1E-3</v>
      </c>
      <c r="AW18" s="16">
        <v>1.4999999999999999E-2</v>
      </c>
      <c r="AX18" s="16">
        <v>-1.4999999999999999E-2</v>
      </c>
      <c r="JQ18">
        <v>24.187306501547987</v>
      </c>
      <c r="JR18">
        <v>27.64263600176913</v>
      </c>
      <c r="JS18">
        <v>24.187306501547987</v>
      </c>
    </row>
    <row r="19" spans="1:279" customFormat="1">
      <c r="A19" s="2">
        <v>14</v>
      </c>
      <c r="B19" s="2">
        <v>3.1061100000000001</v>
      </c>
      <c r="C19" s="2">
        <v>0.28692200000000001</v>
      </c>
      <c r="D19" s="2">
        <v>0.27257500000000001</v>
      </c>
      <c r="E19" s="2">
        <v>28.471299999999999</v>
      </c>
      <c r="F19" s="17" t="str">
        <f t="shared" si="0"/>
        <v/>
      </c>
      <c r="G19" s="9"/>
      <c r="H19" s="25">
        <v>1</v>
      </c>
      <c r="I19" s="5"/>
      <c r="J19" s="5"/>
      <c r="K19" s="5"/>
      <c r="L19" s="5"/>
      <c r="M19" s="5">
        <v>2</v>
      </c>
      <c r="N19" s="5"/>
      <c r="O19" s="5"/>
      <c r="P19" s="5"/>
      <c r="Q19" s="5"/>
      <c r="R19" s="5">
        <v>3</v>
      </c>
      <c r="S19" s="5"/>
      <c r="T19" s="5"/>
      <c r="U19" s="5"/>
      <c r="V19" s="5"/>
      <c r="W19" s="22">
        <f t="shared" si="1"/>
        <v>-3.1193599999999999</v>
      </c>
      <c r="X19" s="21">
        <f t="shared" si="2"/>
        <v>-0.28995700000000002</v>
      </c>
      <c r="Y19" s="21">
        <f t="shared" si="3"/>
        <v>-0.28256799999999999</v>
      </c>
      <c r="Z19" s="11">
        <f t="shared" si="4"/>
        <v>-1</v>
      </c>
      <c r="AA19" s="22">
        <f t="shared" si="5"/>
        <v>-3.1073400000000002</v>
      </c>
      <c r="AB19" s="21">
        <f t="shared" si="6"/>
        <v>-0.29020600000000002</v>
      </c>
      <c r="AC19" s="21">
        <f t="shared" si="7"/>
        <v>-0.27907300000000002</v>
      </c>
      <c r="AD19" s="11">
        <f t="shared" si="8"/>
        <v>-1</v>
      </c>
      <c r="AE19" s="22">
        <f t="shared" si="9"/>
        <v>-3.1158600000000001</v>
      </c>
      <c r="AF19" s="21">
        <f t="shared" si="10"/>
        <v>-0.28945700000000002</v>
      </c>
      <c r="AG19" s="21">
        <f t="shared" si="11"/>
        <v>-0.27837400000000001</v>
      </c>
      <c r="AH19" s="11">
        <f t="shared" si="12"/>
        <v>-1</v>
      </c>
      <c r="AI19">
        <v>2.5000000000000001E-2</v>
      </c>
      <c r="AJ19">
        <v>-2.5000000000000001E-2</v>
      </c>
      <c r="AK19">
        <v>1.5E-3</v>
      </c>
      <c r="AL19">
        <v>-1.5E-3</v>
      </c>
      <c r="AM19">
        <v>1.5E-3</v>
      </c>
      <c r="AN19">
        <v>-1.5E-3</v>
      </c>
      <c r="AO19" s="16">
        <v>2.5000000000000001E-2</v>
      </c>
      <c r="AP19" s="16">
        <v>-2.5000000000000001E-2</v>
      </c>
      <c r="AQ19">
        <v>1.4999999999999999E-2</v>
      </c>
      <c r="AR19">
        <v>-1.4999999999999999E-2</v>
      </c>
      <c r="AS19">
        <v>1E-3</v>
      </c>
      <c r="AT19">
        <v>-1E-3</v>
      </c>
      <c r="AU19">
        <v>1E-3</v>
      </c>
      <c r="AV19">
        <v>-1E-3</v>
      </c>
      <c r="AW19" s="16">
        <v>1.4999999999999999E-2</v>
      </c>
      <c r="AX19" s="16">
        <v>-1.4999999999999999E-2</v>
      </c>
    </row>
    <row r="20" spans="1:279" customFormat="1">
      <c r="A20" s="2">
        <v>15</v>
      </c>
      <c r="B20" s="2">
        <v>3.1324200000000002</v>
      </c>
      <c r="C20" s="2">
        <v>0.28729700000000002</v>
      </c>
      <c r="D20" s="2">
        <v>0.27366200000000002</v>
      </c>
      <c r="E20" s="2">
        <v>27.869</v>
      </c>
      <c r="F20" s="17" t="str">
        <f t="shared" si="0"/>
        <v/>
      </c>
      <c r="G20" s="9"/>
      <c r="H20" s="25">
        <v>1</v>
      </c>
      <c r="I20" s="5"/>
      <c r="J20" s="5"/>
      <c r="K20" s="5"/>
      <c r="L20" s="5"/>
      <c r="M20" s="5">
        <v>2</v>
      </c>
      <c r="N20" s="5"/>
      <c r="O20" s="5"/>
      <c r="P20" s="5"/>
      <c r="Q20" s="5"/>
      <c r="R20" s="5">
        <v>3</v>
      </c>
      <c r="S20" s="5"/>
      <c r="T20" s="5"/>
      <c r="U20" s="5"/>
      <c r="V20" s="5"/>
      <c r="W20" s="22">
        <f t="shared" si="1"/>
        <v>-3.1193599999999999</v>
      </c>
      <c r="X20" s="21">
        <f t="shared" si="2"/>
        <v>-0.28995700000000002</v>
      </c>
      <c r="Y20" s="21">
        <f t="shared" si="3"/>
        <v>-0.28256799999999999</v>
      </c>
      <c r="Z20" s="11">
        <f t="shared" si="4"/>
        <v>-1</v>
      </c>
      <c r="AA20" s="22">
        <f t="shared" si="5"/>
        <v>-3.1073400000000002</v>
      </c>
      <c r="AB20" s="21">
        <f t="shared" si="6"/>
        <v>-0.29020600000000002</v>
      </c>
      <c r="AC20" s="21">
        <f t="shared" si="7"/>
        <v>-0.27907300000000002</v>
      </c>
      <c r="AD20" s="11">
        <f t="shared" si="8"/>
        <v>-1</v>
      </c>
      <c r="AE20" s="22">
        <f t="shared" si="9"/>
        <v>-3.1158600000000001</v>
      </c>
      <c r="AF20" s="21">
        <f t="shared" si="10"/>
        <v>-0.28945700000000002</v>
      </c>
      <c r="AG20" s="21">
        <f t="shared" si="11"/>
        <v>-0.27837400000000001</v>
      </c>
      <c r="AH20" s="11">
        <f t="shared" si="12"/>
        <v>-1</v>
      </c>
      <c r="AI20">
        <v>2.5000000000000001E-2</v>
      </c>
      <c r="AJ20">
        <v>-2.5000000000000001E-2</v>
      </c>
      <c r="AK20">
        <v>1.5E-3</v>
      </c>
      <c r="AL20">
        <v>-1.5E-3</v>
      </c>
      <c r="AM20">
        <v>1.5E-3</v>
      </c>
      <c r="AN20">
        <v>-1.5E-3</v>
      </c>
      <c r="AO20" s="16">
        <v>2.5000000000000001E-2</v>
      </c>
      <c r="AP20" s="16">
        <v>-2.5000000000000001E-2</v>
      </c>
      <c r="AQ20">
        <v>1.4999999999999999E-2</v>
      </c>
      <c r="AR20">
        <v>-1.4999999999999999E-2</v>
      </c>
      <c r="AS20">
        <v>1E-3</v>
      </c>
      <c r="AT20">
        <v>-1E-3</v>
      </c>
      <c r="AU20">
        <v>1E-3</v>
      </c>
      <c r="AV20">
        <v>-1E-3</v>
      </c>
      <c r="AW20" s="16">
        <v>1.4999999999999999E-2</v>
      </c>
      <c r="AX20" s="16">
        <v>-1.4999999999999999E-2</v>
      </c>
      <c r="JP20">
        <v>27.64263600176913</v>
      </c>
      <c r="JQ20">
        <v>26.386152547143258</v>
      </c>
    </row>
    <row r="21" spans="1:279" customFormat="1">
      <c r="A21" s="2">
        <v>16</v>
      </c>
      <c r="B21" s="2">
        <v>3.12324</v>
      </c>
      <c r="C21" s="2">
        <v>0.28870499999999999</v>
      </c>
      <c r="D21" s="2">
        <v>0.27699800000000002</v>
      </c>
      <c r="E21" s="2">
        <v>28.533999999999999</v>
      </c>
      <c r="F21" s="17" t="str">
        <f t="shared" si="0"/>
        <v/>
      </c>
      <c r="G21" s="9"/>
      <c r="H21" s="25">
        <v>1</v>
      </c>
      <c r="I21" s="5"/>
      <c r="J21" s="5"/>
      <c r="K21" s="5"/>
      <c r="L21" s="5"/>
      <c r="M21" s="5">
        <v>2</v>
      </c>
      <c r="N21" s="5"/>
      <c r="O21" s="5"/>
      <c r="P21" s="5"/>
      <c r="Q21" s="5"/>
      <c r="R21" s="5">
        <v>3</v>
      </c>
      <c r="S21" s="5"/>
      <c r="T21" s="5"/>
      <c r="U21" s="5"/>
      <c r="V21" s="5"/>
      <c r="W21" s="22">
        <f t="shared" si="1"/>
        <v>-3.1193599999999999</v>
      </c>
      <c r="X21" s="21">
        <f t="shared" si="2"/>
        <v>-0.28995700000000002</v>
      </c>
      <c r="Y21" s="21">
        <f t="shared" si="3"/>
        <v>-0.28256799999999999</v>
      </c>
      <c r="Z21" s="11">
        <f t="shared" si="4"/>
        <v>-1</v>
      </c>
      <c r="AA21" s="22">
        <f t="shared" si="5"/>
        <v>-3.1073400000000002</v>
      </c>
      <c r="AB21" s="21">
        <f t="shared" si="6"/>
        <v>-0.29020600000000002</v>
      </c>
      <c r="AC21" s="21">
        <f t="shared" si="7"/>
        <v>-0.27907300000000002</v>
      </c>
      <c r="AD21" s="11">
        <f t="shared" si="8"/>
        <v>-1</v>
      </c>
      <c r="AE21" s="22">
        <f t="shared" si="9"/>
        <v>-3.1158600000000001</v>
      </c>
      <c r="AF21" s="21">
        <f t="shared" si="10"/>
        <v>-0.28945700000000002</v>
      </c>
      <c r="AG21" s="21">
        <f t="shared" si="11"/>
        <v>-0.27837400000000001</v>
      </c>
      <c r="AH21" s="11">
        <f t="shared" si="12"/>
        <v>-1</v>
      </c>
      <c r="AI21">
        <v>2.5000000000000001E-2</v>
      </c>
      <c r="AJ21">
        <v>-2.5000000000000001E-2</v>
      </c>
      <c r="AK21">
        <v>1.5E-3</v>
      </c>
      <c r="AL21">
        <v>-1.5E-3</v>
      </c>
      <c r="AM21">
        <v>1.5E-3</v>
      </c>
      <c r="AN21">
        <v>-1.5E-3</v>
      </c>
      <c r="AO21" s="16">
        <v>2.5000000000000001E-2</v>
      </c>
      <c r="AP21" s="16">
        <v>-2.5000000000000001E-2</v>
      </c>
      <c r="AQ21">
        <v>1.4999999999999999E-2</v>
      </c>
      <c r="AR21">
        <v>-1.4999999999999999E-2</v>
      </c>
      <c r="AS21">
        <v>1E-3</v>
      </c>
      <c r="AT21">
        <v>-1E-3</v>
      </c>
      <c r="AU21">
        <v>1E-3</v>
      </c>
      <c r="AV21">
        <v>-1E-3</v>
      </c>
      <c r="AW21" s="16">
        <v>1.4999999999999999E-2</v>
      </c>
      <c r="AX21" s="16">
        <v>-1.4999999999999999E-2</v>
      </c>
      <c r="JP21">
        <v>28.935185185185187</v>
      </c>
      <c r="JQ21">
        <v>28.935185185185187</v>
      </c>
    </row>
    <row r="22" spans="1:279" customFormat="1">
      <c r="A22" s="2">
        <v>17</v>
      </c>
      <c r="B22" s="2">
        <v>3.1044100000000001</v>
      </c>
      <c r="C22" s="2">
        <v>0.28772500000000001</v>
      </c>
      <c r="D22" s="2">
        <v>0.27346599999999999</v>
      </c>
      <c r="E22" s="2">
        <v>28.529199999999999</v>
      </c>
      <c r="F22" s="17" t="str">
        <f t="shared" si="0"/>
        <v/>
      </c>
      <c r="G22" s="9"/>
      <c r="H22" s="25">
        <v>1</v>
      </c>
      <c r="I22" s="5"/>
      <c r="J22" s="5"/>
      <c r="K22" s="5"/>
      <c r="L22" s="5"/>
      <c r="M22" s="5">
        <v>2</v>
      </c>
      <c r="N22" s="5"/>
      <c r="O22" s="5"/>
      <c r="P22" s="5"/>
      <c r="Q22" s="5"/>
      <c r="R22" s="5">
        <v>3</v>
      </c>
      <c r="S22" s="5"/>
      <c r="T22" s="5"/>
      <c r="U22" s="5"/>
      <c r="V22" s="5"/>
      <c r="W22" s="22">
        <f t="shared" si="1"/>
        <v>-3.1193599999999999</v>
      </c>
      <c r="X22" s="21">
        <f t="shared" si="2"/>
        <v>-0.28995700000000002</v>
      </c>
      <c r="Y22" s="21">
        <f t="shared" si="3"/>
        <v>-0.28256799999999999</v>
      </c>
      <c r="Z22" s="11">
        <f t="shared" si="4"/>
        <v>-1</v>
      </c>
      <c r="AA22" s="22">
        <f t="shared" si="5"/>
        <v>-3.1073400000000002</v>
      </c>
      <c r="AB22" s="21">
        <f t="shared" si="6"/>
        <v>-0.29020600000000002</v>
      </c>
      <c r="AC22" s="21">
        <f t="shared" si="7"/>
        <v>-0.27907300000000002</v>
      </c>
      <c r="AD22" s="11">
        <f t="shared" si="8"/>
        <v>-1</v>
      </c>
      <c r="AE22" s="22">
        <f t="shared" si="9"/>
        <v>-3.1158600000000001</v>
      </c>
      <c r="AF22" s="21">
        <f t="shared" si="10"/>
        <v>-0.28945700000000002</v>
      </c>
      <c r="AG22" s="21">
        <f t="shared" si="11"/>
        <v>-0.27837400000000001</v>
      </c>
      <c r="AH22" s="11">
        <f t="shared" si="12"/>
        <v>-1</v>
      </c>
      <c r="AI22">
        <v>2.5000000000000001E-2</v>
      </c>
      <c r="AJ22">
        <v>-2.5000000000000001E-2</v>
      </c>
      <c r="AK22">
        <v>1.5E-3</v>
      </c>
      <c r="AL22">
        <v>-1.5E-3</v>
      </c>
      <c r="AM22">
        <v>1.5E-3</v>
      </c>
      <c r="AN22">
        <v>-1.5E-3</v>
      </c>
      <c r="AO22" s="16">
        <v>2.5000000000000001E-2</v>
      </c>
      <c r="AP22" s="16">
        <v>-2.5000000000000001E-2</v>
      </c>
      <c r="AQ22">
        <v>1.4999999999999999E-2</v>
      </c>
      <c r="AR22">
        <v>-1.4999999999999999E-2</v>
      </c>
      <c r="AS22">
        <v>1E-3</v>
      </c>
      <c r="AT22">
        <v>-1E-3</v>
      </c>
      <c r="AU22">
        <v>1E-3</v>
      </c>
      <c r="AV22">
        <v>-1E-3</v>
      </c>
      <c r="AW22" s="16">
        <v>1.4999999999999999E-2</v>
      </c>
      <c r="AX22" s="16">
        <v>-1.4999999999999999E-2</v>
      </c>
    </row>
    <row r="23" spans="1:279" customFormat="1">
      <c r="A23" s="2">
        <v>18</v>
      </c>
      <c r="B23" s="2">
        <v>3.11103</v>
      </c>
      <c r="C23" s="2">
        <v>0.287439</v>
      </c>
      <c r="D23" s="2">
        <v>0.27293200000000001</v>
      </c>
      <c r="E23" s="2">
        <v>28.550899999999999</v>
      </c>
      <c r="F23" s="17" t="str">
        <f t="shared" si="0"/>
        <v/>
      </c>
      <c r="G23" s="9"/>
      <c r="H23" s="25">
        <v>1</v>
      </c>
      <c r="I23" s="5"/>
      <c r="J23" s="5"/>
      <c r="K23" s="5"/>
      <c r="L23" s="5"/>
      <c r="M23" s="5">
        <v>2</v>
      </c>
      <c r="N23" s="5"/>
      <c r="O23" s="5"/>
      <c r="P23" s="5"/>
      <c r="Q23" s="5"/>
      <c r="R23" s="5">
        <v>3</v>
      </c>
      <c r="S23" s="5"/>
      <c r="T23" s="5"/>
      <c r="U23" s="5"/>
      <c r="V23" s="5"/>
      <c r="W23" s="22">
        <f t="shared" si="1"/>
        <v>-3.1193599999999999</v>
      </c>
      <c r="X23" s="21">
        <f t="shared" si="2"/>
        <v>-0.28995700000000002</v>
      </c>
      <c r="Y23" s="21">
        <f t="shared" si="3"/>
        <v>-0.28256799999999999</v>
      </c>
      <c r="Z23" s="11">
        <f t="shared" si="4"/>
        <v>-1</v>
      </c>
      <c r="AA23" s="22">
        <f t="shared" si="5"/>
        <v>-3.1073400000000002</v>
      </c>
      <c r="AB23" s="21">
        <f t="shared" si="6"/>
        <v>-0.29020600000000002</v>
      </c>
      <c r="AC23" s="21">
        <f t="shared" si="7"/>
        <v>-0.27907300000000002</v>
      </c>
      <c r="AD23" s="11">
        <f t="shared" si="8"/>
        <v>-1</v>
      </c>
      <c r="AE23" s="22">
        <f t="shared" si="9"/>
        <v>-3.1158600000000001</v>
      </c>
      <c r="AF23" s="21">
        <f t="shared" si="10"/>
        <v>-0.28945700000000002</v>
      </c>
      <c r="AG23" s="21">
        <f t="shared" si="11"/>
        <v>-0.27837400000000001</v>
      </c>
      <c r="AH23" s="11">
        <f t="shared" si="12"/>
        <v>-1</v>
      </c>
      <c r="AI23">
        <v>2.5000000000000001E-2</v>
      </c>
      <c r="AJ23">
        <v>-2.5000000000000001E-2</v>
      </c>
      <c r="AK23">
        <v>1.5E-3</v>
      </c>
      <c r="AL23">
        <v>-1.5E-3</v>
      </c>
      <c r="AM23">
        <v>1.5E-3</v>
      </c>
      <c r="AN23">
        <v>-1.5E-3</v>
      </c>
      <c r="AO23" s="16">
        <v>2.5000000000000001E-2</v>
      </c>
      <c r="AP23" s="16">
        <v>-2.5000000000000001E-2</v>
      </c>
      <c r="AQ23">
        <v>1.4999999999999999E-2</v>
      </c>
      <c r="AR23">
        <v>-1.4999999999999999E-2</v>
      </c>
      <c r="AS23">
        <v>1E-3</v>
      </c>
      <c r="AT23">
        <v>-1E-3</v>
      </c>
      <c r="AU23">
        <v>1E-3</v>
      </c>
      <c r="AV23">
        <v>-1E-3</v>
      </c>
      <c r="AW23" s="16">
        <v>1.4999999999999999E-2</v>
      </c>
      <c r="AX23" s="16">
        <v>-1.4999999999999999E-2</v>
      </c>
    </row>
    <row r="24" spans="1:279" customFormat="1">
      <c r="A24" s="2">
        <v>19</v>
      </c>
      <c r="B24" s="2">
        <v>3.1101800000000002</v>
      </c>
      <c r="C24" s="2">
        <v>0.286136</v>
      </c>
      <c r="D24" s="2">
        <v>0.27066400000000002</v>
      </c>
      <c r="E24" s="2">
        <v>28.410699999999999</v>
      </c>
      <c r="F24" s="17" t="str">
        <f t="shared" si="0"/>
        <v/>
      </c>
      <c r="G24" s="9"/>
      <c r="H24" s="25">
        <v>1</v>
      </c>
      <c r="I24" s="5"/>
      <c r="J24" s="5"/>
      <c r="K24" s="5"/>
      <c r="L24" s="5"/>
      <c r="M24" s="5">
        <v>2</v>
      </c>
      <c r="N24" s="5"/>
      <c r="O24" s="5"/>
      <c r="P24" s="5"/>
      <c r="Q24" s="5"/>
      <c r="R24" s="5">
        <v>3</v>
      </c>
      <c r="S24" s="5"/>
      <c r="T24" s="5"/>
      <c r="U24" s="5"/>
      <c r="V24" s="5"/>
      <c r="W24" s="22">
        <f t="shared" si="1"/>
        <v>-3.1193599999999999</v>
      </c>
      <c r="X24" s="21">
        <f t="shared" si="2"/>
        <v>-0.28995700000000002</v>
      </c>
      <c r="Y24" s="21">
        <f t="shared" si="3"/>
        <v>-0.28256799999999999</v>
      </c>
      <c r="Z24" s="11">
        <f t="shared" si="4"/>
        <v>-1</v>
      </c>
      <c r="AA24" s="22">
        <f t="shared" si="5"/>
        <v>-3.1073400000000002</v>
      </c>
      <c r="AB24" s="21">
        <f t="shared" si="6"/>
        <v>-0.29020600000000002</v>
      </c>
      <c r="AC24" s="21">
        <f t="shared" si="7"/>
        <v>-0.27907300000000002</v>
      </c>
      <c r="AD24" s="11">
        <f t="shared" si="8"/>
        <v>-1</v>
      </c>
      <c r="AE24" s="22">
        <f t="shared" si="9"/>
        <v>-3.1158600000000001</v>
      </c>
      <c r="AF24" s="21">
        <f t="shared" si="10"/>
        <v>-0.28945700000000002</v>
      </c>
      <c r="AG24" s="21">
        <f t="shared" si="11"/>
        <v>-0.27837400000000001</v>
      </c>
      <c r="AH24" s="11">
        <f t="shared" si="12"/>
        <v>-1</v>
      </c>
      <c r="AI24">
        <v>2.5000000000000001E-2</v>
      </c>
      <c r="AJ24">
        <v>-2.5000000000000001E-2</v>
      </c>
      <c r="AK24">
        <v>1.5E-3</v>
      </c>
      <c r="AL24">
        <v>-1.5E-3</v>
      </c>
      <c r="AM24">
        <v>1.5E-3</v>
      </c>
      <c r="AN24">
        <v>-1.5E-3</v>
      </c>
      <c r="AO24" s="16">
        <v>2.5000000000000001E-2</v>
      </c>
      <c r="AP24" s="16">
        <v>-2.5000000000000001E-2</v>
      </c>
      <c r="AQ24">
        <v>1.4999999999999999E-2</v>
      </c>
      <c r="AR24">
        <v>-1.4999999999999999E-2</v>
      </c>
      <c r="AS24">
        <v>1E-3</v>
      </c>
      <c r="AT24">
        <v>-1E-3</v>
      </c>
      <c r="AU24">
        <v>1E-3</v>
      </c>
      <c r="AV24">
        <v>-1E-3</v>
      </c>
      <c r="AW24" s="16">
        <v>1.4999999999999999E-2</v>
      </c>
      <c r="AX24" s="16">
        <v>-1.4999999999999999E-2</v>
      </c>
    </row>
    <row r="25" spans="1:279" customFormat="1">
      <c r="A25" s="2">
        <v>20</v>
      </c>
      <c r="B25" s="2">
        <v>3.1181299999999998</v>
      </c>
      <c r="C25" s="2">
        <v>0.28607500000000002</v>
      </c>
      <c r="D25" s="2">
        <v>0.26979300000000001</v>
      </c>
      <c r="E25" s="2">
        <v>28.140599999999999</v>
      </c>
      <c r="F25" s="17" t="str">
        <f t="shared" si="0"/>
        <v/>
      </c>
      <c r="G25" s="9"/>
      <c r="H25" s="25">
        <v>1</v>
      </c>
      <c r="I25" s="5"/>
      <c r="J25" s="5"/>
      <c r="K25" s="5"/>
      <c r="L25" s="5"/>
      <c r="M25" s="5">
        <v>2</v>
      </c>
      <c r="N25" s="5"/>
      <c r="O25" s="5"/>
      <c r="P25" s="5"/>
      <c r="Q25" s="5"/>
      <c r="R25" s="5">
        <v>3</v>
      </c>
      <c r="S25" s="5"/>
      <c r="T25" s="5"/>
      <c r="U25" s="5"/>
      <c r="V25" s="5"/>
      <c r="W25" s="22">
        <f t="shared" si="1"/>
        <v>-3.1193599999999999</v>
      </c>
      <c r="X25" s="21">
        <f t="shared" si="2"/>
        <v>-0.28995700000000002</v>
      </c>
      <c r="Y25" s="21">
        <f t="shared" si="3"/>
        <v>-0.28256799999999999</v>
      </c>
      <c r="Z25" s="11">
        <f t="shared" si="4"/>
        <v>-1</v>
      </c>
      <c r="AA25" s="22">
        <f t="shared" si="5"/>
        <v>-3.1073400000000002</v>
      </c>
      <c r="AB25" s="21">
        <f t="shared" si="6"/>
        <v>-0.29020600000000002</v>
      </c>
      <c r="AC25" s="21">
        <f t="shared" si="7"/>
        <v>-0.27907300000000002</v>
      </c>
      <c r="AD25" s="11">
        <f t="shared" si="8"/>
        <v>-1</v>
      </c>
      <c r="AE25" s="22">
        <f t="shared" si="9"/>
        <v>-3.1158600000000001</v>
      </c>
      <c r="AF25" s="21">
        <f t="shared" si="10"/>
        <v>-0.28945700000000002</v>
      </c>
      <c r="AG25" s="21">
        <f t="shared" si="11"/>
        <v>-0.27837400000000001</v>
      </c>
      <c r="AH25" s="11">
        <f t="shared" si="12"/>
        <v>-1</v>
      </c>
      <c r="AI25">
        <v>2.5000000000000001E-2</v>
      </c>
      <c r="AJ25">
        <v>-2.5000000000000001E-2</v>
      </c>
      <c r="AK25">
        <v>1.5E-3</v>
      </c>
      <c r="AL25">
        <v>-1.5E-3</v>
      </c>
      <c r="AM25">
        <v>1.5E-3</v>
      </c>
      <c r="AN25">
        <v>-1.5E-3</v>
      </c>
      <c r="AO25" s="16">
        <v>2.5000000000000001E-2</v>
      </c>
      <c r="AP25" s="16">
        <v>-2.5000000000000001E-2</v>
      </c>
      <c r="AQ25">
        <v>1.4999999999999999E-2</v>
      </c>
      <c r="AR25">
        <v>-1.4999999999999999E-2</v>
      </c>
      <c r="AS25">
        <v>1E-3</v>
      </c>
      <c r="AT25">
        <v>-1E-3</v>
      </c>
      <c r="AU25">
        <v>1E-3</v>
      </c>
      <c r="AV25">
        <v>-1E-3</v>
      </c>
      <c r="AW25" s="16">
        <v>1.4999999999999999E-2</v>
      </c>
      <c r="AX25" s="16">
        <v>-1.4999999999999999E-2</v>
      </c>
    </row>
    <row r="26" spans="1:279" customFormat="1">
      <c r="A26" s="2">
        <v>21</v>
      </c>
      <c r="B26" s="2">
        <v>3.1225800000000001</v>
      </c>
      <c r="C26" s="2">
        <v>0.28238799999999997</v>
      </c>
      <c r="D26" s="2">
        <v>0.26496199999999998</v>
      </c>
      <c r="E26" s="2">
        <v>27.8932</v>
      </c>
      <c r="F26" s="17" t="str">
        <f t="shared" si="0"/>
        <v/>
      </c>
      <c r="G26" s="9"/>
      <c r="H26" s="25">
        <v>1</v>
      </c>
      <c r="I26" s="5"/>
      <c r="J26" s="5"/>
      <c r="K26" s="5"/>
      <c r="L26" s="5"/>
      <c r="M26" s="5">
        <v>2</v>
      </c>
      <c r="N26" s="5"/>
      <c r="O26" s="5"/>
      <c r="P26" s="5"/>
      <c r="Q26" s="5"/>
      <c r="R26" s="5">
        <v>3</v>
      </c>
      <c r="S26" s="5"/>
      <c r="T26" s="5"/>
      <c r="U26" s="5"/>
      <c r="V26" s="5"/>
      <c r="W26" s="22">
        <f t="shared" si="1"/>
        <v>-3.1193599999999999</v>
      </c>
      <c r="X26" s="21">
        <f t="shared" si="2"/>
        <v>-0.28995700000000002</v>
      </c>
      <c r="Y26" s="21">
        <f t="shared" si="3"/>
        <v>-0.28256799999999999</v>
      </c>
      <c r="Z26" s="11">
        <f t="shared" si="4"/>
        <v>-1</v>
      </c>
      <c r="AA26" s="22">
        <f t="shared" si="5"/>
        <v>-3.1073400000000002</v>
      </c>
      <c r="AB26" s="21">
        <f t="shared" si="6"/>
        <v>-0.29020600000000002</v>
      </c>
      <c r="AC26" s="21">
        <f t="shared" si="7"/>
        <v>-0.27907300000000002</v>
      </c>
      <c r="AD26" s="11">
        <f t="shared" si="8"/>
        <v>-1</v>
      </c>
      <c r="AE26" s="22">
        <f t="shared" si="9"/>
        <v>-3.1158600000000001</v>
      </c>
      <c r="AF26" s="21">
        <f t="shared" si="10"/>
        <v>-0.28945700000000002</v>
      </c>
      <c r="AG26" s="21">
        <f t="shared" si="11"/>
        <v>-0.27837400000000001</v>
      </c>
      <c r="AH26" s="11">
        <f t="shared" si="12"/>
        <v>-1</v>
      </c>
      <c r="AI26">
        <v>2.5000000000000001E-2</v>
      </c>
      <c r="AJ26">
        <v>-2.5000000000000001E-2</v>
      </c>
      <c r="AK26">
        <v>1.5E-3</v>
      </c>
      <c r="AL26">
        <v>-1.5E-3</v>
      </c>
      <c r="AM26">
        <v>1.5E-3</v>
      </c>
      <c r="AN26">
        <v>-1.5E-3</v>
      </c>
      <c r="AO26" s="16">
        <v>2.5000000000000001E-2</v>
      </c>
      <c r="AP26" s="16">
        <v>-2.5000000000000001E-2</v>
      </c>
      <c r="AQ26">
        <v>1.4999999999999999E-2</v>
      </c>
      <c r="AR26">
        <v>-1.4999999999999999E-2</v>
      </c>
      <c r="AS26">
        <v>1E-3</v>
      </c>
      <c r="AT26">
        <v>-1E-3</v>
      </c>
      <c r="AU26">
        <v>1E-3</v>
      </c>
      <c r="AV26">
        <v>-1E-3</v>
      </c>
      <c r="AW26" s="16">
        <v>1.4999999999999999E-2</v>
      </c>
      <c r="AX26" s="16">
        <v>-1.4999999999999999E-2</v>
      </c>
    </row>
    <row r="27" spans="1:279" customFormat="1">
      <c r="A27" s="2">
        <v>22</v>
      </c>
      <c r="B27" s="2">
        <v>3.12296</v>
      </c>
      <c r="C27" s="2">
        <v>0.28137600000000001</v>
      </c>
      <c r="D27" s="2">
        <v>0.26335900000000001</v>
      </c>
      <c r="E27" s="2">
        <v>27.848099999999999</v>
      </c>
      <c r="F27" s="17" t="str">
        <f t="shared" si="0"/>
        <v/>
      </c>
      <c r="G27" s="9"/>
      <c r="H27" s="25">
        <v>1</v>
      </c>
      <c r="I27" s="5"/>
      <c r="J27" s="5"/>
      <c r="K27" s="5"/>
      <c r="L27" s="5"/>
      <c r="M27" s="5">
        <v>2</v>
      </c>
      <c r="N27" s="5"/>
      <c r="O27" s="5"/>
      <c r="P27" s="5"/>
      <c r="Q27" s="5"/>
      <c r="R27" s="5">
        <v>3</v>
      </c>
      <c r="S27" s="5"/>
      <c r="T27" s="5"/>
      <c r="U27" s="5"/>
      <c r="V27" s="5"/>
      <c r="W27" s="22">
        <f t="shared" si="1"/>
        <v>-3.1193599999999999</v>
      </c>
      <c r="X27" s="21">
        <f t="shared" si="2"/>
        <v>-0.28995700000000002</v>
      </c>
      <c r="Y27" s="21">
        <f t="shared" si="3"/>
        <v>-0.28256799999999999</v>
      </c>
      <c r="Z27" s="11">
        <f t="shared" si="4"/>
        <v>-1</v>
      </c>
      <c r="AA27" s="22">
        <f t="shared" si="5"/>
        <v>-3.1073400000000002</v>
      </c>
      <c r="AB27" s="21">
        <f t="shared" si="6"/>
        <v>-0.29020600000000002</v>
      </c>
      <c r="AC27" s="21">
        <f t="shared" si="7"/>
        <v>-0.27907300000000002</v>
      </c>
      <c r="AD27" s="11">
        <f t="shared" si="8"/>
        <v>-1</v>
      </c>
      <c r="AE27" s="22">
        <f t="shared" si="9"/>
        <v>-3.1158600000000001</v>
      </c>
      <c r="AF27" s="21">
        <f t="shared" si="10"/>
        <v>-0.28945700000000002</v>
      </c>
      <c r="AG27" s="21">
        <f t="shared" si="11"/>
        <v>-0.27837400000000001</v>
      </c>
      <c r="AH27" s="11">
        <f t="shared" si="12"/>
        <v>-1</v>
      </c>
      <c r="AI27">
        <v>2.5000000000000001E-2</v>
      </c>
      <c r="AJ27">
        <v>-2.5000000000000001E-2</v>
      </c>
      <c r="AK27">
        <v>1.5E-3</v>
      </c>
      <c r="AL27">
        <v>-1.5E-3</v>
      </c>
      <c r="AM27">
        <v>1.5E-3</v>
      </c>
      <c r="AN27">
        <v>-1.5E-3</v>
      </c>
      <c r="AO27" s="16">
        <v>2.5000000000000001E-2</v>
      </c>
      <c r="AP27" s="16">
        <v>-2.5000000000000001E-2</v>
      </c>
      <c r="AQ27">
        <v>1.4999999999999999E-2</v>
      </c>
      <c r="AR27">
        <v>-1.4999999999999999E-2</v>
      </c>
      <c r="AS27">
        <v>1E-3</v>
      </c>
      <c r="AT27">
        <v>-1E-3</v>
      </c>
      <c r="AU27">
        <v>1E-3</v>
      </c>
      <c r="AV27">
        <v>-1E-3</v>
      </c>
      <c r="AW27" s="16">
        <v>1.4999999999999999E-2</v>
      </c>
      <c r="AX27" s="16">
        <v>-1.4999999999999999E-2</v>
      </c>
    </row>
    <row r="28" spans="1:279" customFormat="1">
      <c r="A28" s="2">
        <v>23</v>
      </c>
      <c r="B28" s="2">
        <v>3.1089500000000001</v>
      </c>
      <c r="C28" s="2">
        <v>0.28304499999999999</v>
      </c>
      <c r="D28" s="2">
        <v>0.26758100000000001</v>
      </c>
      <c r="E28" s="2">
        <v>28.23</v>
      </c>
      <c r="F28" s="17" t="str">
        <f t="shared" si="0"/>
        <v/>
      </c>
      <c r="G28" s="9"/>
      <c r="H28" s="25">
        <v>1</v>
      </c>
      <c r="I28" s="5"/>
      <c r="J28" s="5"/>
      <c r="K28" s="5"/>
      <c r="L28" s="5"/>
      <c r="M28" s="5">
        <v>2</v>
      </c>
      <c r="N28" s="5"/>
      <c r="O28" s="5"/>
      <c r="P28" s="5"/>
      <c r="Q28" s="5"/>
      <c r="R28" s="5">
        <v>3</v>
      </c>
      <c r="S28" s="5"/>
      <c r="T28" s="5"/>
      <c r="U28" s="5"/>
      <c r="V28" s="5"/>
      <c r="W28" s="22">
        <f t="shared" si="1"/>
        <v>-3.1193599999999999</v>
      </c>
      <c r="X28" s="21">
        <f t="shared" si="2"/>
        <v>-0.28995700000000002</v>
      </c>
      <c r="Y28" s="21">
        <f t="shared" si="3"/>
        <v>-0.28256799999999999</v>
      </c>
      <c r="Z28" s="11">
        <f t="shared" si="4"/>
        <v>-1</v>
      </c>
      <c r="AA28" s="22">
        <f t="shared" si="5"/>
        <v>-3.1073400000000002</v>
      </c>
      <c r="AB28" s="21">
        <f t="shared" si="6"/>
        <v>-0.29020600000000002</v>
      </c>
      <c r="AC28" s="21">
        <f t="shared" si="7"/>
        <v>-0.27907300000000002</v>
      </c>
      <c r="AD28" s="11">
        <f t="shared" si="8"/>
        <v>-1</v>
      </c>
      <c r="AE28" s="22">
        <f t="shared" si="9"/>
        <v>-3.1158600000000001</v>
      </c>
      <c r="AF28" s="21">
        <f t="shared" si="10"/>
        <v>-0.28945700000000002</v>
      </c>
      <c r="AG28" s="21">
        <f t="shared" si="11"/>
        <v>-0.27837400000000001</v>
      </c>
      <c r="AH28" s="11">
        <f t="shared" si="12"/>
        <v>-1</v>
      </c>
      <c r="AI28">
        <v>2.5000000000000001E-2</v>
      </c>
      <c r="AJ28">
        <v>-2.5000000000000001E-2</v>
      </c>
      <c r="AK28">
        <v>1.5E-3</v>
      </c>
      <c r="AL28">
        <v>-1.5E-3</v>
      </c>
      <c r="AM28">
        <v>1.5E-3</v>
      </c>
      <c r="AN28">
        <v>-1.5E-3</v>
      </c>
      <c r="AO28" s="16">
        <v>2.5000000000000001E-2</v>
      </c>
      <c r="AP28" s="16">
        <v>-2.5000000000000001E-2</v>
      </c>
      <c r="AQ28">
        <v>1.4999999999999999E-2</v>
      </c>
      <c r="AR28">
        <v>-1.4999999999999999E-2</v>
      </c>
      <c r="AS28">
        <v>1E-3</v>
      </c>
      <c r="AT28">
        <v>-1E-3</v>
      </c>
      <c r="AU28">
        <v>1E-3</v>
      </c>
      <c r="AV28">
        <v>-1E-3</v>
      </c>
      <c r="AW28" s="16">
        <v>1.4999999999999999E-2</v>
      </c>
      <c r="AX28" s="16">
        <v>-1.4999999999999999E-2</v>
      </c>
    </row>
    <row r="29" spans="1:279" customFormat="1">
      <c r="A29" s="2">
        <v>24</v>
      </c>
      <c r="B29" s="2">
        <v>3.1106600000000002</v>
      </c>
      <c r="C29" s="2">
        <v>0.28251900000000002</v>
      </c>
      <c r="D29" s="2">
        <v>0.26605899999999999</v>
      </c>
      <c r="E29" s="2">
        <v>27.682700000000001</v>
      </c>
      <c r="F29" s="17" t="str">
        <f t="shared" si="0"/>
        <v/>
      </c>
      <c r="G29" s="9"/>
      <c r="H29" s="25">
        <v>1</v>
      </c>
      <c r="I29" s="5"/>
      <c r="J29" s="5"/>
      <c r="K29" s="5"/>
      <c r="L29" s="5"/>
      <c r="M29" s="5">
        <v>2</v>
      </c>
      <c r="N29" s="5"/>
      <c r="O29" s="5"/>
      <c r="P29" s="5"/>
      <c r="Q29" s="5"/>
      <c r="R29" s="5">
        <v>3</v>
      </c>
      <c r="S29" s="5"/>
      <c r="T29" s="5"/>
      <c r="U29" s="5"/>
      <c r="V29" s="5"/>
      <c r="W29" s="22">
        <f t="shared" si="1"/>
        <v>-3.1193599999999999</v>
      </c>
      <c r="X29" s="21">
        <f t="shared" si="2"/>
        <v>-0.28995700000000002</v>
      </c>
      <c r="Y29" s="21">
        <f t="shared" si="3"/>
        <v>-0.28256799999999999</v>
      </c>
      <c r="Z29" s="11">
        <f t="shared" si="4"/>
        <v>-1</v>
      </c>
      <c r="AA29" s="22">
        <f t="shared" si="5"/>
        <v>-3.1073400000000002</v>
      </c>
      <c r="AB29" s="21">
        <f t="shared" si="6"/>
        <v>-0.29020600000000002</v>
      </c>
      <c r="AC29" s="21">
        <f t="shared" si="7"/>
        <v>-0.27907300000000002</v>
      </c>
      <c r="AD29" s="11">
        <f t="shared" si="8"/>
        <v>-1</v>
      </c>
      <c r="AE29" s="22">
        <f t="shared" si="9"/>
        <v>-3.1158600000000001</v>
      </c>
      <c r="AF29" s="21">
        <f t="shared" si="10"/>
        <v>-0.28945700000000002</v>
      </c>
      <c r="AG29" s="21">
        <f t="shared" si="11"/>
        <v>-0.27837400000000001</v>
      </c>
      <c r="AH29" s="11">
        <f t="shared" si="12"/>
        <v>-1</v>
      </c>
      <c r="AI29">
        <v>2.5000000000000001E-2</v>
      </c>
      <c r="AJ29">
        <v>-2.5000000000000001E-2</v>
      </c>
      <c r="AK29">
        <v>1.5E-3</v>
      </c>
      <c r="AL29">
        <v>-1.5E-3</v>
      </c>
      <c r="AM29">
        <v>1.5E-3</v>
      </c>
      <c r="AN29">
        <v>-1.5E-3</v>
      </c>
      <c r="AO29" s="16">
        <v>2.5000000000000001E-2</v>
      </c>
      <c r="AP29" s="16">
        <v>-2.5000000000000001E-2</v>
      </c>
      <c r="AQ29">
        <v>1.4999999999999999E-2</v>
      </c>
      <c r="AR29">
        <v>-1.4999999999999999E-2</v>
      </c>
      <c r="AS29">
        <v>1E-3</v>
      </c>
      <c r="AT29">
        <v>-1E-3</v>
      </c>
      <c r="AU29">
        <v>1E-3</v>
      </c>
      <c r="AV29">
        <v>-1E-3</v>
      </c>
      <c r="AW29" s="16">
        <v>1.4999999999999999E-2</v>
      </c>
      <c r="AX29" s="16">
        <v>-1.4999999999999999E-2</v>
      </c>
    </row>
    <row r="30" spans="1:279" customFormat="1">
      <c r="A30" s="2">
        <v>25</v>
      </c>
      <c r="B30" s="2">
        <v>3.1190799999999999</v>
      </c>
      <c r="C30" s="2">
        <v>0.28132499999999999</v>
      </c>
      <c r="D30" s="2">
        <v>0.26364199999999999</v>
      </c>
      <c r="E30" s="2">
        <v>27.938199999999998</v>
      </c>
      <c r="F30" s="17" t="str">
        <f t="shared" si="0"/>
        <v/>
      </c>
      <c r="G30" s="9"/>
      <c r="H30" s="25">
        <v>1</v>
      </c>
      <c r="I30" s="5"/>
      <c r="J30" s="5"/>
      <c r="K30" s="5"/>
      <c r="L30" s="5"/>
      <c r="M30" s="5">
        <v>2</v>
      </c>
      <c r="N30" s="5"/>
      <c r="O30" s="5"/>
      <c r="P30" s="5"/>
      <c r="Q30" s="5"/>
      <c r="R30" s="5">
        <v>3</v>
      </c>
      <c r="S30" s="5"/>
      <c r="T30" s="5"/>
      <c r="U30" s="5"/>
      <c r="V30" s="5"/>
      <c r="W30" s="22">
        <f t="shared" si="1"/>
        <v>-3.1193599999999999</v>
      </c>
      <c r="X30" s="21">
        <f t="shared" si="2"/>
        <v>-0.28995700000000002</v>
      </c>
      <c r="Y30" s="21">
        <f t="shared" si="3"/>
        <v>-0.28256799999999999</v>
      </c>
      <c r="Z30" s="11">
        <f t="shared" si="4"/>
        <v>-1</v>
      </c>
      <c r="AA30" s="22">
        <f t="shared" si="5"/>
        <v>-3.1073400000000002</v>
      </c>
      <c r="AB30" s="21">
        <f t="shared" si="6"/>
        <v>-0.29020600000000002</v>
      </c>
      <c r="AC30" s="21">
        <f t="shared" si="7"/>
        <v>-0.27907300000000002</v>
      </c>
      <c r="AD30" s="11">
        <f t="shared" si="8"/>
        <v>-1</v>
      </c>
      <c r="AE30" s="22">
        <f t="shared" si="9"/>
        <v>-3.1158600000000001</v>
      </c>
      <c r="AF30" s="21">
        <f t="shared" si="10"/>
        <v>-0.28945700000000002</v>
      </c>
      <c r="AG30" s="21">
        <f t="shared" si="11"/>
        <v>-0.27837400000000001</v>
      </c>
      <c r="AH30" s="11">
        <f t="shared" si="12"/>
        <v>-1</v>
      </c>
      <c r="AI30">
        <v>2.5000000000000001E-2</v>
      </c>
      <c r="AJ30">
        <v>-2.5000000000000001E-2</v>
      </c>
      <c r="AK30">
        <v>1.5E-3</v>
      </c>
      <c r="AL30">
        <v>-1.5E-3</v>
      </c>
      <c r="AM30">
        <v>1.5E-3</v>
      </c>
      <c r="AN30">
        <v>-1.5E-3</v>
      </c>
      <c r="AO30" s="16">
        <v>2.5000000000000001E-2</v>
      </c>
      <c r="AP30" s="16">
        <v>-2.5000000000000001E-2</v>
      </c>
      <c r="AQ30">
        <v>1.4999999999999999E-2</v>
      </c>
      <c r="AR30">
        <v>-1.4999999999999999E-2</v>
      </c>
      <c r="AS30">
        <v>1E-3</v>
      </c>
      <c r="AT30">
        <v>-1E-3</v>
      </c>
      <c r="AU30">
        <v>1E-3</v>
      </c>
      <c r="AV30">
        <v>-1E-3</v>
      </c>
      <c r="AW30" s="16">
        <v>1.4999999999999999E-2</v>
      </c>
      <c r="AX30" s="16">
        <v>-1.4999999999999999E-2</v>
      </c>
    </row>
    <row r="31" spans="1:279" customFormat="1">
      <c r="A31" s="2">
        <v>26</v>
      </c>
      <c r="B31" s="2">
        <v>3.1135899999999999</v>
      </c>
      <c r="C31" s="2">
        <v>0.283136</v>
      </c>
      <c r="D31" s="2">
        <v>0.266378</v>
      </c>
      <c r="E31" s="2">
        <v>27.988199999999999</v>
      </c>
      <c r="F31" s="17" t="str">
        <f t="shared" si="0"/>
        <v/>
      </c>
      <c r="G31" s="9"/>
      <c r="H31" s="25">
        <v>1</v>
      </c>
      <c r="I31" s="5"/>
      <c r="J31" s="5"/>
      <c r="K31" s="5"/>
      <c r="L31" s="5"/>
      <c r="M31" s="5">
        <v>2</v>
      </c>
      <c r="N31" s="5"/>
      <c r="O31" s="5"/>
      <c r="P31" s="5"/>
      <c r="Q31" s="5"/>
      <c r="R31" s="5">
        <v>3</v>
      </c>
      <c r="S31" s="5"/>
      <c r="T31" s="5"/>
      <c r="U31" s="5"/>
      <c r="V31" s="5"/>
      <c r="W31" s="22">
        <f t="shared" si="1"/>
        <v>-3.1193599999999999</v>
      </c>
      <c r="X31" s="21">
        <f t="shared" si="2"/>
        <v>-0.28995700000000002</v>
      </c>
      <c r="Y31" s="21">
        <f t="shared" si="3"/>
        <v>-0.28256799999999999</v>
      </c>
      <c r="Z31" s="11">
        <f t="shared" si="4"/>
        <v>-1</v>
      </c>
      <c r="AA31" s="22">
        <f t="shared" si="5"/>
        <v>-3.1073400000000002</v>
      </c>
      <c r="AB31" s="21">
        <f t="shared" si="6"/>
        <v>-0.29020600000000002</v>
      </c>
      <c r="AC31" s="21">
        <f t="shared" si="7"/>
        <v>-0.27907300000000002</v>
      </c>
      <c r="AD31" s="11">
        <f t="shared" si="8"/>
        <v>-1</v>
      </c>
      <c r="AE31" s="22">
        <f t="shared" si="9"/>
        <v>-3.1158600000000001</v>
      </c>
      <c r="AF31" s="21">
        <f t="shared" si="10"/>
        <v>-0.28945700000000002</v>
      </c>
      <c r="AG31" s="21">
        <f t="shared" si="11"/>
        <v>-0.27837400000000001</v>
      </c>
      <c r="AH31" s="11">
        <f t="shared" si="12"/>
        <v>-1</v>
      </c>
      <c r="AI31">
        <v>2.5000000000000001E-2</v>
      </c>
      <c r="AJ31">
        <v>-2.5000000000000001E-2</v>
      </c>
      <c r="AK31">
        <v>1.5E-3</v>
      </c>
      <c r="AL31">
        <v>-1.5E-3</v>
      </c>
      <c r="AM31">
        <v>1.5E-3</v>
      </c>
      <c r="AN31">
        <v>-1.5E-3</v>
      </c>
      <c r="AO31" s="16">
        <v>2.5000000000000001E-2</v>
      </c>
      <c r="AP31" s="16">
        <v>-2.5000000000000001E-2</v>
      </c>
      <c r="AQ31">
        <v>1.4999999999999999E-2</v>
      </c>
      <c r="AR31">
        <v>-1.4999999999999999E-2</v>
      </c>
      <c r="AS31">
        <v>1E-3</v>
      </c>
      <c r="AT31">
        <v>-1E-3</v>
      </c>
      <c r="AU31">
        <v>1E-3</v>
      </c>
      <c r="AV31">
        <v>-1E-3</v>
      </c>
      <c r="AW31" s="16">
        <v>1.4999999999999999E-2</v>
      </c>
      <c r="AX31" s="16">
        <v>-1.4999999999999999E-2</v>
      </c>
    </row>
    <row r="32" spans="1:279" customFormat="1">
      <c r="A32" s="2">
        <v>27</v>
      </c>
      <c r="B32" s="2">
        <v>3.1152899999999999</v>
      </c>
      <c r="C32" s="2">
        <v>0.28315800000000002</v>
      </c>
      <c r="D32" s="2">
        <v>0.26782299999999998</v>
      </c>
      <c r="E32" s="2">
        <v>28.096599999999999</v>
      </c>
      <c r="F32" s="17" t="str">
        <f t="shared" si="0"/>
        <v/>
      </c>
      <c r="G32" s="9"/>
      <c r="H32" s="25">
        <v>1</v>
      </c>
      <c r="I32" s="5"/>
      <c r="J32" s="5"/>
      <c r="K32" s="5"/>
      <c r="L32" s="5"/>
      <c r="M32" s="5">
        <v>2</v>
      </c>
      <c r="N32" s="5"/>
      <c r="O32" s="5"/>
      <c r="P32" s="5"/>
      <c r="Q32" s="5"/>
      <c r="R32" s="5">
        <v>3</v>
      </c>
      <c r="S32" s="5"/>
      <c r="T32" s="5"/>
      <c r="U32" s="5"/>
      <c r="V32" s="5"/>
      <c r="W32" s="22">
        <f t="shared" si="1"/>
        <v>-3.1193599999999999</v>
      </c>
      <c r="X32" s="21">
        <f t="shared" si="2"/>
        <v>-0.28995700000000002</v>
      </c>
      <c r="Y32" s="21">
        <f t="shared" si="3"/>
        <v>-0.28256799999999999</v>
      </c>
      <c r="Z32" s="11">
        <f t="shared" si="4"/>
        <v>-1</v>
      </c>
      <c r="AA32" s="22">
        <f t="shared" si="5"/>
        <v>-3.1073400000000002</v>
      </c>
      <c r="AB32" s="21">
        <f t="shared" si="6"/>
        <v>-0.29020600000000002</v>
      </c>
      <c r="AC32" s="21">
        <f t="shared" si="7"/>
        <v>-0.27907300000000002</v>
      </c>
      <c r="AD32" s="11">
        <f t="shared" si="8"/>
        <v>-1</v>
      </c>
      <c r="AE32" s="22">
        <f t="shared" si="9"/>
        <v>-3.1158600000000001</v>
      </c>
      <c r="AF32" s="21">
        <f t="shared" si="10"/>
        <v>-0.28945700000000002</v>
      </c>
      <c r="AG32" s="21">
        <f t="shared" si="11"/>
        <v>-0.27837400000000001</v>
      </c>
      <c r="AH32" s="11">
        <f t="shared" si="12"/>
        <v>-1</v>
      </c>
      <c r="AI32">
        <v>2.5000000000000001E-2</v>
      </c>
      <c r="AJ32">
        <v>-2.5000000000000001E-2</v>
      </c>
      <c r="AK32">
        <v>1.5E-3</v>
      </c>
      <c r="AL32">
        <v>-1.5E-3</v>
      </c>
      <c r="AM32">
        <v>1.5E-3</v>
      </c>
      <c r="AN32">
        <v>-1.5E-3</v>
      </c>
      <c r="AO32" s="16">
        <v>2.5000000000000001E-2</v>
      </c>
      <c r="AP32" s="16">
        <v>-2.5000000000000001E-2</v>
      </c>
      <c r="AQ32">
        <v>1.4999999999999999E-2</v>
      </c>
      <c r="AR32">
        <v>-1.4999999999999999E-2</v>
      </c>
      <c r="AS32">
        <v>1E-3</v>
      </c>
      <c r="AT32">
        <v>-1E-3</v>
      </c>
      <c r="AU32">
        <v>1E-3</v>
      </c>
      <c r="AV32">
        <v>-1E-3</v>
      </c>
      <c r="AW32" s="16">
        <v>1.4999999999999999E-2</v>
      </c>
      <c r="AX32" s="16">
        <v>-1.4999999999999999E-2</v>
      </c>
    </row>
    <row r="33" spans="1:279" customFormat="1">
      <c r="A33" s="2">
        <v>28</v>
      </c>
      <c r="B33" s="2">
        <v>3.10914</v>
      </c>
      <c r="C33" s="2">
        <v>0.28270800000000001</v>
      </c>
      <c r="D33" s="2">
        <v>0.26754699999999998</v>
      </c>
      <c r="E33" s="2">
        <v>27.968900000000001</v>
      </c>
      <c r="F33" s="17" t="str">
        <f t="shared" si="0"/>
        <v/>
      </c>
      <c r="G33" s="9"/>
      <c r="H33" s="25">
        <v>1</v>
      </c>
      <c r="I33" s="5"/>
      <c r="J33" s="5"/>
      <c r="K33" s="5"/>
      <c r="L33" s="5"/>
      <c r="M33" s="5">
        <v>2</v>
      </c>
      <c r="N33" s="5"/>
      <c r="O33" s="5"/>
      <c r="P33" s="5"/>
      <c r="Q33" s="5"/>
      <c r="R33" s="5">
        <v>3</v>
      </c>
      <c r="S33" s="5"/>
      <c r="T33" s="5"/>
      <c r="U33" s="5"/>
      <c r="V33" s="5"/>
      <c r="W33" s="22">
        <f t="shared" si="1"/>
        <v>-3.1193599999999999</v>
      </c>
      <c r="X33" s="21">
        <f t="shared" si="2"/>
        <v>-0.28995700000000002</v>
      </c>
      <c r="Y33" s="21">
        <f t="shared" si="3"/>
        <v>-0.28256799999999999</v>
      </c>
      <c r="Z33" s="11">
        <f t="shared" si="4"/>
        <v>-1</v>
      </c>
      <c r="AA33" s="22">
        <f t="shared" si="5"/>
        <v>-3.1073400000000002</v>
      </c>
      <c r="AB33" s="21">
        <f t="shared" si="6"/>
        <v>-0.29020600000000002</v>
      </c>
      <c r="AC33" s="21">
        <f t="shared" si="7"/>
        <v>-0.27907300000000002</v>
      </c>
      <c r="AD33" s="11">
        <f t="shared" si="8"/>
        <v>-1</v>
      </c>
      <c r="AE33" s="22">
        <f t="shared" si="9"/>
        <v>-3.1158600000000001</v>
      </c>
      <c r="AF33" s="21">
        <f t="shared" si="10"/>
        <v>-0.28945700000000002</v>
      </c>
      <c r="AG33" s="21">
        <f t="shared" si="11"/>
        <v>-0.27837400000000001</v>
      </c>
      <c r="AH33" s="11">
        <f t="shared" si="12"/>
        <v>-1</v>
      </c>
      <c r="AI33">
        <v>2.5000000000000001E-2</v>
      </c>
      <c r="AJ33">
        <v>-2.5000000000000001E-2</v>
      </c>
      <c r="AK33">
        <v>1.5E-3</v>
      </c>
      <c r="AL33">
        <v>-1.5E-3</v>
      </c>
      <c r="AM33">
        <v>1.5E-3</v>
      </c>
      <c r="AN33">
        <v>-1.5E-3</v>
      </c>
      <c r="AO33" s="16">
        <v>2.5000000000000001E-2</v>
      </c>
      <c r="AP33" s="16">
        <v>-2.5000000000000001E-2</v>
      </c>
      <c r="AQ33">
        <v>1.4999999999999999E-2</v>
      </c>
      <c r="AR33">
        <v>-1.4999999999999999E-2</v>
      </c>
      <c r="AS33">
        <v>1E-3</v>
      </c>
      <c r="AT33">
        <v>-1E-3</v>
      </c>
      <c r="AU33">
        <v>1E-3</v>
      </c>
      <c r="AV33">
        <v>-1E-3</v>
      </c>
      <c r="AW33" s="16">
        <v>1.4999999999999999E-2</v>
      </c>
      <c r="AX33" s="16">
        <v>-1.4999999999999999E-2</v>
      </c>
      <c r="JR33">
        <v>12.849506578947368</v>
      </c>
    </row>
    <row r="34" spans="1:279" customFormat="1">
      <c r="A34" s="2">
        <v>29</v>
      </c>
      <c r="B34" s="2">
        <v>3.1142500000000002</v>
      </c>
      <c r="C34" s="2">
        <v>0.28425499999999998</v>
      </c>
      <c r="D34" s="2">
        <v>0.268598</v>
      </c>
      <c r="E34" s="2">
        <v>28.1814</v>
      </c>
      <c r="F34" s="17" t="str">
        <f t="shared" si="0"/>
        <v/>
      </c>
      <c r="G34" s="9"/>
      <c r="H34" s="25">
        <v>1</v>
      </c>
      <c r="I34" s="5"/>
      <c r="J34" s="5"/>
      <c r="K34" s="5"/>
      <c r="L34" s="5"/>
      <c r="M34" s="5">
        <v>2</v>
      </c>
      <c r="N34" s="5"/>
      <c r="O34" s="5"/>
      <c r="P34" s="5"/>
      <c r="Q34" s="5"/>
      <c r="R34" s="5">
        <v>3</v>
      </c>
      <c r="S34" s="5"/>
      <c r="T34" s="5"/>
      <c r="U34" s="5"/>
      <c r="V34" s="5"/>
      <c r="W34" s="22">
        <f t="shared" si="1"/>
        <v>-3.1193599999999999</v>
      </c>
      <c r="X34" s="21">
        <f t="shared" si="2"/>
        <v>-0.28995700000000002</v>
      </c>
      <c r="Y34" s="21">
        <f t="shared" si="3"/>
        <v>-0.28256799999999999</v>
      </c>
      <c r="Z34" s="11">
        <f t="shared" si="4"/>
        <v>-1</v>
      </c>
      <c r="AA34" s="22">
        <f t="shared" si="5"/>
        <v>-3.1073400000000002</v>
      </c>
      <c r="AB34" s="21">
        <f t="shared" si="6"/>
        <v>-0.29020600000000002</v>
      </c>
      <c r="AC34" s="21">
        <f t="shared" si="7"/>
        <v>-0.27907300000000002</v>
      </c>
      <c r="AD34" s="11">
        <f t="shared" si="8"/>
        <v>-1</v>
      </c>
      <c r="AE34" s="22">
        <f t="shared" si="9"/>
        <v>-3.1158600000000001</v>
      </c>
      <c r="AF34" s="21">
        <f t="shared" si="10"/>
        <v>-0.28945700000000002</v>
      </c>
      <c r="AG34" s="21">
        <f t="shared" si="11"/>
        <v>-0.27837400000000001</v>
      </c>
      <c r="AH34" s="11">
        <f t="shared" si="12"/>
        <v>-1</v>
      </c>
      <c r="AI34">
        <v>2.5000000000000001E-2</v>
      </c>
      <c r="AJ34">
        <v>-2.5000000000000001E-2</v>
      </c>
      <c r="AK34">
        <v>1.5E-3</v>
      </c>
      <c r="AL34">
        <v>-1.5E-3</v>
      </c>
      <c r="AM34">
        <v>1.5E-3</v>
      </c>
      <c r="AN34">
        <v>-1.5E-3</v>
      </c>
      <c r="AO34" s="16">
        <v>2.5000000000000001E-2</v>
      </c>
      <c r="AP34" s="16">
        <v>-2.5000000000000001E-2</v>
      </c>
      <c r="AQ34">
        <v>1.4999999999999999E-2</v>
      </c>
      <c r="AR34">
        <v>-1.4999999999999999E-2</v>
      </c>
      <c r="AS34">
        <v>1E-3</v>
      </c>
      <c r="AT34">
        <v>-1E-3</v>
      </c>
      <c r="AU34">
        <v>1E-3</v>
      </c>
      <c r="AV34">
        <v>-1E-3</v>
      </c>
      <c r="AW34" s="16">
        <v>1.4999999999999999E-2</v>
      </c>
      <c r="AX34" s="16">
        <v>-1.4999999999999999E-2</v>
      </c>
      <c r="JR34">
        <v>12.849506578947368</v>
      </c>
      <c r="JS34">
        <v>12.849506578947368</v>
      </c>
    </row>
    <row r="35" spans="1:279" customFormat="1">
      <c r="A35" s="2">
        <v>30</v>
      </c>
      <c r="B35" s="2">
        <v>3.1082900000000002</v>
      </c>
      <c r="C35" s="2">
        <v>0.28392200000000001</v>
      </c>
      <c r="D35" s="2">
        <v>0.27074300000000001</v>
      </c>
      <c r="E35" s="2">
        <v>28.167000000000002</v>
      </c>
      <c r="F35" s="17" t="str">
        <f t="shared" si="0"/>
        <v/>
      </c>
      <c r="G35" s="9"/>
      <c r="H35" s="25">
        <v>1</v>
      </c>
      <c r="I35" s="5"/>
      <c r="J35" s="5"/>
      <c r="K35" s="5"/>
      <c r="L35" s="5"/>
      <c r="M35" s="5">
        <v>2</v>
      </c>
      <c r="N35" s="5"/>
      <c r="O35" s="5"/>
      <c r="P35" s="5"/>
      <c r="Q35" s="5"/>
      <c r="R35" s="5">
        <v>3</v>
      </c>
      <c r="S35" s="5"/>
      <c r="T35" s="5"/>
      <c r="U35" s="5"/>
      <c r="V35" s="5"/>
      <c r="W35" s="22">
        <f t="shared" si="1"/>
        <v>-3.1193599999999999</v>
      </c>
      <c r="X35" s="21">
        <f t="shared" si="2"/>
        <v>-0.28995700000000002</v>
      </c>
      <c r="Y35" s="21">
        <f t="shared" si="3"/>
        <v>-0.28256799999999999</v>
      </c>
      <c r="Z35" s="11">
        <f t="shared" si="4"/>
        <v>-1</v>
      </c>
      <c r="AA35" s="22">
        <f t="shared" si="5"/>
        <v>-3.1073400000000002</v>
      </c>
      <c r="AB35" s="21">
        <f t="shared" si="6"/>
        <v>-0.29020600000000002</v>
      </c>
      <c r="AC35" s="21">
        <f t="shared" si="7"/>
        <v>-0.27907300000000002</v>
      </c>
      <c r="AD35" s="11">
        <f t="shared" si="8"/>
        <v>-1</v>
      </c>
      <c r="AE35" s="22">
        <f t="shared" si="9"/>
        <v>-3.1158600000000001</v>
      </c>
      <c r="AF35" s="21">
        <f t="shared" si="10"/>
        <v>-0.28945700000000002</v>
      </c>
      <c r="AG35" s="21">
        <f t="shared" si="11"/>
        <v>-0.27837400000000001</v>
      </c>
      <c r="AH35" s="11">
        <f t="shared" si="12"/>
        <v>-1</v>
      </c>
      <c r="AI35">
        <v>2.5000000000000001E-2</v>
      </c>
      <c r="AJ35">
        <v>-2.5000000000000001E-2</v>
      </c>
      <c r="AK35">
        <v>1.5E-3</v>
      </c>
      <c r="AL35">
        <v>-1.5E-3</v>
      </c>
      <c r="AM35">
        <v>1.5E-3</v>
      </c>
      <c r="AN35">
        <v>-1.5E-3</v>
      </c>
      <c r="AO35" s="16">
        <v>2.5000000000000001E-2</v>
      </c>
      <c r="AP35" s="16">
        <v>-2.5000000000000001E-2</v>
      </c>
      <c r="AQ35">
        <v>1.4999999999999999E-2</v>
      </c>
      <c r="AR35">
        <v>-1.4999999999999999E-2</v>
      </c>
      <c r="AS35">
        <v>1E-3</v>
      </c>
      <c r="AT35">
        <v>-1E-3</v>
      </c>
      <c r="AU35">
        <v>1E-3</v>
      </c>
      <c r="AV35">
        <v>-1E-3</v>
      </c>
      <c r="AW35" s="16">
        <v>1.4999999999999999E-2</v>
      </c>
      <c r="AX35" s="16">
        <v>-1.4999999999999999E-2</v>
      </c>
    </row>
    <row r="36" spans="1:279" customFormat="1">
      <c r="F36" s="17" t="str">
        <f t="shared" si="0"/>
        <v/>
      </c>
      <c r="G36" s="9"/>
      <c r="H36" s="25">
        <v>1</v>
      </c>
      <c r="I36" s="5"/>
      <c r="J36" s="5"/>
      <c r="K36" s="5"/>
      <c r="L36" s="5"/>
      <c r="M36" s="5">
        <v>2</v>
      </c>
      <c r="N36" s="5"/>
      <c r="O36" s="5"/>
      <c r="P36" s="5"/>
      <c r="Q36" s="5"/>
      <c r="R36" s="5">
        <v>3</v>
      </c>
      <c r="S36" s="5"/>
      <c r="T36" s="5"/>
      <c r="U36" s="5"/>
      <c r="V36" s="5"/>
      <c r="W36" s="22">
        <f t="shared" si="1"/>
        <v>-3.1193599999999999</v>
      </c>
      <c r="X36" s="21">
        <f t="shared" si="2"/>
        <v>-0.28995700000000002</v>
      </c>
      <c r="Y36" s="21">
        <f t="shared" si="3"/>
        <v>-0.28256799999999999</v>
      </c>
      <c r="Z36" s="11">
        <f t="shared" si="4"/>
        <v>-1</v>
      </c>
      <c r="AA36" s="22">
        <f t="shared" si="5"/>
        <v>-3.1073400000000002</v>
      </c>
      <c r="AB36" s="21">
        <f t="shared" si="6"/>
        <v>-0.29020600000000002</v>
      </c>
      <c r="AC36" s="21">
        <f t="shared" si="7"/>
        <v>-0.27907300000000002</v>
      </c>
      <c r="AD36" s="11">
        <f t="shared" si="8"/>
        <v>-1</v>
      </c>
      <c r="AE36" s="22">
        <f t="shared" si="9"/>
        <v>-3.1158600000000001</v>
      </c>
      <c r="AF36" s="21">
        <f t="shared" si="10"/>
        <v>-0.28945700000000002</v>
      </c>
      <c r="AG36" s="21">
        <f t="shared" si="11"/>
        <v>-0.27837400000000001</v>
      </c>
      <c r="AH36" s="11">
        <f t="shared" si="12"/>
        <v>-1</v>
      </c>
      <c r="AI36">
        <v>2.5000000000000001E-2</v>
      </c>
      <c r="AJ36">
        <v>-2.5000000000000001E-2</v>
      </c>
      <c r="AK36">
        <v>1.5E-3</v>
      </c>
      <c r="AL36">
        <v>-1.5E-3</v>
      </c>
      <c r="AM36">
        <v>1.5E-3</v>
      </c>
      <c r="AN36">
        <v>-1.5E-3</v>
      </c>
      <c r="AO36" s="16">
        <v>2.5000000000000001E-2</v>
      </c>
      <c r="AP36" s="16">
        <v>-2.5000000000000001E-2</v>
      </c>
      <c r="AQ36">
        <v>1.4999999999999999E-2</v>
      </c>
      <c r="AR36">
        <v>-1.4999999999999999E-2</v>
      </c>
      <c r="AS36">
        <v>1E-3</v>
      </c>
      <c r="AT36">
        <v>-1E-3</v>
      </c>
      <c r="AU36">
        <v>1E-3</v>
      </c>
      <c r="AV36">
        <v>-1E-3</v>
      </c>
      <c r="AW36" s="16">
        <v>1.4999999999999999E-2</v>
      </c>
      <c r="AX36" s="16">
        <v>-1.4999999999999999E-2</v>
      </c>
    </row>
    <row r="37" spans="1:279" customFormat="1">
      <c r="F37" s="17" t="str">
        <f t="shared" si="0"/>
        <v/>
      </c>
      <c r="G37" s="9"/>
      <c r="H37" s="25">
        <v>1</v>
      </c>
      <c r="I37" s="5"/>
      <c r="J37" s="5"/>
      <c r="K37" s="5"/>
      <c r="L37" s="5"/>
      <c r="M37" s="5">
        <v>2</v>
      </c>
      <c r="N37" s="5"/>
      <c r="O37" s="5"/>
      <c r="P37" s="5"/>
      <c r="Q37" s="5"/>
      <c r="R37" s="5">
        <v>3</v>
      </c>
      <c r="S37" s="5"/>
      <c r="T37" s="5"/>
      <c r="U37" s="5"/>
      <c r="V37" s="5"/>
      <c r="W37" s="22">
        <f t="shared" si="1"/>
        <v>-3.1193599999999999</v>
      </c>
      <c r="X37" s="21">
        <f t="shared" si="2"/>
        <v>-0.28995700000000002</v>
      </c>
      <c r="Y37" s="21">
        <f t="shared" si="3"/>
        <v>-0.28256799999999999</v>
      </c>
      <c r="Z37" s="11">
        <f t="shared" si="4"/>
        <v>-1</v>
      </c>
      <c r="AA37" s="22">
        <f t="shared" si="5"/>
        <v>-3.1073400000000002</v>
      </c>
      <c r="AB37" s="21">
        <f t="shared" si="6"/>
        <v>-0.29020600000000002</v>
      </c>
      <c r="AC37" s="21">
        <f t="shared" si="7"/>
        <v>-0.27907300000000002</v>
      </c>
      <c r="AD37" s="11">
        <f t="shared" si="8"/>
        <v>-1</v>
      </c>
      <c r="AE37" s="22">
        <f t="shared" si="9"/>
        <v>-3.1158600000000001</v>
      </c>
      <c r="AF37" s="21">
        <f t="shared" si="10"/>
        <v>-0.28945700000000002</v>
      </c>
      <c r="AG37" s="21">
        <f t="shared" si="11"/>
        <v>-0.27837400000000001</v>
      </c>
      <c r="AH37" s="11">
        <f t="shared" si="12"/>
        <v>-1</v>
      </c>
      <c r="AI37">
        <v>2.5000000000000001E-2</v>
      </c>
      <c r="AJ37">
        <v>-2.5000000000000001E-2</v>
      </c>
      <c r="AK37">
        <v>1.5E-3</v>
      </c>
      <c r="AL37">
        <v>-1.5E-3</v>
      </c>
      <c r="AM37">
        <v>1.5E-3</v>
      </c>
      <c r="AN37">
        <v>-1.5E-3</v>
      </c>
      <c r="AO37" s="16">
        <v>2.5000000000000001E-2</v>
      </c>
      <c r="AP37" s="16">
        <v>-2.5000000000000001E-2</v>
      </c>
      <c r="AQ37">
        <v>1.4999999999999999E-2</v>
      </c>
      <c r="AR37">
        <v>-1.4999999999999999E-2</v>
      </c>
      <c r="AS37">
        <v>1E-3</v>
      </c>
      <c r="AT37">
        <v>-1E-3</v>
      </c>
      <c r="AU37">
        <v>1E-3</v>
      </c>
      <c r="AV37">
        <v>-1E-3</v>
      </c>
      <c r="AW37" s="16">
        <v>1.4999999999999999E-2</v>
      </c>
      <c r="AX37" s="16">
        <v>-1.4999999999999999E-2</v>
      </c>
    </row>
    <row r="38" spans="1:279" customFormat="1">
      <c r="F38" s="17" t="str">
        <f t="shared" si="0"/>
        <v/>
      </c>
      <c r="G38" s="9"/>
      <c r="H38" s="25">
        <v>1</v>
      </c>
      <c r="I38" s="5"/>
      <c r="J38" s="5"/>
      <c r="K38" s="5"/>
      <c r="L38" s="5"/>
      <c r="M38" s="5">
        <v>2</v>
      </c>
      <c r="N38" s="5"/>
      <c r="O38" s="5"/>
      <c r="P38" s="5"/>
      <c r="Q38" s="5"/>
      <c r="R38" s="5">
        <v>3</v>
      </c>
      <c r="S38" s="5"/>
      <c r="T38" s="5"/>
      <c r="U38" s="5"/>
      <c r="V38" s="5"/>
      <c r="W38" s="22">
        <f t="shared" si="1"/>
        <v>-3.1193599999999999</v>
      </c>
      <c r="X38" s="21">
        <f t="shared" si="2"/>
        <v>-0.28995700000000002</v>
      </c>
      <c r="Y38" s="21">
        <f t="shared" si="3"/>
        <v>-0.28256799999999999</v>
      </c>
      <c r="Z38" s="11">
        <f t="shared" si="4"/>
        <v>-1</v>
      </c>
      <c r="AA38" s="22">
        <f t="shared" si="5"/>
        <v>-3.1073400000000002</v>
      </c>
      <c r="AB38" s="21">
        <f t="shared" si="6"/>
        <v>-0.29020600000000002</v>
      </c>
      <c r="AC38" s="21">
        <f t="shared" si="7"/>
        <v>-0.27907300000000002</v>
      </c>
      <c r="AD38" s="11">
        <f t="shared" si="8"/>
        <v>-1</v>
      </c>
      <c r="AE38" s="22">
        <f t="shared" si="9"/>
        <v>-3.1158600000000001</v>
      </c>
      <c r="AF38" s="21">
        <f t="shared" si="10"/>
        <v>-0.28945700000000002</v>
      </c>
      <c r="AG38" s="21">
        <f t="shared" si="11"/>
        <v>-0.27837400000000001</v>
      </c>
      <c r="AH38" s="11">
        <f t="shared" si="12"/>
        <v>-1</v>
      </c>
      <c r="AI38">
        <v>2.5000000000000001E-2</v>
      </c>
      <c r="AJ38">
        <v>-2.5000000000000001E-2</v>
      </c>
      <c r="AK38">
        <v>1.5E-3</v>
      </c>
      <c r="AL38">
        <v>-1.5E-3</v>
      </c>
      <c r="AM38">
        <v>1.5E-3</v>
      </c>
      <c r="AN38">
        <v>-1.5E-3</v>
      </c>
      <c r="AO38" s="16">
        <v>2.5000000000000001E-2</v>
      </c>
      <c r="AP38" s="16">
        <v>-2.5000000000000001E-2</v>
      </c>
      <c r="AQ38">
        <v>1.4999999999999999E-2</v>
      </c>
      <c r="AR38">
        <v>-1.4999999999999999E-2</v>
      </c>
      <c r="AS38">
        <v>1E-3</v>
      </c>
      <c r="AT38">
        <v>-1E-3</v>
      </c>
      <c r="AU38">
        <v>1E-3</v>
      </c>
      <c r="AV38">
        <v>-1E-3</v>
      </c>
      <c r="AW38" s="16">
        <v>1.4999999999999999E-2</v>
      </c>
      <c r="AX38" s="16">
        <v>-1.4999999999999999E-2</v>
      </c>
    </row>
    <row r="39" spans="1:279" customFormat="1">
      <c r="F39" s="17" t="str">
        <f t="shared" si="0"/>
        <v/>
      </c>
      <c r="G39" s="9"/>
      <c r="H39" s="25">
        <v>1</v>
      </c>
      <c r="I39" s="5"/>
      <c r="J39" s="5"/>
      <c r="K39" s="5"/>
      <c r="L39" s="5"/>
      <c r="M39" s="5">
        <v>2</v>
      </c>
      <c r="N39" s="5"/>
      <c r="O39" s="5"/>
      <c r="P39" s="5"/>
      <c r="Q39" s="5"/>
      <c r="R39" s="5">
        <v>3</v>
      </c>
      <c r="S39" s="5"/>
      <c r="T39" s="5"/>
      <c r="U39" s="5"/>
      <c r="V39" s="5"/>
      <c r="W39" s="22">
        <f t="shared" si="1"/>
        <v>-3.1193599999999999</v>
      </c>
      <c r="X39" s="21">
        <f t="shared" si="2"/>
        <v>-0.28995700000000002</v>
      </c>
      <c r="Y39" s="21">
        <f t="shared" si="3"/>
        <v>-0.28256799999999999</v>
      </c>
      <c r="Z39" s="11">
        <f t="shared" si="4"/>
        <v>-1</v>
      </c>
      <c r="AA39" s="22">
        <f t="shared" si="5"/>
        <v>-3.1073400000000002</v>
      </c>
      <c r="AB39" s="21">
        <f t="shared" si="6"/>
        <v>-0.29020600000000002</v>
      </c>
      <c r="AC39" s="21">
        <f t="shared" si="7"/>
        <v>-0.27907300000000002</v>
      </c>
      <c r="AD39" s="11">
        <f t="shared" si="8"/>
        <v>-1</v>
      </c>
      <c r="AE39" s="22">
        <f t="shared" si="9"/>
        <v>-3.1158600000000001</v>
      </c>
      <c r="AF39" s="21">
        <f t="shared" si="10"/>
        <v>-0.28945700000000002</v>
      </c>
      <c r="AG39" s="21">
        <f t="shared" si="11"/>
        <v>-0.27837400000000001</v>
      </c>
      <c r="AH39" s="11">
        <f t="shared" si="12"/>
        <v>-1</v>
      </c>
      <c r="AI39">
        <v>2.5000000000000001E-2</v>
      </c>
      <c r="AJ39">
        <v>-2.5000000000000001E-2</v>
      </c>
      <c r="AK39">
        <v>1.5E-3</v>
      </c>
      <c r="AL39">
        <v>-1.5E-3</v>
      </c>
      <c r="AM39">
        <v>1.5E-3</v>
      </c>
      <c r="AN39">
        <v>-1.5E-3</v>
      </c>
      <c r="AO39" s="16">
        <v>2.5000000000000001E-2</v>
      </c>
      <c r="AP39" s="16">
        <v>-2.5000000000000001E-2</v>
      </c>
      <c r="AQ39">
        <v>1.4999999999999999E-2</v>
      </c>
      <c r="AR39">
        <v>-1.4999999999999999E-2</v>
      </c>
      <c r="AS39">
        <v>1E-3</v>
      </c>
      <c r="AT39">
        <v>-1E-3</v>
      </c>
      <c r="AU39">
        <v>1E-3</v>
      </c>
      <c r="AV39">
        <v>-1E-3</v>
      </c>
      <c r="AW39" s="16">
        <v>1.4999999999999999E-2</v>
      </c>
      <c r="AX39" s="16">
        <v>-1.4999999999999999E-2</v>
      </c>
    </row>
    <row r="40" spans="1:279" customFormat="1">
      <c r="F40" s="17" t="str">
        <f t="shared" si="0"/>
        <v/>
      </c>
      <c r="G40" s="9"/>
      <c r="H40" s="25">
        <v>1</v>
      </c>
      <c r="I40" s="5"/>
      <c r="J40" s="5"/>
      <c r="K40" s="5"/>
      <c r="L40" s="5"/>
      <c r="M40" s="5">
        <v>2</v>
      </c>
      <c r="N40" s="5"/>
      <c r="O40" s="5"/>
      <c r="P40" s="5"/>
      <c r="Q40" s="5"/>
      <c r="R40" s="5">
        <v>3</v>
      </c>
      <c r="S40" s="5"/>
      <c r="T40" s="5"/>
      <c r="U40" s="5"/>
      <c r="V40" s="5"/>
      <c r="W40" s="22">
        <f t="shared" si="1"/>
        <v>-3.1193599999999999</v>
      </c>
      <c r="X40" s="21">
        <f t="shared" si="2"/>
        <v>-0.28995700000000002</v>
      </c>
      <c r="Y40" s="21">
        <f t="shared" si="3"/>
        <v>-0.28256799999999999</v>
      </c>
      <c r="Z40" s="11">
        <f t="shared" si="4"/>
        <v>-1</v>
      </c>
      <c r="AA40" s="22">
        <f t="shared" si="5"/>
        <v>-3.1073400000000002</v>
      </c>
      <c r="AB40" s="21">
        <f t="shared" si="6"/>
        <v>-0.29020600000000002</v>
      </c>
      <c r="AC40" s="21">
        <f t="shared" si="7"/>
        <v>-0.27907300000000002</v>
      </c>
      <c r="AD40" s="11">
        <f t="shared" si="8"/>
        <v>-1</v>
      </c>
      <c r="AE40" s="22">
        <f t="shared" si="9"/>
        <v>-3.1158600000000001</v>
      </c>
      <c r="AF40" s="21">
        <f t="shared" si="10"/>
        <v>-0.28945700000000002</v>
      </c>
      <c r="AG40" s="21">
        <f t="shared" si="11"/>
        <v>-0.27837400000000001</v>
      </c>
      <c r="AH40" s="11">
        <f t="shared" si="12"/>
        <v>-1</v>
      </c>
      <c r="AI40">
        <v>2.5000000000000001E-2</v>
      </c>
      <c r="AJ40">
        <v>-2.5000000000000001E-2</v>
      </c>
      <c r="AK40">
        <v>1.5E-3</v>
      </c>
      <c r="AL40">
        <v>-1.5E-3</v>
      </c>
      <c r="AM40">
        <v>1.5E-3</v>
      </c>
      <c r="AN40">
        <v>-1.5E-3</v>
      </c>
      <c r="AO40" s="16">
        <v>2.5000000000000001E-2</v>
      </c>
      <c r="AP40" s="16">
        <v>-2.5000000000000001E-2</v>
      </c>
      <c r="AQ40">
        <v>1.4999999999999999E-2</v>
      </c>
      <c r="AR40">
        <v>-1.4999999999999999E-2</v>
      </c>
      <c r="AS40">
        <v>1E-3</v>
      </c>
      <c r="AT40">
        <v>-1E-3</v>
      </c>
      <c r="AU40">
        <v>1E-3</v>
      </c>
      <c r="AV40">
        <v>-1E-3</v>
      </c>
      <c r="AW40" s="16">
        <v>1.4999999999999999E-2</v>
      </c>
      <c r="AX40" s="16">
        <v>-1.4999999999999999E-2</v>
      </c>
    </row>
    <row r="41" spans="1:279" customFormat="1">
      <c r="F41" s="17" t="str">
        <f t="shared" si="0"/>
        <v/>
      </c>
      <c r="G41" s="9"/>
      <c r="H41" s="25">
        <v>1</v>
      </c>
      <c r="I41" s="5"/>
      <c r="J41" s="5"/>
      <c r="K41" s="5"/>
      <c r="L41" s="5"/>
      <c r="M41" s="5">
        <v>2</v>
      </c>
      <c r="N41" s="5"/>
      <c r="O41" s="5"/>
      <c r="P41" s="5"/>
      <c r="Q41" s="5"/>
      <c r="R41" s="5">
        <v>3</v>
      </c>
      <c r="S41" s="5"/>
      <c r="T41" s="5"/>
      <c r="U41" s="5"/>
      <c r="V41" s="5"/>
      <c r="W41" s="22">
        <f t="shared" si="1"/>
        <v>-3.1193599999999999</v>
      </c>
      <c r="X41" s="21">
        <f t="shared" si="2"/>
        <v>-0.28995700000000002</v>
      </c>
      <c r="Y41" s="21">
        <f t="shared" si="3"/>
        <v>-0.28256799999999999</v>
      </c>
      <c r="Z41" s="11">
        <f t="shared" si="4"/>
        <v>-1</v>
      </c>
      <c r="AA41" s="22">
        <f t="shared" si="5"/>
        <v>-3.1073400000000002</v>
      </c>
      <c r="AB41" s="21">
        <f t="shared" si="6"/>
        <v>-0.29020600000000002</v>
      </c>
      <c r="AC41" s="21">
        <f t="shared" si="7"/>
        <v>-0.27907300000000002</v>
      </c>
      <c r="AD41" s="11">
        <f t="shared" si="8"/>
        <v>-1</v>
      </c>
      <c r="AE41" s="22">
        <f t="shared" si="9"/>
        <v>-3.1158600000000001</v>
      </c>
      <c r="AF41" s="21">
        <f t="shared" si="10"/>
        <v>-0.28945700000000002</v>
      </c>
      <c r="AG41" s="21">
        <f t="shared" si="11"/>
        <v>-0.27837400000000001</v>
      </c>
      <c r="AH41" s="11">
        <f t="shared" si="12"/>
        <v>-1</v>
      </c>
      <c r="AI41">
        <v>2.5000000000000001E-2</v>
      </c>
      <c r="AJ41">
        <v>-2.5000000000000001E-2</v>
      </c>
      <c r="AK41">
        <v>1.5E-3</v>
      </c>
      <c r="AL41">
        <v>-1.5E-3</v>
      </c>
      <c r="AM41">
        <v>1.5E-3</v>
      </c>
      <c r="AN41">
        <v>-1.5E-3</v>
      </c>
      <c r="AO41" s="16">
        <v>2.5000000000000001E-2</v>
      </c>
      <c r="AP41" s="16">
        <v>-2.5000000000000001E-2</v>
      </c>
      <c r="AQ41">
        <v>1.4999999999999999E-2</v>
      </c>
      <c r="AR41">
        <v>-1.4999999999999999E-2</v>
      </c>
      <c r="AS41">
        <v>1E-3</v>
      </c>
      <c r="AT41">
        <v>-1E-3</v>
      </c>
      <c r="AU41">
        <v>1E-3</v>
      </c>
      <c r="AV41">
        <v>-1E-3</v>
      </c>
      <c r="AW41" s="16">
        <v>1.4999999999999999E-2</v>
      </c>
      <c r="AX41" s="16">
        <v>-1.4999999999999999E-2</v>
      </c>
    </row>
    <row r="42" spans="1:279" customFormat="1">
      <c r="F42" s="17" t="str">
        <f t="shared" si="0"/>
        <v/>
      </c>
      <c r="G42" s="9"/>
      <c r="H42" s="25">
        <v>1</v>
      </c>
      <c r="I42" s="5"/>
      <c r="J42" s="5"/>
      <c r="K42" s="5"/>
      <c r="L42" s="5"/>
      <c r="M42" s="5">
        <v>2</v>
      </c>
      <c r="N42" s="5"/>
      <c r="O42" s="5"/>
      <c r="P42" s="5"/>
      <c r="Q42" s="5"/>
      <c r="R42" s="5">
        <v>3</v>
      </c>
      <c r="S42" s="5"/>
      <c r="T42" s="5"/>
      <c r="U42" s="5"/>
      <c r="V42" s="5"/>
      <c r="W42" s="22">
        <f t="shared" si="1"/>
        <v>-3.1193599999999999</v>
      </c>
      <c r="X42" s="21">
        <f t="shared" si="2"/>
        <v>-0.28995700000000002</v>
      </c>
      <c r="Y42" s="21">
        <f t="shared" si="3"/>
        <v>-0.28256799999999999</v>
      </c>
      <c r="Z42" s="11">
        <f t="shared" si="4"/>
        <v>-1</v>
      </c>
      <c r="AA42" s="22">
        <f t="shared" si="5"/>
        <v>-3.1073400000000002</v>
      </c>
      <c r="AB42" s="21">
        <f t="shared" si="6"/>
        <v>-0.29020600000000002</v>
      </c>
      <c r="AC42" s="21">
        <f t="shared" si="7"/>
        <v>-0.27907300000000002</v>
      </c>
      <c r="AD42" s="11">
        <f t="shared" si="8"/>
        <v>-1</v>
      </c>
      <c r="AE42" s="22">
        <f t="shared" si="9"/>
        <v>-3.1158600000000001</v>
      </c>
      <c r="AF42" s="21">
        <f t="shared" si="10"/>
        <v>-0.28945700000000002</v>
      </c>
      <c r="AG42" s="21">
        <f t="shared" si="11"/>
        <v>-0.27837400000000001</v>
      </c>
      <c r="AH42" s="11">
        <f t="shared" si="12"/>
        <v>-1</v>
      </c>
      <c r="AI42">
        <v>2.5000000000000001E-2</v>
      </c>
      <c r="AJ42">
        <v>-2.5000000000000001E-2</v>
      </c>
      <c r="AK42">
        <v>1.5E-3</v>
      </c>
      <c r="AL42">
        <v>-1.5E-3</v>
      </c>
      <c r="AM42">
        <v>1.5E-3</v>
      </c>
      <c r="AN42">
        <v>-1.5E-3</v>
      </c>
      <c r="AO42" s="16">
        <v>2.5000000000000001E-2</v>
      </c>
      <c r="AP42" s="16">
        <v>-2.5000000000000001E-2</v>
      </c>
      <c r="AQ42">
        <v>1.4999999999999999E-2</v>
      </c>
      <c r="AR42">
        <v>-1.4999999999999999E-2</v>
      </c>
      <c r="AS42">
        <v>1E-3</v>
      </c>
      <c r="AT42">
        <v>-1E-3</v>
      </c>
      <c r="AU42">
        <v>1E-3</v>
      </c>
      <c r="AV42">
        <v>-1E-3</v>
      </c>
      <c r="AW42" s="16">
        <v>1.4999999999999999E-2</v>
      </c>
      <c r="AX42" s="16">
        <v>-1.4999999999999999E-2</v>
      </c>
    </row>
    <row r="43" spans="1:279" customFormat="1">
      <c r="F43" s="17" t="str">
        <f t="shared" si="0"/>
        <v/>
      </c>
      <c r="G43" s="9"/>
      <c r="H43" s="25">
        <v>1</v>
      </c>
      <c r="I43" s="5"/>
      <c r="J43" s="5"/>
      <c r="K43" s="5"/>
      <c r="L43" s="5"/>
      <c r="M43" s="5">
        <v>2</v>
      </c>
      <c r="N43" s="5"/>
      <c r="O43" s="5"/>
      <c r="P43" s="5"/>
      <c r="Q43" s="5"/>
      <c r="R43" s="5">
        <v>3</v>
      </c>
      <c r="S43" s="5"/>
      <c r="T43" s="5"/>
      <c r="U43" s="5"/>
      <c r="V43" s="5"/>
      <c r="W43" s="22">
        <f t="shared" si="1"/>
        <v>-3.1193599999999999</v>
      </c>
      <c r="X43" s="21">
        <f t="shared" si="2"/>
        <v>-0.28995700000000002</v>
      </c>
      <c r="Y43" s="21">
        <f t="shared" si="3"/>
        <v>-0.28256799999999999</v>
      </c>
      <c r="Z43" s="11">
        <f t="shared" si="4"/>
        <v>-1</v>
      </c>
      <c r="AA43" s="22">
        <f t="shared" si="5"/>
        <v>-3.1073400000000002</v>
      </c>
      <c r="AB43" s="21">
        <f t="shared" si="6"/>
        <v>-0.29020600000000002</v>
      </c>
      <c r="AC43" s="21">
        <f t="shared" si="7"/>
        <v>-0.27907300000000002</v>
      </c>
      <c r="AD43" s="11">
        <f t="shared" si="8"/>
        <v>-1</v>
      </c>
      <c r="AE43" s="22">
        <f t="shared" si="9"/>
        <v>-3.1158600000000001</v>
      </c>
      <c r="AF43" s="21">
        <f t="shared" si="10"/>
        <v>-0.28945700000000002</v>
      </c>
      <c r="AG43" s="21">
        <f t="shared" si="11"/>
        <v>-0.27837400000000001</v>
      </c>
      <c r="AH43" s="11">
        <f t="shared" si="12"/>
        <v>-1</v>
      </c>
      <c r="AI43">
        <v>2.5000000000000001E-2</v>
      </c>
      <c r="AJ43">
        <v>-2.5000000000000001E-2</v>
      </c>
      <c r="AK43">
        <v>1.5E-3</v>
      </c>
      <c r="AL43">
        <v>-1.5E-3</v>
      </c>
      <c r="AM43">
        <v>1.5E-3</v>
      </c>
      <c r="AN43">
        <v>-1.5E-3</v>
      </c>
      <c r="AO43" s="16">
        <v>2.5000000000000001E-2</v>
      </c>
      <c r="AP43" s="16">
        <v>-2.5000000000000001E-2</v>
      </c>
      <c r="AQ43">
        <v>1.4999999999999999E-2</v>
      </c>
      <c r="AR43">
        <v>-1.4999999999999999E-2</v>
      </c>
      <c r="AS43">
        <v>1E-3</v>
      </c>
      <c r="AT43">
        <v>-1E-3</v>
      </c>
      <c r="AU43">
        <v>1E-3</v>
      </c>
      <c r="AV43">
        <v>-1E-3</v>
      </c>
      <c r="AW43" s="16">
        <v>1.4999999999999999E-2</v>
      </c>
      <c r="AX43" s="16">
        <v>-1.4999999999999999E-2</v>
      </c>
    </row>
    <row r="44" spans="1:279" customFormat="1">
      <c r="F44" s="17" t="str">
        <f t="shared" si="0"/>
        <v/>
      </c>
      <c r="G44" s="9"/>
      <c r="H44" s="25">
        <v>1</v>
      </c>
      <c r="I44" s="5"/>
      <c r="J44" s="5"/>
      <c r="K44" s="5"/>
      <c r="L44" s="5"/>
      <c r="M44" s="5">
        <v>2</v>
      </c>
      <c r="N44" s="5"/>
      <c r="O44" s="5"/>
      <c r="P44" s="5"/>
      <c r="Q44" s="5"/>
      <c r="R44" s="5">
        <v>3</v>
      </c>
      <c r="S44" s="5"/>
      <c r="T44" s="5"/>
      <c r="U44" s="5"/>
      <c r="V44" s="5"/>
      <c r="W44" s="22">
        <f t="shared" si="1"/>
        <v>-3.1193599999999999</v>
      </c>
      <c r="X44" s="21">
        <f t="shared" si="2"/>
        <v>-0.28995700000000002</v>
      </c>
      <c r="Y44" s="21">
        <f t="shared" si="3"/>
        <v>-0.28256799999999999</v>
      </c>
      <c r="Z44" s="11">
        <f t="shared" si="4"/>
        <v>-1</v>
      </c>
      <c r="AA44" s="22">
        <f t="shared" si="5"/>
        <v>-3.1073400000000002</v>
      </c>
      <c r="AB44" s="21">
        <f t="shared" si="6"/>
        <v>-0.29020600000000002</v>
      </c>
      <c r="AC44" s="21">
        <f t="shared" si="7"/>
        <v>-0.27907300000000002</v>
      </c>
      <c r="AD44" s="11">
        <f t="shared" si="8"/>
        <v>-1</v>
      </c>
      <c r="AE44" s="22">
        <f t="shared" si="9"/>
        <v>-3.1158600000000001</v>
      </c>
      <c r="AF44" s="21">
        <f t="shared" si="10"/>
        <v>-0.28945700000000002</v>
      </c>
      <c r="AG44" s="21">
        <f t="shared" si="11"/>
        <v>-0.27837400000000001</v>
      </c>
      <c r="AH44" s="11">
        <f t="shared" si="12"/>
        <v>-1</v>
      </c>
      <c r="AI44">
        <v>2.5000000000000001E-2</v>
      </c>
      <c r="AJ44">
        <v>-2.5000000000000001E-2</v>
      </c>
      <c r="AK44">
        <v>1.5E-3</v>
      </c>
      <c r="AL44">
        <v>-1.5E-3</v>
      </c>
      <c r="AM44">
        <v>1.5E-3</v>
      </c>
      <c r="AN44">
        <v>-1.5E-3</v>
      </c>
      <c r="AO44" s="16">
        <v>2.5000000000000001E-2</v>
      </c>
      <c r="AP44" s="16">
        <v>-2.5000000000000001E-2</v>
      </c>
      <c r="AQ44">
        <v>1.4999999999999999E-2</v>
      </c>
      <c r="AR44">
        <v>-1.4999999999999999E-2</v>
      </c>
      <c r="AS44">
        <v>1E-3</v>
      </c>
      <c r="AT44">
        <v>-1E-3</v>
      </c>
      <c r="AU44">
        <v>1E-3</v>
      </c>
      <c r="AV44">
        <v>-1E-3</v>
      </c>
      <c r="AW44" s="16">
        <v>1.4999999999999999E-2</v>
      </c>
      <c r="AX44" s="16">
        <v>-1.4999999999999999E-2</v>
      </c>
    </row>
    <row r="45" spans="1:279" customFormat="1">
      <c r="F45" s="17" t="str">
        <f t="shared" si="0"/>
        <v/>
      </c>
      <c r="G45" s="9"/>
      <c r="H45" s="25">
        <v>1</v>
      </c>
      <c r="I45" s="5"/>
      <c r="J45" s="5"/>
      <c r="K45" s="5"/>
      <c r="L45" s="5"/>
      <c r="M45" s="5">
        <v>2</v>
      </c>
      <c r="N45" s="5"/>
      <c r="O45" s="5"/>
      <c r="P45" s="5"/>
      <c r="Q45" s="5"/>
      <c r="R45" s="5">
        <v>3</v>
      </c>
      <c r="S45" s="5"/>
      <c r="T45" s="5"/>
      <c r="U45" s="5"/>
      <c r="V45" s="5"/>
      <c r="W45" s="22">
        <f t="shared" si="1"/>
        <v>-3.1193599999999999</v>
      </c>
      <c r="X45" s="21">
        <f t="shared" si="2"/>
        <v>-0.28995700000000002</v>
      </c>
      <c r="Y45" s="21">
        <f t="shared" si="3"/>
        <v>-0.28256799999999999</v>
      </c>
      <c r="Z45" s="11">
        <f t="shared" si="4"/>
        <v>-1</v>
      </c>
      <c r="AA45" s="22">
        <f t="shared" si="5"/>
        <v>-3.1073400000000002</v>
      </c>
      <c r="AB45" s="21">
        <f t="shared" si="6"/>
        <v>-0.29020600000000002</v>
      </c>
      <c r="AC45" s="21">
        <f t="shared" si="7"/>
        <v>-0.27907300000000002</v>
      </c>
      <c r="AD45" s="11">
        <f t="shared" si="8"/>
        <v>-1</v>
      </c>
      <c r="AE45" s="22">
        <f t="shared" si="9"/>
        <v>-3.1158600000000001</v>
      </c>
      <c r="AF45" s="21">
        <f t="shared" si="10"/>
        <v>-0.28945700000000002</v>
      </c>
      <c r="AG45" s="21">
        <f t="shared" si="11"/>
        <v>-0.27837400000000001</v>
      </c>
      <c r="AH45" s="11">
        <f t="shared" si="12"/>
        <v>-1</v>
      </c>
      <c r="AI45">
        <v>2.5000000000000001E-2</v>
      </c>
      <c r="AJ45">
        <v>-2.5000000000000001E-2</v>
      </c>
      <c r="AK45">
        <v>1.5E-3</v>
      </c>
      <c r="AL45">
        <v>-1.5E-3</v>
      </c>
      <c r="AM45">
        <v>1.5E-3</v>
      </c>
      <c r="AN45">
        <v>-1.5E-3</v>
      </c>
      <c r="AO45" s="16">
        <v>2.5000000000000001E-2</v>
      </c>
      <c r="AP45" s="16">
        <v>-2.5000000000000001E-2</v>
      </c>
      <c r="AQ45">
        <v>1.4999999999999999E-2</v>
      </c>
      <c r="AR45">
        <v>-1.4999999999999999E-2</v>
      </c>
      <c r="AS45">
        <v>1E-3</v>
      </c>
      <c r="AT45">
        <v>-1E-3</v>
      </c>
      <c r="AU45">
        <v>1E-3</v>
      </c>
      <c r="AV45">
        <v>-1E-3</v>
      </c>
      <c r="AW45" s="16">
        <v>1.4999999999999999E-2</v>
      </c>
      <c r="AX45" s="16">
        <v>-1.4999999999999999E-2</v>
      </c>
    </row>
    <row r="46" spans="1:279" customFormat="1">
      <c r="F46" s="17" t="str">
        <f t="shared" si="0"/>
        <v/>
      </c>
      <c r="G46" s="9"/>
      <c r="H46" s="25">
        <v>1</v>
      </c>
      <c r="I46" s="5"/>
      <c r="J46" s="5"/>
      <c r="K46" s="5"/>
      <c r="L46" s="5"/>
      <c r="M46" s="5">
        <v>2</v>
      </c>
      <c r="N46" s="5"/>
      <c r="O46" s="5"/>
      <c r="P46" s="5"/>
      <c r="Q46" s="5"/>
      <c r="R46" s="5">
        <v>3</v>
      </c>
      <c r="S46" s="5"/>
      <c r="T46" s="5"/>
      <c r="U46" s="5"/>
      <c r="V46" s="5"/>
      <c r="W46" s="22">
        <f t="shared" si="1"/>
        <v>-3.1193599999999999</v>
      </c>
      <c r="X46" s="21">
        <f t="shared" si="2"/>
        <v>-0.28995700000000002</v>
      </c>
      <c r="Y46" s="21">
        <f t="shared" si="3"/>
        <v>-0.28256799999999999</v>
      </c>
      <c r="Z46" s="11">
        <f t="shared" si="4"/>
        <v>-1</v>
      </c>
      <c r="AA46" s="22">
        <f t="shared" si="5"/>
        <v>-3.1073400000000002</v>
      </c>
      <c r="AB46" s="21">
        <f t="shared" si="6"/>
        <v>-0.29020600000000002</v>
      </c>
      <c r="AC46" s="21">
        <f t="shared" si="7"/>
        <v>-0.27907300000000002</v>
      </c>
      <c r="AD46" s="11">
        <f t="shared" si="8"/>
        <v>-1</v>
      </c>
      <c r="AE46" s="22">
        <f t="shared" si="9"/>
        <v>-3.1158600000000001</v>
      </c>
      <c r="AF46" s="21">
        <f t="shared" si="10"/>
        <v>-0.28945700000000002</v>
      </c>
      <c r="AG46" s="21">
        <f t="shared" si="11"/>
        <v>-0.27837400000000001</v>
      </c>
      <c r="AH46" s="11">
        <f t="shared" si="12"/>
        <v>-1</v>
      </c>
      <c r="AI46">
        <v>2.5000000000000001E-2</v>
      </c>
      <c r="AJ46">
        <v>-2.5000000000000001E-2</v>
      </c>
      <c r="AK46">
        <v>1.5E-3</v>
      </c>
      <c r="AL46">
        <v>-1.5E-3</v>
      </c>
      <c r="AM46">
        <v>1.5E-3</v>
      </c>
      <c r="AN46">
        <v>-1.5E-3</v>
      </c>
      <c r="AO46" s="16">
        <v>2.5000000000000001E-2</v>
      </c>
      <c r="AP46" s="16">
        <v>-2.5000000000000001E-2</v>
      </c>
      <c r="AQ46">
        <v>1.4999999999999999E-2</v>
      </c>
      <c r="AR46">
        <v>-1.4999999999999999E-2</v>
      </c>
      <c r="AS46">
        <v>1E-3</v>
      </c>
      <c r="AT46">
        <v>-1E-3</v>
      </c>
      <c r="AU46">
        <v>1E-3</v>
      </c>
      <c r="AV46">
        <v>-1E-3</v>
      </c>
      <c r="AW46" s="16">
        <v>1.4999999999999999E-2</v>
      </c>
      <c r="AX46" s="16">
        <v>-1.4999999999999999E-2</v>
      </c>
      <c r="JR46">
        <v>12.849506578947368</v>
      </c>
      <c r="JS46">
        <v>25.699013157894736</v>
      </c>
    </row>
    <row r="47" spans="1:279" customFormat="1">
      <c r="F47" s="17" t="str">
        <f t="shared" si="0"/>
        <v/>
      </c>
      <c r="G47" s="9"/>
      <c r="H47" s="2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22" t="e">
        <f t="shared" si="1"/>
        <v>#N/A</v>
      </c>
      <c r="X47" s="21" t="e">
        <f t="shared" si="2"/>
        <v>#N/A</v>
      </c>
      <c r="Y47" s="21" t="e">
        <f t="shared" si="3"/>
        <v>#N/A</v>
      </c>
      <c r="Z47" s="11" t="e">
        <f t="shared" si="4"/>
        <v>#N/A</v>
      </c>
      <c r="AA47" s="22" t="e">
        <f t="shared" si="5"/>
        <v>#N/A</v>
      </c>
      <c r="AB47" s="21" t="e">
        <f t="shared" si="6"/>
        <v>#N/A</v>
      </c>
      <c r="AC47" s="21" t="e">
        <f t="shared" si="7"/>
        <v>#N/A</v>
      </c>
      <c r="AD47" s="11" t="e">
        <f t="shared" si="8"/>
        <v>#N/A</v>
      </c>
      <c r="AE47" s="22" t="e">
        <f t="shared" si="9"/>
        <v>#N/A</v>
      </c>
      <c r="AF47" s="21" t="e">
        <f t="shared" si="10"/>
        <v>#N/A</v>
      </c>
      <c r="AG47" s="21" t="e">
        <f t="shared" si="11"/>
        <v>#N/A</v>
      </c>
      <c r="AH47" s="11" t="e">
        <f t="shared" si="12"/>
        <v>#N/A</v>
      </c>
      <c r="AI47">
        <v>2.5000000000000001E-2</v>
      </c>
      <c r="AJ47">
        <v>-2.5000000000000001E-2</v>
      </c>
      <c r="AK47">
        <v>1.5E-3</v>
      </c>
      <c r="AL47">
        <v>-1.5E-3</v>
      </c>
      <c r="AM47">
        <v>1.5E-3</v>
      </c>
      <c r="AN47">
        <v>-1.5E-3</v>
      </c>
      <c r="AO47" s="16">
        <v>2.5000000000000001E-2</v>
      </c>
      <c r="AP47" s="16">
        <v>-2.5000000000000001E-2</v>
      </c>
      <c r="AQ47">
        <v>1.4999999999999999E-2</v>
      </c>
      <c r="AR47">
        <v>-1.4999999999999999E-2</v>
      </c>
      <c r="AS47">
        <v>1E-3</v>
      </c>
      <c r="AT47">
        <v>-1E-3</v>
      </c>
      <c r="AU47">
        <v>1E-3</v>
      </c>
      <c r="AV47">
        <v>-1E-3</v>
      </c>
      <c r="AW47" s="16">
        <v>1.4999999999999999E-2</v>
      </c>
      <c r="AX47" s="16">
        <v>-1.4999999999999999E-2</v>
      </c>
    </row>
    <row r="48" spans="1:279" customFormat="1">
      <c r="F48" s="17" t="str">
        <f t="shared" si="0"/>
        <v/>
      </c>
      <c r="G48" s="9"/>
      <c r="H48" s="2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22" t="e">
        <f t="shared" si="1"/>
        <v>#N/A</v>
      </c>
      <c r="X48" s="21" t="e">
        <f t="shared" si="2"/>
        <v>#N/A</v>
      </c>
      <c r="Y48" s="21" t="e">
        <f t="shared" si="3"/>
        <v>#N/A</v>
      </c>
      <c r="Z48" s="11" t="e">
        <f t="shared" si="4"/>
        <v>#N/A</v>
      </c>
      <c r="AA48" s="22" t="e">
        <f t="shared" si="5"/>
        <v>#N/A</v>
      </c>
      <c r="AB48" s="21" t="e">
        <f t="shared" si="6"/>
        <v>#N/A</v>
      </c>
      <c r="AC48" s="21" t="e">
        <f t="shared" si="7"/>
        <v>#N/A</v>
      </c>
      <c r="AD48" s="11" t="e">
        <f t="shared" si="8"/>
        <v>#N/A</v>
      </c>
      <c r="AE48" s="22" t="e">
        <f t="shared" si="9"/>
        <v>#N/A</v>
      </c>
      <c r="AF48" s="21" t="e">
        <f t="shared" si="10"/>
        <v>#N/A</v>
      </c>
      <c r="AG48" s="21" t="e">
        <f t="shared" si="11"/>
        <v>#N/A</v>
      </c>
      <c r="AH48" s="11" t="e">
        <f t="shared" si="12"/>
        <v>#N/A</v>
      </c>
      <c r="AI48">
        <v>2.5000000000000001E-2</v>
      </c>
      <c r="AJ48">
        <v>-2.5000000000000001E-2</v>
      </c>
      <c r="AK48">
        <v>1.5E-3</v>
      </c>
      <c r="AL48">
        <v>-1.5E-3</v>
      </c>
      <c r="AM48">
        <v>1.5E-3</v>
      </c>
      <c r="AN48">
        <v>-1.5E-3</v>
      </c>
      <c r="AO48" s="16">
        <v>2.5000000000000001E-2</v>
      </c>
      <c r="AP48" s="16">
        <v>-2.5000000000000001E-2</v>
      </c>
      <c r="AQ48">
        <v>1.4999999999999999E-2</v>
      </c>
      <c r="AR48">
        <v>-1.4999999999999999E-2</v>
      </c>
      <c r="AS48">
        <v>1E-3</v>
      </c>
      <c r="AT48">
        <v>-1E-3</v>
      </c>
      <c r="AU48">
        <v>1E-3</v>
      </c>
      <c r="AV48">
        <v>-1E-3</v>
      </c>
      <c r="AW48" s="16">
        <v>1.4999999999999999E-2</v>
      </c>
      <c r="AX48" s="16">
        <v>-1.4999999999999999E-2</v>
      </c>
      <c r="JQ48">
        <v>12.849506578947368</v>
      </c>
      <c r="JR48">
        <v>12.849506578947368</v>
      </c>
      <c r="JS48">
        <v>12.849506578947368</v>
      </c>
    </row>
    <row r="49" spans="6:279" customFormat="1">
      <c r="F49" s="17" t="str">
        <f t="shared" si="0"/>
        <v/>
      </c>
      <c r="G49" s="9"/>
      <c r="H49" s="2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22" t="e">
        <f t="shared" si="1"/>
        <v>#N/A</v>
      </c>
      <c r="X49" s="21" t="e">
        <f t="shared" si="2"/>
        <v>#N/A</v>
      </c>
      <c r="Y49" s="21" t="e">
        <f t="shared" si="3"/>
        <v>#N/A</v>
      </c>
      <c r="Z49" s="11" t="e">
        <f t="shared" si="4"/>
        <v>#N/A</v>
      </c>
      <c r="AA49" s="22" t="e">
        <f t="shared" si="5"/>
        <v>#N/A</v>
      </c>
      <c r="AB49" s="21" t="e">
        <f t="shared" si="6"/>
        <v>#N/A</v>
      </c>
      <c r="AC49" s="21" t="e">
        <f t="shared" si="7"/>
        <v>#N/A</v>
      </c>
      <c r="AD49" s="11" t="e">
        <f t="shared" si="8"/>
        <v>#N/A</v>
      </c>
      <c r="AE49" s="22" t="e">
        <f t="shared" si="9"/>
        <v>#N/A</v>
      </c>
      <c r="AF49" s="21" t="e">
        <f t="shared" si="10"/>
        <v>#N/A</v>
      </c>
      <c r="AG49" s="21" t="e">
        <f t="shared" si="11"/>
        <v>#N/A</v>
      </c>
      <c r="AH49" s="11" t="e">
        <f t="shared" si="12"/>
        <v>#N/A</v>
      </c>
      <c r="AI49">
        <v>2.5000000000000001E-2</v>
      </c>
      <c r="AJ49">
        <v>-2.5000000000000001E-2</v>
      </c>
      <c r="AK49">
        <v>1.5E-3</v>
      </c>
      <c r="AL49">
        <v>-1.5E-3</v>
      </c>
      <c r="AM49">
        <v>1.5E-3</v>
      </c>
      <c r="AN49">
        <v>-1.5E-3</v>
      </c>
      <c r="AO49" s="16">
        <v>2.5000000000000001E-2</v>
      </c>
      <c r="AP49" s="16">
        <v>-2.5000000000000001E-2</v>
      </c>
      <c r="AQ49">
        <v>1.4999999999999999E-2</v>
      </c>
      <c r="AR49">
        <v>-1.4999999999999999E-2</v>
      </c>
      <c r="AS49">
        <v>1E-3</v>
      </c>
      <c r="AT49">
        <v>-1E-3</v>
      </c>
      <c r="AU49">
        <v>1E-3</v>
      </c>
      <c r="AV49">
        <v>-1E-3</v>
      </c>
      <c r="AW49" s="16">
        <v>1.4999999999999999E-2</v>
      </c>
      <c r="AX49" s="16">
        <v>-1.4999999999999999E-2</v>
      </c>
    </row>
    <row r="50" spans="6:279" customFormat="1">
      <c r="F50" s="17" t="str">
        <f t="shared" si="0"/>
        <v/>
      </c>
      <c r="G50" s="9"/>
      <c r="H50" s="2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22" t="e">
        <f t="shared" si="1"/>
        <v>#N/A</v>
      </c>
      <c r="X50" s="21" t="e">
        <f t="shared" si="2"/>
        <v>#N/A</v>
      </c>
      <c r="Y50" s="21" t="e">
        <f t="shared" si="3"/>
        <v>#N/A</v>
      </c>
      <c r="Z50" s="11" t="e">
        <f t="shared" si="4"/>
        <v>#N/A</v>
      </c>
      <c r="AA50" s="22" t="e">
        <f t="shared" si="5"/>
        <v>#N/A</v>
      </c>
      <c r="AB50" s="21" t="e">
        <f t="shared" si="6"/>
        <v>#N/A</v>
      </c>
      <c r="AC50" s="21" t="e">
        <f t="shared" si="7"/>
        <v>#N/A</v>
      </c>
      <c r="AD50" s="11" t="e">
        <f t="shared" si="8"/>
        <v>#N/A</v>
      </c>
      <c r="AE50" s="22" t="e">
        <f t="shared" si="9"/>
        <v>#N/A</v>
      </c>
      <c r="AF50" s="21" t="e">
        <f t="shared" si="10"/>
        <v>#N/A</v>
      </c>
      <c r="AG50" s="21" t="e">
        <f t="shared" si="11"/>
        <v>#N/A</v>
      </c>
      <c r="AH50" s="11" t="e">
        <f t="shared" si="12"/>
        <v>#N/A</v>
      </c>
      <c r="AI50">
        <v>2.5000000000000001E-2</v>
      </c>
      <c r="AJ50">
        <v>-2.5000000000000001E-2</v>
      </c>
      <c r="AK50">
        <v>1.5E-3</v>
      </c>
      <c r="AL50">
        <v>-1.5E-3</v>
      </c>
      <c r="AM50">
        <v>1.5E-3</v>
      </c>
      <c r="AN50">
        <v>-1.5E-3</v>
      </c>
      <c r="AO50" s="16">
        <v>2.5000000000000001E-2</v>
      </c>
      <c r="AP50" s="16">
        <v>-2.5000000000000001E-2</v>
      </c>
      <c r="AQ50">
        <v>1.4999999999999999E-2</v>
      </c>
      <c r="AR50">
        <v>-1.4999999999999999E-2</v>
      </c>
      <c r="AS50">
        <v>1E-3</v>
      </c>
      <c r="AT50">
        <v>-1E-3</v>
      </c>
      <c r="AU50">
        <v>1E-3</v>
      </c>
      <c r="AV50">
        <v>-1E-3</v>
      </c>
      <c r="AW50" s="16">
        <v>1.4999999999999999E-2</v>
      </c>
      <c r="AX50" s="16">
        <v>-1.4999999999999999E-2</v>
      </c>
    </row>
    <row r="51" spans="6:279" customFormat="1">
      <c r="F51" s="17" t="str">
        <f t="shared" si="0"/>
        <v/>
      </c>
      <c r="G51" s="9"/>
      <c r="H51" s="2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22" t="e">
        <f t="shared" si="1"/>
        <v>#N/A</v>
      </c>
      <c r="X51" s="21" t="e">
        <f t="shared" si="2"/>
        <v>#N/A</v>
      </c>
      <c r="Y51" s="21" t="e">
        <f t="shared" si="3"/>
        <v>#N/A</v>
      </c>
      <c r="Z51" s="11" t="e">
        <f t="shared" si="4"/>
        <v>#N/A</v>
      </c>
      <c r="AA51" s="22" t="e">
        <f t="shared" si="5"/>
        <v>#N/A</v>
      </c>
      <c r="AB51" s="21" t="e">
        <f t="shared" si="6"/>
        <v>#N/A</v>
      </c>
      <c r="AC51" s="21" t="e">
        <f t="shared" si="7"/>
        <v>#N/A</v>
      </c>
      <c r="AD51" s="11" t="e">
        <f t="shared" si="8"/>
        <v>#N/A</v>
      </c>
      <c r="AE51" s="22" t="e">
        <f t="shared" si="9"/>
        <v>#N/A</v>
      </c>
      <c r="AF51" s="21" t="e">
        <f t="shared" si="10"/>
        <v>#N/A</v>
      </c>
      <c r="AG51" s="21" t="e">
        <f t="shared" si="11"/>
        <v>#N/A</v>
      </c>
      <c r="AH51" s="11" t="e">
        <f t="shared" si="12"/>
        <v>#N/A</v>
      </c>
      <c r="AI51">
        <v>2.5000000000000001E-2</v>
      </c>
      <c r="AJ51">
        <v>-2.5000000000000001E-2</v>
      </c>
      <c r="AK51">
        <v>1.5E-3</v>
      </c>
      <c r="AL51">
        <v>-1.5E-3</v>
      </c>
      <c r="AM51">
        <v>1.5E-3</v>
      </c>
      <c r="AN51">
        <v>-1.5E-3</v>
      </c>
      <c r="AO51" s="16">
        <v>2.5000000000000001E-2</v>
      </c>
      <c r="AP51" s="16">
        <v>-2.5000000000000001E-2</v>
      </c>
      <c r="AQ51">
        <v>1.4999999999999999E-2</v>
      </c>
      <c r="AR51">
        <v>-1.4999999999999999E-2</v>
      </c>
      <c r="AS51">
        <v>1E-3</v>
      </c>
      <c r="AT51">
        <v>-1E-3</v>
      </c>
      <c r="AU51">
        <v>1E-3</v>
      </c>
      <c r="AV51">
        <v>-1E-3</v>
      </c>
      <c r="AW51" s="16">
        <v>1.4999999999999999E-2</v>
      </c>
      <c r="AX51" s="16">
        <v>-1.4999999999999999E-2</v>
      </c>
    </row>
    <row r="52" spans="6:279" customFormat="1">
      <c r="F52" s="17" t="str">
        <f t="shared" si="0"/>
        <v/>
      </c>
      <c r="G52" s="9"/>
      <c r="H52" s="2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22" t="e">
        <f t="shared" si="1"/>
        <v>#N/A</v>
      </c>
      <c r="X52" s="21" t="e">
        <f t="shared" si="2"/>
        <v>#N/A</v>
      </c>
      <c r="Y52" s="21" t="e">
        <f t="shared" si="3"/>
        <v>#N/A</v>
      </c>
      <c r="Z52" s="11" t="e">
        <f t="shared" si="4"/>
        <v>#N/A</v>
      </c>
      <c r="AA52" s="22" t="e">
        <f t="shared" si="5"/>
        <v>#N/A</v>
      </c>
      <c r="AB52" s="21" t="e">
        <f t="shared" si="6"/>
        <v>#N/A</v>
      </c>
      <c r="AC52" s="21" t="e">
        <f t="shared" si="7"/>
        <v>#N/A</v>
      </c>
      <c r="AD52" s="11" t="e">
        <f t="shared" si="8"/>
        <v>#N/A</v>
      </c>
      <c r="AE52" s="22" t="e">
        <f t="shared" si="9"/>
        <v>#N/A</v>
      </c>
      <c r="AF52" s="21" t="e">
        <f t="shared" si="10"/>
        <v>#N/A</v>
      </c>
      <c r="AG52" s="21" t="e">
        <f t="shared" si="11"/>
        <v>#N/A</v>
      </c>
      <c r="AH52" s="11" t="e">
        <f t="shared" si="12"/>
        <v>#N/A</v>
      </c>
      <c r="AI52">
        <v>2.5000000000000001E-2</v>
      </c>
      <c r="AJ52">
        <v>-2.5000000000000001E-2</v>
      </c>
      <c r="AK52">
        <v>1.5E-3</v>
      </c>
      <c r="AL52">
        <v>-1.5E-3</v>
      </c>
      <c r="AM52">
        <v>1.5E-3</v>
      </c>
      <c r="AN52">
        <v>-1.5E-3</v>
      </c>
      <c r="AO52" s="16">
        <v>2.5000000000000001E-2</v>
      </c>
      <c r="AP52" s="16">
        <v>-2.5000000000000001E-2</v>
      </c>
      <c r="AQ52">
        <v>1.4999999999999999E-2</v>
      </c>
      <c r="AR52">
        <v>-1.4999999999999999E-2</v>
      </c>
      <c r="AS52">
        <v>1E-3</v>
      </c>
      <c r="AT52">
        <v>-1E-3</v>
      </c>
      <c r="AU52">
        <v>1E-3</v>
      </c>
      <c r="AV52">
        <v>-1E-3</v>
      </c>
      <c r="AW52" s="16">
        <v>1.4999999999999999E-2</v>
      </c>
      <c r="AX52" s="16">
        <v>-1.4999999999999999E-2</v>
      </c>
    </row>
    <row r="53" spans="6:279" customFormat="1">
      <c r="F53" s="17" t="str">
        <f t="shared" si="0"/>
        <v/>
      </c>
      <c r="G53" s="9"/>
      <c r="H53" s="2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22" t="e">
        <f t="shared" si="1"/>
        <v>#N/A</v>
      </c>
      <c r="X53" s="21" t="e">
        <f t="shared" si="2"/>
        <v>#N/A</v>
      </c>
      <c r="Y53" s="21" t="e">
        <f t="shared" si="3"/>
        <v>#N/A</v>
      </c>
      <c r="Z53" s="11" t="e">
        <f t="shared" si="4"/>
        <v>#N/A</v>
      </c>
      <c r="AA53" s="22" t="e">
        <f t="shared" si="5"/>
        <v>#N/A</v>
      </c>
      <c r="AB53" s="21" t="e">
        <f t="shared" si="6"/>
        <v>#N/A</v>
      </c>
      <c r="AC53" s="21" t="e">
        <f t="shared" si="7"/>
        <v>#N/A</v>
      </c>
      <c r="AD53" s="11" t="e">
        <f t="shared" si="8"/>
        <v>#N/A</v>
      </c>
      <c r="AE53" s="22" t="e">
        <f t="shared" si="9"/>
        <v>#N/A</v>
      </c>
      <c r="AF53" s="21" t="e">
        <f t="shared" si="10"/>
        <v>#N/A</v>
      </c>
      <c r="AG53" s="21" t="e">
        <f t="shared" si="11"/>
        <v>#N/A</v>
      </c>
      <c r="AH53" s="11" t="e">
        <f t="shared" si="12"/>
        <v>#N/A</v>
      </c>
      <c r="AI53">
        <v>2.5000000000000001E-2</v>
      </c>
      <c r="AJ53">
        <v>-2.5000000000000001E-2</v>
      </c>
      <c r="AK53">
        <v>1.5E-3</v>
      </c>
      <c r="AL53">
        <v>-1.5E-3</v>
      </c>
      <c r="AM53">
        <v>1.5E-3</v>
      </c>
      <c r="AN53">
        <v>-1.5E-3</v>
      </c>
      <c r="AO53" s="16">
        <v>2.5000000000000001E-2</v>
      </c>
      <c r="AP53" s="16">
        <v>-2.5000000000000001E-2</v>
      </c>
      <c r="AQ53">
        <v>1.4999999999999999E-2</v>
      </c>
      <c r="AR53">
        <v>-1.4999999999999999E-2</v>
      </c>
      <c r="AS53">
        <v>1E-3</v>
      </c>
      <c r="AT53">
        <v>-1E-3</v>
      </c>
      <c r="AU53">
        <v>1E-3</v>
      </c>
      <c r="AV53">
        <v>-1E-3</v>
      </c>
      <c r="AW53" s="16">
        <v>1.4999999999999999E-2</v>
      </c>
      <c r="AX53" s="16">
        <v>-1.4999999999999999E-2</v>
      </c>
      <c r="JR53">
        <v>12.849506578947368</v>
      </c>
    </row>
    <row r="54" spans="6:279" customFormat="1">
      <c r="F54" s="17" t="str">
        <f t="shared" si="0"/>
        <v/>
      </c>
      <c r="G54" s="9"/>
      <c r="H54" s="2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22" t="e">
        <f t="shared" si="1"/>
        <v>#N/A</v>
      </c>
      <c r="X54" s="21" t="e">
        <f t="shared" si="2"/>
        <v>#N/A</v>
      </c>
      <c r="Y54" s="21" t="e">
        <f t="shared" si="3"/>
        <v>#N/A</v>
      </c>
      <c r="Z54" s="11" t="e">
        <f t="shared" si="4"/>
        <v>#N/A</v>
      </c>
      <c r="AA54" s="22" t="e">
        <f t="shared" si="5"/>
        <v>#N/A</v>
      </c>
      <c r="AB54" s="21" t="e">
        <f t="shared" si="6"/>
        <v>#N/A</v>
      </c>
      <c r="AC54" s="21" t="e">
        <f t="shared" si="7"/>
        <v>#N/A</v>
      </c>
      <c r="AD54" s="11" t="e">
        <f t="shared" si="8"/>
        <v>#N/A</v>
      </c>
      <c r="AE54" s="22" t="e">
        <f t="shared" si="9"/>
        <v>#N/A</v>
      </c>
      <c r="AF54" s="21" t="e">
        <f t="shared" si="10"/>
        <v>#N/A</v>
      </c>
      <c r="AG54" s="21" t="e">
        <f t="shared" si="11"/>
        <v>#N/A</v>
      </c>
      <c r="AH54" s="11" t="e">
        <f t="shared" si="12"/>
        <v>#N/A</v>
      </c>
      <c r="AI54">
        <v>2.5000000000000001E-2</v>
      </c>
      <c r="AJ54">
        <v>-2.5000000000000001E-2</v>
      </c>
      <c r="AK54">
        <v>1.5E-3</v>
      </c>
      <c r="AL54">
        <v>-1.5E-3</v>
      </c>
      <c r="AM54">
        <v>1.5E-3</v>
      </c>
      <c r="AN54">
        <v>-1.5E-3</v>
      </c>
      <c r="AO54" s="16">
        <v>2.5000000000000001E-2</v>
      </c>
      <c r="AP54" s="16">
        <v>-2.5000000000000001E-2</v>
      </c>
      <c r="AQ54">
        <v>1.4999999999999999E-2</v>
      </c>
      <c r="AR54">
        <v>-1.4999999999999999E-2</v>
      </c>
      <c r="AS54">
        <v>1E-3</v>
      </c>
      <c r="AT54">
        <v>-1E-3</v>
      </c>
      <c r="AU54">
        <v>1E-3</v>
      </c>
      <c r="AV54">
        <v>-1E-3</v>
      </c>
      <c r="AW54" s="16">
        <v>1.4999999999999999E-2</v>
      </c>
      <c r="AX54" s="16">
        <v>-1.4999999999999999E-2</v>
      </c>
    </row>
    <row r="55" spans="6:279" customFormat="1">
      <c r="F55" s="17" t="str">
        <f t="shared" si="0"/>
        <v/>
      </c>
      <c r="G55" s="9"/>
      <c r="H55" s="2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22" t="e">
        <f t="shared" si="1"/>
        <v>#N/A</v>
      </c>
      <c r="X55" s="21" t="e">
        <f t="shared" si="2"/>
        <v>#N/A</v>
      </c>
      <c r="Y55" s="21" t="e">
        <f t="shared" si="3"/>
        <v>#N/A</v>
      </c>
      <c r="Z55" s="11" t="e">
        <f t="shared" si="4"/>
        <v>#N/A</v>
      </c>
      <c r="AA55" s="22" t="e">
        <f t="shared" si="5"/>
        <v>#N/A</v>
      </c>
      <c r="AB55" s="21" t="e">
        <f t="shared" si="6"/>
        <v>#N/A</v>
      </c>
      <c r="AC55" s="21" t="e">
        <f t="shared" si="7"/>
        <v>#N/A</v>
      </c>
      <c r="AD55" s="11" t="e">
        <f t="shared" si="8"/>
        <v>#N/A</v>
      </c>
      <c r="AE55" s="22" t="e">
        <f t="shared" si="9"/>
        <v>#N/A</v>
      </c>
      <c r="AF55" s="21" t="e">
        <f t="shared" si="10"/>
        <v>#N/A</v>
      </c>
      <c r="AG55" s="21" t="e">
        <f t="shared" si="11"/>
        <v>#N/A</v>
      </c>
      <c r="AH55" s="11" t="e">
        <f t="shared" si="12"/>
        <v>#N/A</v>
      </c>
      <c r="AI55">
        <v>2.5000000000000001E-2</v>
      </c>
      <c r="AJ55">
        <v>-2.5000000000000001E-2</v>
      </c>
      <c r="AK55">
        <v>1.5E-3</v>
      </c>
      <c r="AL55">
        <v>-1.5E-3</v>
      </c>
      <c r="AM55">
        <v>1.5E-3</v>
      </c>
      <c r="AN55">
        <v>-1.5E-3</v>
      </c>
      <c r="AO55" s="16">
        <v>2.5000000000000001E-2</v>
      </c>
      <c r="AP55" s="16">
        <v>-2.5000000000000001E-2</v>
      </c>
      <c r="AQ55">
        <v>1.4999999999999999E-2</v>
      </c>
      <c r="AR55">
        <v>-1.4999999999999999E-2</v>
      </c>
      <c r="AS55">
        <v>1E-3</v>
      </c>
      <c r="AT55">
        <v>-1E-3</v>
      </c>
      <c r="AU55">
        <v>1E-3</v>
      </c>
      <c r="AV55">
        <v>-1E-3</v>
      </c>
      <c r="AW55" s="16">
        <v>1.4999999999999999E-2</v>
      </c>
      <c r="AX55" s="16">
        <v>-1.4999999999999999E-2</v>
      </c>
      <c r="JR55">
        <v>12.849506578947368</v>
      </c>
      <c r="JS55">
        <v>12.849506578947368</v>
      </c>
    </row>
    <row r="56" spans="6:279" customFormat="1">
      <c r="F56" s="17" t="str">
        <f t="shared" si="0"/>
        <v/>
      </c>
      <c r="G56" s="9"/>
      <c r="H56" s="2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22" t="e">
        <f t="shared" si="1"/>
        <v>#N/A</v>
      </c>
      <c r="X56" s="21" t="e">
        <f t="shared" si="2"/>
        <v>#N/A</v>
      </c>
      <c r="Y56" s="21" t="e">
        <f t="shared" si="3"/>
        <v>#N/A</v>
      </c>
      <c r="Z56" s="11" t="e">
        <f t="shared" si="4"/>
        <v>#N/A</v>
      </c>
      <c r="AA56" s="22" t="e">
        <f t="shared" si="5"/>
        <v>#N/A</v>
      </c>
      <c r="AB56" s="21" t="e">
        <f t="shared" si="6"/>
        <v>#N/A</v>
      </c>
      <c r="AC56" s="21" t="e">
        <f t="shared" si="7"/>
        <v>#N/A</v>
      </c>
      <c r="AD56" s="11" t="e">
        <f t="shared" si="8"/>
        <v>#N/A</v>
      </c>
      <c r="AE56" s="22" t="e">
        <f t="shared" si="9"/>
        <v>#N/A</v>
      </c>
      <c r="AF56" s="21" t="e">
        <f t="shared" si="10"/>
        <v>#N/A</v>
      </c>
      <c r="AG56" s="21" t="e">
        <f t="shared" si="11"/>
        <v>#N/A</v>
      </c>
      <c r="AH56" s="11" t="e">
        <f t="shared" si="12"/>
        <v>#N/A</v>
      </c>
      <c r="AI56">
        <v>2.5000000000000001E-2</v>
      </c>
      <c r="AJ56">
        <v>-2.5000000000000001E-2</v>
      </c>
      <c r="AK56">
        <v>1.5E-3</v>
      </c>
      <c r="AL56">
        <v>-1.5E-3</v>
      </c>
      <c r="AM56">
        <v>1.5E-3</v>
      </c>
      <c r="AN56">
        <v>-1.5E-3</v>
      </c>
      <c r="AO56" s="16">
        <v>2.5000000000000001E-2</v>
      </c>
      <c r="AP56" s="16">
        <v>-2.5000000000000001E-2</v>
      </c>
      <c r="AQ56">
        <v>1.4999999999999999E-2</v>
      </c>
      <c r="AR56">
        <v>-1.4999999999999999E-2</v>
      </c>
      <c r="AS56">
        <v>1E-3</v>
      </c>
      <c r="AT56">
        <v>-1E-3</v>
      </c>
      <c r="AU56">
        <v>1E-3</v>
      </c>
      <c r="AV56">
        <v>-1E-3</v>
      </c>
      <c r="AW56" s="16">
        <v>1.4999999999999999E-2</v>
      </c>
      <c r="AX56" s="16">
        <v>-1.4999999999999999E-2</v>
      </c>
      <c r="JP56">
        <v>12.849506578947368</v>
      </c>
    </row>
    <row r="57" spans="6:279" customFormat="1">
      <c r="F57" s="17" t="str">
        <f t="shared" si="0"/>
        <v/>
      </c>
      <c r="G57" s="9"/>
      <c r="H57" s="2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22" t="e">
        <f t="shared" si="1"/>
        <v>#N/A</v>
      </c>
      <c r="X57" s="21" t="e">
        <f t="shared" si="2"/>
        <v>#N/A</v>
      </c>
      <c r="Y57" s="21" t="e">
        <f t="shared" si="3"/>
        <v>#N/A</v>
      </c>
      <c r="Z57" s="11" t="e">
        <f t="shared" si="4"/>
        <v>#N/A</v>
      </c>
      <c r="AA57" s="22" t="e">
        <f t="shared" si="5"/>
        <v>#N/A</v>
      </c>
      <c r="AB57" s="21" t="e">
        <f t="shared" si="6"/>
        <v>#N/A</v>
      </c>
      <c r="AC57" s="21" t="e">
        <f t="shared" si="7"/>
        <v>#N/A</v>
      </c>
      <c r="AD57" s="11" t="e">
        <f t="shared" si="8"/>
        <v>#N/A</v>
      </c>
      <c r="AE57" s="22" t="e">
        <f t="shared" si="9"/>
        <v>#N/A</v>
      </c>
      <c r="AF57" s="21" t="e">
        <f t="shared" si="10"/>
        <v>#N/A</v>
      </c>
      <c r="AG57" s="21" t="e">
        <f t="shared" si="11"/>
        <v>#N/A</v>
      </c>
      <c r="AH57" s="11" t="e">
        <f t="shared" si="12"/>
        <v>#N/A</v>
      </c>
      <c r="AI57">
        <v>2.5000000000000001E-2</v>
      </c>
      <c r="AJ57">
        <v>-2.5000000000000001E-2</v>
      </c>
      <c r="AK57">
        <v>1.5E-3</v>
      </c>
      <c r="AL57">
        <v>-1.5E-3</v>
      </c>
      <c r="AM57">
        <v>1.5E-3</v>
      </c>
      <c r="AN57">
        <v>-1.5E-3</v>
      </c>
      <c r="AO57" s="16">
        <v>2.5000000000000001E-2</v>
      </c>
      <c r="AP57" s="16">
        <v>-2.5000000000000001E-2</v>
      </c>
      <c r="AQ57">
        <v>1.4999999999999999E-2</v>
      </c>
      <c r="AR57">
        <v>-1.4999999999999999E-2</v>
      </c>
      <c r="AS57">
        <v>1E-3</v>
      </c>
      <c r="AT57">
        <v>-1E-3</v>
      </c>
      <c r="AU57">
        <v>1E-3</v>
      </c>
      <c r="AV57">
        <v>-1E-3</v>
      </c>
      <c r="AW57" s="16">
        <v>1.4999999999999999E-2</v>
      </c>
      <c r="AX57" s="16">
        <v>-1.4999999999999999E-2</v>
      </c>
      <c r="JP57">
        <v>38.548519736842103</v>
      </c>
      <c r="JR57">
        <v>12.849506578947368</v>
      </c>
      <c r="JS57">
        <v>12.849506578947368</v>
      </c>
    </row>
    <row r="58" spans="6:279" customFormat="1">
      <c r="F58" s="17" t="str">
        <f t="shared" si="0"/>
        <v/>
      </c>
      <c r="G58" s="9"/>
      <c r="H58" s="2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22" t="e">
        <f t="shared" si="1"/>
        <v>#N/A</v>
      </c>
      <c r="X58" s="21" t="e">
        <f t="shared" si="2"/>
        <v>#N/A</v>
      </c>
      <c r="Y58" s="21" t="e">
        <f t="shared" si="3"/>
        <v>#N/A</v>
      </c>
      <c r="Z58" s="11" t="e">
        <f t="shared" si="4"/>
        <v>#N/A</v>
      </c>
      <c r="AA58" s="22" t="e">
        <f t="shared" si="5"/>
        <v>#N/A</v>
      </c>
      <c r="AB58" s="21" t="e">
        <f t="shared" si="6"/>
        <v>#N/A</v>
      </c>
      <c r="AC58" s="21" t="e">
        <f t="shared" si="7"/>
        <v>#N/A</v>
      </c>
      <c r="AD58" s="11" t="e">
        <f t="shared" si="8"/>
        <v>#N/A</v>
      </c>
      <c r="AE58" s="22" t="e">
        <f t="shared" si="9"/>
        <v>#N/A</v>
      </c>
      <c r="AF58" s="21" t="e">
        <f t="shared" si="10"/>
        <v>#N/A</v>
      </c>
      <c r="AG58" s="21" t="e">
        <f t="shared" si="11"/>
        <v>#N/A</v>
      </c>
      <c r="AH58" s="11" t="e">
        <f t="shared" si="12"/>
        <v>#N/A</v>
      </c>
      <c r="AI58">
        <v>2.5000000000000001E-2</v>
      </c>
      <c r="AJ58">
        <v>-2.5000000000000001E-2</v>
      </c>
      <c r="AK58">
        <v>1.5E-3</v>
      </c>
      <c r="AL58">
        <v>-1.5E-3</v>
      </c>
      <c r="AM58">
        <v>1.5E-3</v>
      </c>
      <c r="AN58">
        <v>-1.5E-3</v>
      </c>
      <c r="AO58" s="16">
        <v>2.5000000000000001E-2</v>
      </c>
      <c r="AP58" s="16">
        <v>-2.5000000000000001E-2</v>
      </c>
      <c r="AQ58">
        <v>1.4999999999999999E-2</v>
      </c>
      <c r="AR58">
        <v>-1.4999999999999999E-2</v>
      </c>
      <c r="AS58">
        <v>1E-3</v>
      </c>
      <c r="AT58">
        <v>-1E-3</v>
      </c>
      <c r="AU58">
        <v>1E-3</v>
      </c>
      <c r="AV58">
        <v>-1E-3</v>
      </c>
      <c r="AW58" s="16">
        <v>1.4999999999999999E-2</v>
      </c>
      <c r="AX58" s="16">
        <v>-1.4999999999999999E-2</v>
      </c>
    </row>
    <row r="59" spans="6:279" customFormat="1">
      <c r="F59" s="17" t="str">
        <f t="shared" si="0"/>
        <v/>
      </c>
      <c r="G59" s="9"/>
      <c r="H59" s="2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22" t="e">
        <f t="shared" si="1"/>
        <v>#N/A</v>
      </c>
      <c r="X59" s="21" t="e">
        <f t="shared" si="2"/>
        <v>#N/A</v>
      </c>
      <c r="Y59" s="21" t="e">
        <f t="shared" si="3"/>
        <v>#N/A</v>
      </c>
      <c r="Z59" s="11" t="e">
        <f t="shared" si="4"/>
        <v>#N/A</v>
      </c>
      <c r="AA59" s="22" t="e">
        <f t="shared" si="5"/>
        <v>#N/A</v>
      </c>
      <c r="AB59" s="21" t="e">
        <f t="shared" si="6"/>
        <v>#N/A</v>
      </c>
      <c r="AC59" s="21" t="e">
        <f t="shared" si="7"/>
        <v>#N/A</v>
      </c>
      <c r="AD59" s="11" t="e">
        <f t="shared" si="8"/>
        <v>#N/A</v>
      </c>
      <c r="AE59" s="22" t="e">
        <f t="shared" si="9"/>
        <v>#N/A</v>
      </c>
      <c r="AF59" s="21" t="e">
        <f t="shared" si="10"/>
        <v>#N/A</v>
      </c>
      <c r="AG59" s="21" t="e">
        <f t="shared" si="11"/>
        <v>#N/A</v>
      </c>
      <c r="AH59" s="11" t="e">
        <f t="shared" si="12"/>
        <v>#N/A</v>
      </c>
      <c r="AI59">
        <v>2.5000000000000001E-2</v>
      </c>
      <c r="AJ59">
        <v>-2.5000000000000001E-2</v>
      </c>
      <c r="AK59">
        <v>1.5E-3</v>
      </c>
      <c r="AL59">
        <v>-1.5E-3</v>
      </c>
      <c r="AM59">
        <v>1.5E-3</v>
      </c>
      <c r="AN59">
        <v>-1.5E-3</v>
      </c>
      <c r="AO59" s="16">
        <v>2.5000000000000001E-2</v>
      </c>
      <c r="AP59" s="16">
        <v>-2.5000000000000001E-2</v>
      </c>
      <c r="AQ59">
        <v>1.4999999999999999E-2</v>
      </c>
      <c r="AR59">
        <v>-1.4999999999999999E-2</v>
      </c>
      <c r="AS59">
        <v>1E-3</v>
      </c>
      <c r="AT59">
        <v>-1E-3</v>
      </c>
      <c r="AU59">
        <v>1E-3</v>
      </c>
      <c r="AV59">
        <v>-1E-3</v>
      </c>
      <c r="AW59" s="16">
        <v>1.4999999999999999E-2</v>
      </c>
      <c r="AX59" s="16">
        <v>-1.4999999999999999E-2</v>
      </c>
      <c r="JQ59">
        <v>12.849506578947368</v>
      </c>
      <c r="JR59">
        <v>12.849506578947368</v>
      </c>
      <c r="JS59">
        <v>38.548519736842103</v>
      </c>
    </row>
    <row r="60" spans="6:279" customFormat="1">
      <c r="F60" s="17" t="str">
        <f t="shared" si="0"/>
        <v/>
      </c>
      <c r="G60" s="9"/>
      <c r="H60" s="2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22" t="e">
        <f t="shared" si="1"/>
        <v>#N/A</v>
      </c>
      <c r="X60" s="21" t="e">
        <f t="shared" si="2"/>
        <v>#N/A</v>
      </c>
      <c r="Y60" s="21" t="e">
        <f t="shared" si="3"/>
        <v>#N/A</v>
      </c>
      <c r="Z60" s="11" t="e">
        <f t="shared" si="4"/>
        <v>#N/A</v>
      </c>
      <c r="AA60" s="22" t="e">
        <f t="shared" si="5"/>
        <v>#N/A</v>
      </c>
      <c r="AB60" s="21" t="e">
        <f t="shared" si="6"/>
        <v>#N/A</v>
      </c>
      <c r="AC60" s="21" t="e">
        <f t="shared" si="7"/>
        <v>#N/A</v>
      </c>
      <c r="AD60" s="11" t="e">
        <f t="shared" si="8"/>
        <v>#N/A</v>
      </c>
      <c r="AE60" s="22" t="e">
        <f t="shared" si="9"/>
        <v>#N/A</v>
      </c>
      <c r="AF60" s="21" t="e">
        <f t="shared" si="10"/>
        <v>#N/A</v>
      </c>
      <c r="AG60" s="21" t="e">
        <f t="shared" si="11"/>
        <v>#N/A</v>
      </c>
      <c r="AH60" s="11" t="e">
        <f t="shared" si="12"/>
        <v>#N/A</v>
      </c>
      <c r="AI60">
        <v>2.5000000000000001E-2</v>
      </c>
      <c r="AJ60">
        <v>-2.5000000000000001E-2</v>
      </c>
      <c r="AK60">
        <v>1.5E-3</v>
      </c>
      <c r="AL60">
        <v>-1.5E-3</v>
      </c>
      <c r="AM60">
        <v>1.5E-3</v>
      </c>
      <c r="AN60">
        <v>-1.5E-3</v>
      </c>
      <c r="AO60" s="16">
        <v>2.5000000000000001E-2</v>
      </c>
      <c r="AP60" s="16">
        <v>-2.5000000000000001E-2</v>
      </c>
      <c r="AQ60">
        <v>1.4999999999999999E-2</v>
      </c>
      <c r="AR60">
        <v>-1.4999999999999999E-2</v>
      </c>
      <c r="AS60">
        <v>1E-3</v>
      </c>
      <c r="AT60">
        <v>-1E-3</v>
      </c>
      <c r="AU60">
        <v>1E-3</v>
      </c>
      <c r="AV60">
        <v>-1E-3</v>
      </c>
      <c r="AW60" s="16">
        <v>1.4999999999999999E-2</v>
      </c>
      <c r="AX60" s="16">
        <v>-1.4999999999999999E-2</v>
      </c>
    </row>
    <row r="61" spans="6:279" customFormat="1">
      <c r="F61" s="17" t="str">
        <f t="shared" si="0"/>
        <v/>
      </c>
      <c r="G61" s="9"/>
      <c r="H61" s="2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22" t="e">
        <f t="shared" si="1"/>
        <v>#N/A</v>
      </c>
      <c r="X61" s="21" t="e">
        <f t="shared" si="2"/>
        <v>#N/A</v>
      </c>
      <c r="Y61" s="21" t="e">
        <f t="shared" si="3"/>
        <v>#N/A</v>
      </c>
      <c r="Z61" s="11" t="e">
        <f t="shared" si="4"/>
        <v>#N/A</v>
      </c>
      <c r="AA61" s="22" t="e">
        <f t="shared" si="5"/>
        <v>#N/A</v>
      </c>
      <c r="AB61" s="21" t="e">
        <f t="shared" si="6"/>
        <v>#N/A</v>
      </c>
      <c r="AC61" s="21" t="e">
        <f t="shared" si="7"/>
        <v>#N/A</v>
      </c>
      <c r="AD61" s="11" t="e">
        <f t="shared" si="8"/>
        <v>#N/A</v>
      </c>
      <c r="AE61" s="22" t="e">
        <f t="shared" si="9"/>
        <v>#N/A</v>
      </c>
      <c r="AF61" s="21" t="e">
        <f t="shared" si="10"/>
        <v>#N/A</v>
      </c>
      <c r="AG61" s="21" t="e">
        <f t="shared" si="11"/>
        <v>#N/A</v>
      </c>
      <c r="AH61" s="11" t="e">
        <f t="shared" si="12"/>
        <v>#N/A</v>
      </c>
      <c r="AI61">
        <v>2.5000000000000001E-2</v>
      </c>
      <c r="AJ61">
        <v>-2.5000000000000001E-2</v>
      </c>
      <c r="AK61">
        <v>1.5E-3</v>
      </c>
      <c r="AL61">
        <v>-1.5E-3</v>
      </c>
      <c r="AM61">
        <v>1.5E-3</v>
      </c>
      <c r="AN61">
        <v>-1.5E-3</v>
      </c>
      <c r="AO61" s="16">
        <v>2.5000000000000001E-2</v>
      </c>
      <c r="AP61" s="16">
        <v>-2.5000000000000001E-2</v>
      </c>
      <c r="AQ61">
        <v>1.4999999999999999E-2</v>
      </c>
      <c r="AR61">
        <v>-1.4999999999999999E-2</v>
      </c>
      <c r="AS61">
        <v>1E-3</v>
      </c>
      <c r="AT61">
        <v>-1E-3</v>
      </c>
      <c r="AU61">
        <v>1E-3</v>
      </c>
      <c r="AV61">
        <v>-1E-3</v>
      </c>
      <c r="AW61" s="16">
        <v>1.4999999999999999E-2</v>
      </c>
      <c r="AX61" s="16">
        <v>-1.4999999999999999E-2</v>
      </c>
      <c r="JS61">
        <v>12.849506578947368</v>
      </c>
    </row>
    <row r="62" spans="6:279" customFormat="1">
      <c r="F62" s="17" t="str">
        <f t="shared" si="0"/>
        <v/>
      </c>
      <c r="G62" s="9"/>
      <c r="H62" s="2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22" t="e">
        <f t="shared" si="1"/>
        <v>#N/A</v>
      </c>
      <c r="X62" s="21" t="e">
        <f t="shared" si="2"/>
        <v>#N/A</v>
      </c>
      <c r="Y62" s="21" t="e">
        <f t="shared" si="3"/>
        <v>#N/A</v>
      </c>
      <c r="Z62" s="11" t="e">
        <f t="shared" si="4"/>
        <v>#N/A</v>
      </c>
      <c r="AA62" s="22" t="e">
        <f t="shared" si="5"/>
        <v>#N/A</v>
      </c>
      <c r="AB62" s="21" t="e">
        <f t="shared" si="6"/>
        <v>#N/A</v>
      </c>
      <c r="AC62" s="21" t="e">
        <f t="shared" si="7"/>
        <v>#N/A</v>
      </c>
      <c r="AD62" s="11" t="e">
        <f t="shared" si="8"/>
        <v>#N/A</v>
      </c>
      <c r="AE62" s="22" t="e">
        <f t="shared" si="9"/>
        <v>#N/A</v>
      </c>
      <c r="AF62" s="21" t="e">
        <f t="shared" si="10"/>
        <v>#N/A</v>
      </c>
      <c r="AG62" s="21" t="e">
        <f t="shared" si="11"/>
        <v>#N/A</v>
      </c>
      <c r="AH62" s="11" t="e">
        <f t="shared" si="12"/>
        <v>#N/A</v>
      </c>
      <c r="AI62">
        <v>2.5000000000000001E-2</v>
      </c>
      <c r="AJ62">
        <v>-2.5000000000000001E-2</v>
      </c>
      <c r="AK62">
        <v>1.5E-3</v>
      </c>
      <c r="AL62">
        <v>-1.5E-3</v>
      </c>
      <c r="AM62">
        <v>1.5E-3</v>
      </c>
      <c r="AN62">
        <v>-1.5E-3</v>
      </c>
      <c r="AO62" s="16">
        <v>2.5000000000000001E-2</v>
      </c>
      <c r="AP62" s="16">
        <v>-2.5000000000000001E-2</v>
      </c>
      <c r="AQ62">
        <v>1.4999999999999999E-2</v>
      </c>
      <c r="AR62">
        <v>-1.4999999999999999E-2</v>
      </c>
      <c r="AS62">
        <v>1E-3</v>
      </c>
      <c r="AT62">
        <v>-1E-3</v>
      </c>
      <c r="AU62">
        <v>1E-3</v>
      </c>
      <c r="AV62">
        <v>-1E-3</v>
      </c>
      <c r="AW62" s="16">
        <v>1.4999999999999999E-2</v>
      </c>
      <c r="AX62" s="16">
        <v>-1.4999999999999999E-2</v>
      </c>
      <c r="JS62">
        <v>12.849506578947368</v>
      </c>
    </row>
    <row r="63" spans="6:279" customFormat="1">
      <c r="F63" s="17" t="str">
        <f t="shared" si="0"/>
        <v/>
      </c>
      <c r="G63" s="9"/>
      <c r="H63" s="2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22" t="e">
        <f t="shared" si="1"/>
        <v>#N/A</v>
      </c>
      <c r="X63" s="21" t="e">
        <f t="shared" si="2"/>
        <v>#N/A</v>
      </c>
      <c r="Y63" s="21" t="e">
        <f t="shared" si="3"/>
        <v>#N/A</v>
      </c>
      <c r="Z63" s="11" t="e">
        <f t="shared" si="4"/>
        <v>#N/A</v>
      </c>
      <c r="AA63" s="22" t="e">
        <f t="shared" si="5"/>
        <v>#N/A</v>
      </c>
      <c r="AB63" s="21" t="e">
        <f t="shared" si="6"/>
        <v>#N/A</v>
      </c>
      <c r="AC63" s="21" t="e">
        <f t="shared" si="7"/>
        <v>#N/A</v>
      </c>
      <c r="AD63" s="11" t="e">
        <f t="shared" si="8"/>
        <v>#N/A</v>
      </c>
      <c r="AE63" s="22" t="e">
        <f t="shared" si="9"/>
        <v>#N/A</v>
      </c>
      <c r="AF63" s="21" t="e">
        <f t="shared" si="10"/>
        <v>#N/A</v>
      </c>
      <c r="AG63" s="21" t="e">
        <f t="shared" si="11"/>
        <v>#N/A</v>
      </c>
      <c r="AH63" s="11" t="e">
        <f t="shared" si="12"/>
        <v>#N/A</v>
      </c>
      <c r="AI63">
        <v>2.5000000000000001E-2</v>
      </c>
      <c r="AJ63">
        <v>-2.5000000000000001E-2</v>
      </c>
      <c r="AK63">
        <v>1.5E-3</v>
      </c>
      <c r="AL63">
        <v>-1.5E-3</v>
      </c>
      <c r="AM63">
        <v>1.5E-3</v>
      </c>
      <c r="AN63">
        <v>-1.5E-3</v>
      </c>
      <c r="AO63" s="16">
        <v>2.5000000000000001E-2</v>
      </c>
      <c r="AP63" s="16">
        <v>-2.5000000000000001E-2</v>
      </c>
      <c r="AQ63">
        <v>1.4999999999999999E-2</v>
      </c>
      <c r="AR63">
        <v>-1.4999999999999999E-2</v>
      </c>
      <c r="AS63">
        <v>1E-3</v>
      </c>
      <c r="AT63">
        <v>-1E-3</v>
      </c>
      <c r="AU63">
        <v>1E-3</v>
      </c>
      <c r="AV63">
        <v>-1E-3</v>
      </c>
      <c r="AW63" s="16">
        <v>1.4999999999999999E-2</v>
      </c>
      <c r="AX63" s="16">
        <v>-1.4999999999999999E-2</v>
      </c>
      <c r="JR63">
        <v>12.849506578947368</v>
      </c>
    </row>
    <row r="64" spans="6:279" customFormat="1">
      <c r="F64" s="17" t="str">
        <f t="shared" si="0"/>
        <v/>
      </c>
      <c r="G64" s="9"/>
      <c r="H64" s="2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22" t="e">
        <f t="shared" si="1"/>
        <v>#N/A</v>
      </c>
      <c r="X64" s="21" t="e">
        <f t="shared" si="2"/>
        <v>#N/A</v>
      </c>
      <c r="Y64" s="21" t="e">
        <f t="shared" si="3"/>
        <v>#N/A</v>
      </c>
      <c r="Z64" s="11" t="e">
        <f t="shared" si="4"/>
        <v>#N/A</v>
      </c>
      <c r="AA64" s="22" t="e">
        <f t="shared" si="5"/>
        <v>#N/A</v>
      </c>
      <c r="AB64" s="21" t="e">
        <f t="shared" si="6"/>
        <v>#N/A</v>
      </c>
      <c r="AC64" s="21" t="e">
        <f t="shared" si="7"/>
        <v>#N/A</v>
      </c>
      <c r="AD64" s="11" t="e">
        <f t="shared" si="8"/>
        <v>#N/A</v>
      </c>
      <c r="AE64" s="22" t="e">
        <f t="shared" si="9"/>
        <v>#N/A</v>
      </c>
      <c r="AF64" s="21" t="e">
        <f t="shared" si="10"/>
        <v>#N/A</v>
      </c>
      <c r="AG64" s="21" t="e">
        <f t="shared" si="11"/>
        <v>#N/A</v>
      </c>
      <c r="AH64" s="11" t="e">
        <f t="shared" si="12"/>
        <v>#N/A</v>
      </c>
      <c r="AI64">
        <v>2.5000000000000001E-2</v>
      </c>
      <c r="AJ64">
        <v>-2.5000000000000001E-2</v>
      </c>
      <c r="AK64">
        <v>1.5E-3</v>
      </c>
      <c r="AL64">
        <v>-1.5E-3</v>
      </c>
      <c r="AM64">
        <v>1.5E-3</v>
      </c>
      <c r="AN64">
        <v>-1.5E-3</v>
      </c>
      <c r="AO64" s="16">
        <v>2.5000000000000001E-2</v>
      </c>
      <c r="AP64" s="16">
        <v>-2.5000000000000001E-2</v>
      </c>
      <c r="AQ64">
        <v>1.4999999999999999E-2</v>
      </c>
      <c r="AR64">
        <v>-1.4999999999999999E-2</v>
      </c>
      <c r="AS64">
        <v>1E-3</v>
      </c>
      <c r="AT64">
        <v>-1E-3</v>
      </c>
      <c r="AU64">
        <v>1E-3</v>
      </c>
      <c r="AV64">
        <v>-1E-3</v>
      </c>
      <c r="AW64" s="16">
        <v>1.4999999999999999E-2</v>
      </c>
      <c r="AX64" s="16">
        <v>-1.4999999999999999E-2</v>
      </c>
    </row>
    <row r="65" spans="6:278" customFormat="1">
      <c r="F65" s="17" t="str">
        <f t="shared" si="0"/>
        <v/>
      </c>
      <c r="G65" s="9"/>
      <c r="H65" s="2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22" t="e">
        <f t="shared" si="1"/>
        <v>#N/A</v>
      </c>
      <c r="X65" s="21" t="e">
        <f t="shared" si="2"/>
        <v>#N/A</v>
      </c>
      <c r="Y65" s="21" t="e">
        <f t="shared" si="3"/>
        <v>#N/A</v>
      </c>
      <c r="Z65" s="11" t="e">
        <f t="shared" si="4"/>
        <v>#N/A</v>
      </c>
      <c r="AA65" s="22" t="e">
        <f t="shared" si="5"/>
        <v>#N/A</v>
      </c>
      <c r="AB65" s="21" t="e">
        <f t="shared" si="6"/>
        <v>#N/A</v>
      </c>
      <c r="AC65" s="21" t="e">
        <f t="shared" si="7"/>
        <v>#N/A</v>
      </c>
      <c r="AD65" s="11" t="e">
        <f t="shared" si="8"/>
        <v>#N/A</v>
      </c>
      <c r="AE65" s="22" t="e">
        <f t="shared" si="9"/>
        <v>#N/A</v>
      </c>
      <c r="AF65" s="21" t="e">
        <f t="shared" si="10"/>
        <v>#N/A</v>
      </c>
      <c r="AG65" s="21" t="e">
        <f t="shared" si="11"/>
        <v>#N/A</v>
      </c>
      <c r="AH65" s="11" t="e">
        <f t="shared" si="12"/>
        <v>#N/A</v>
      </c>
      <c r="AI65">
        <v>2.5000000000000001E-2</v>
      </c>
      <c r="AJ65">
        <v>-2.5000000000000001E-2</v>
      </c>
      <c r="AK65">
        <v>1.5E-3</v>
      </c>
      <c r="AL65">
        <v>-1.5E-3</v>
      </c>
      <c r="AM65">
        <v>1.5E-3</v>
      </c>
      <c r="AN65">
        <v>-1.5E-3</v>
      </c>
      <c r="AO65" s="16">
        <v>2.5000000000000001E-2</v>
      </c>
      <c r="AP65" s="16">
        <v>-2.5000000000000001E-2</v>
      </c>
      <c r="AQ65">
        <v>1.4999999999999999E-2</v>
      </c>
      <c r="AR65">
        <v>-1.4999999999999999E-2</v>
      </c>
      <c r="AS65">
        <v>1E-3</v>
      </c>
      <c r="AT65">
        <v>-1E-3</v>
      </c>
      <c r="AU65">
        <v>1E-3</v>
      </c>
      <c r="AV65">
        <v>-1E-3</v>
      </c>
      <c r="AW65" s="16">
        <v>1.4999999999999999E-2</v>
      </c>
      <c r="AX65" s="16">
        <v>-1.4999999999999999E-2</v>
      </c>
      <c r="JR65">
        <v>12.849506578947368</v>
      </c>
    </row>
    <row r="66" spans="6:278" customFormat="1">
      <c r="F66" s="17" t="str">
        <f t="shared" si="0"/>
        <v/>
      </c>
      <c r="G66" s="9"/>
      <c r="H66" s="2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22" t="e">
        <f t="shared" si="1"/>
        <v>#N/A</v>
      </c>
      <c r="X66" s="21" t="e">
        <f t="shared" si="2"/>
        <v>#N/A</v>
      </c>
      <c r="Y66" s="21" t="e">
        <f t="shared" si="3"/>
        <v>#N/A</v>
      </c>
      <c r="Z66" s="11" t="e">
        <f t="shared" si="4"/>
        <v>#N/A</v>
      </c>
      <c r="AA66" s="22" t="e">
        <f t="shared" si="5"/>
        <v>#N/A</v>
      </c>
      <c r="AB66" s="21" t="e">
        <f t="shared" si="6"/>
        <v>#N/A</v>
      </c>
      <c r="AC66" s="21" t="e">
        <f t="shared" si="7"/>
        <v>#N/A</v>
      </c>
      <c r="AD66" s="11" t="e">
        <f t="shared" si="8"/>
        <v>#N/A</v>
      </c>
      <c r="AE66" s="22" t="e">
        <f t="shared" si="9"/>
        <v>#N/A</v>
      </c>
      <c r="AF66" s="21" t="e">
        <f t="shared" si="10"/>
        <v>#N/A</v>
      </c>
      <c r="AG66" s="21" t="e">
        <f t="shared" si="11"/>
        <v>#N/A</v>
      </c>
      <c r="AH66" s="11" t="e">
        <f t="shared" si="12"/>
        <v>#N/A</v>
      </c>
      <c r="AI66">
        <v>2.5000000000000001E-2</v>
      </c>
      <c r="AJ66">
        <v>-2.5000000000000001E-2</v>
      </c>
      <c r="AK66">
        <v>1.5E-3</v>
      </c>
      <c r="AL66">
        <v>-1.5E-3</v>
      </c>
      <c r="AM66">
        <v>1.5E-3</v>
      </c>
      <c r="AN66">
        <v>-1.5E-3</v>
      </c>
      <c r="AO66" s="16">
        <v>2.5000000000000001E-2</v>
      </c>
      <c r="AP66" s="16">
        <v>-2.5000000000000001E-2</v>
      </c>
      <c r="AQ66">
        <v>1.4999999999999999E-2</v>
      </c>
      <c r="AR66">
        <v>-1.4999999999999999E-2</v>
      </c>
      <c r="AS66">
        <v>1E-3</v>
      </c>
      <c r="AT66">
        <v>-1E-3</v>
      </c>
      <c r="AU66">
        <v>1E-3</v>
      </c>
      <c r="AV66">
        <v>-1E-3</v>
      </c>
      <c r="AW66" s="16">
        <v>1.4999999999999999E-2</v>
      </c>
      <c r="AX66" s="16">
        <v>-1.4999999999999999E-2</v>
      </c>
      <c r="JR66">
        <v>24.187306501547987</v>
      </c>
    </row>
    <row r="67" spans="6:278" customFormat="1">
      <c r="F67" s="17" t="str">
        <f t="shared" si="0"/>
        <v/>
      </c>
      <c r="G67" s="9"/>
      <c r="H67" s="2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22" t="e">
        <f t="shared" si="1"/>
        <v>#N/A</v>
      </c>
      <c r="X67" s="21" t="e">
        <f t="shared" si="2"/>
        <v>#N/A</v>
      </c>
      <c r="Y67" s="21" t="e">
        <f t="shared" si="3"/>
        <v>#N/A</v>
      </c>
      <c r="Z67" s="11" t="e">
        <f t="shared" si="4"/>
        <v>#N/A</v>
      </c>
      <c r="AA67" s="22" t="e">
        <f t="shared" si="5"/>
        <v>#N/A</v>
      </c>
      <c r="AB67" s="21" t="e">
        <f t="shared" si="6"/>
        <v>#N/A</v>
      </c>
      <c r="AC67" s="21" t="e">
        <f t="shared" si="7"/>
        <v>#N/A</v>
      </c>
      <c r="AD67" s="11" t="e">
        <f t="shared" si="8"/>
        <v>#N/A</v>
      </c>
      <c r="AE67" s="22" t="e">
        <f t="shared" si="9"/>
        <v>#N/A</v>
      </c>
      <c r="AF67" s="21" t="e">
        <f t="shared" si="10"/>
        <v>#N/A</v>
      </c>
      <c r="AG67" s="21" t="e">
        <f t="shared" si="11"/>
        <v>#N/A</v>
      </c>
      <c r="AH67" s="11" t="e">
        <f t="shared" si="12"/>
        <v>#N/A</v>
      </c>
      <c r="AI67">
        <v>2.5000000000000001E-2</v>
      </c>
      <c r="AJ67">
        <v>-2.5000000000000001E-2</v>
      </c>
      <c r="AK67">
        <v>1.5E-3</v>
      </c>
      <c r="AL67">
        <v>-1.5E-3</v>
      </c>
      <c r="AM67">
        <v>1.5E-3</v>
      </c>
      <c r="AN67">
        <v>-1.5E-3</v>
      </c>
      <c r="AO67" s="16">
        <v>2.5000000000000001E-2</v>
      </c>
      <c r="AP67" s="16">
        <v>-2.5000000000000001E-2</v>
      </c>
      <c r="AQ67">
        <v>1.4999999999999999E-2</v>
      </c>
      <c r="AR67">
        <v>-1.4999999999999999E-2</v>
      </c>
      <c r="AS67">
        <v>1E-3</v>
      </c>
      <c r="AT67">
        <v>-1E-3</v>
      </c>
      <c r="AU67">
        <v>1E-3</v>
      </c>
      <c r="AV67">
        <v>-1E-3</v>
      </c>
      <c r="AW67" s="16">
        <v>1.4999999999999999E-2</v>
      </c>
      <c r="AX67" s="16">
        <v>-1.4999999999999999E-2</v>
      </c>
    </row>
    <row r="68" spans="6:278" customFormat="1">
      <c r="F68" s="17" t="str">
        <f t="shared" si="0"/>
        <v/>
      </c>
      <c r="G68" s="9"/>
      <c r="H68" s="2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22" t="e">
        <f t="shared" si="1"/>
        <v>#N/A</v>
      </c>
      <c r="X68" s="21" t="e">
        <f t="shared" si="2"/>
        <v>#N/A</v>
      </c>
      <c r="Y68" s="21" t="e">
        <f t="shared" si="3"/>
        <v>#N/A</v>
      </c>
      <c r="Z68" s="11" t="e">
        <f t="shared" si="4"/>
        <v>#N/A</v>
      </c>
      <c r="AA68" s="22" t="e">
        <f t="shared" si="5"/>
        <v>#N/A</v>
      </c>
      <c r="AB68" s="21" t="e">
        <f t="shared" si="6"/>
        <v>#N/A</v>
      </c>
      <c r="AC68" s="21" t="e">
        <f t="shared" si="7"/>
        <v>#N/A</v>
      </c>
      <c r="AD68" s="11" t="e">
        <f t="shared" si="8"/>
        <v>#N/A</v>
      </c>
      <c r="AE68" s="22" t="e">
        <f t="shared" si="9"/>
        <v>#N/A</v>
      </c>
      <c r="AF68" s="21" t="e">
        <f t="shared" si="10"/>
        <v>#N/A</v>
      </c>
      <c r="AG68" s="21" t="e">
        <f t="shared" si="11"/>
        <v>#N/A</v>
      </c>
      <c r="AH68" s="11" t="e">
        <f t="shared" si="12"/>
        <v>#N/A</v>
      </c>
      <c r="AI68">
        <v>2.5000000000000001E-2</v>
      </c>
      <c r="AJ68">
        <v>-2.5000000000000001E-2</v>
      </c>
      <c r="AK68">
        <v>1.5E-3</v>
      </c>
      <c r="AL68">
        <v>-1.5E-3</v>
      </c>
      <c r="AM68">
        <v>1.5E-3</v>
      </c>
      <c r="AN68">
        <v>-1.5E-3</v>
      </c>
      <c r="AO68" s="16">
        <v>2.5000000000000001E-2</v>
      </c>
      <c r="AP68" s="16">
        <v>-2.5000000000000001E-2</v>
      </c>
      <c r="AQ68">
        <v>1.4999999999999999E-2</v>
      </c>
      <c r="AR68">
        <v>-1.4999999999999999E-2</v>
      </c>
      <c r="AS68">
        <v>1E-3</v>
      </c>
      <c r="AT68">
        <v>-1E-3</v>
      </c>
      <c r="AU68">
        <v>1E-3</v>
      </c>
      <c r="AV68">
        <v>-1E-3</v>
      </c>
      <c r="AW68" s="16">
        <v>1.4999999999999999E-2</v>
      </c>
      <c r="AX68" s="16">
        <v>-1.4999999999999999E-2</v>
      </c>
    </row>
    <row r="69" spans="6:278" customFormat="1">
      <c r="F69" s="17" t="str">
        <f t="shared" si="0"/>
        <v/>
      </c>
      <c r="G69" s="9"/>
      <c r="H69" s="2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22" t="e">
        <f t="shared" si="1"/>
        <v>#N/A</v>
      </c>
      <c r="X69" s="21" t="e">
        <f t="shared" si="2"/>
        <v>#N/A</v>
      </c>
      <c r="Y69" s="21" t="e">
        <f t="shared" si="3"/>
        <v>#N/A</v>
      </c>
      <c r="Z69" s="11" t="e">
        <f t="shared" si="4"/>
        <v>#N/A</v>
      </c>
      <c r="AA69" s="22" t="e">
        <f t="shared" si="5"/>
        <v>#N/A</v>
      </c>
      <c r="AB69" s="21" t="e">
        <f t="shared" si="6"/>
        <v>#N/A</v>
      </c>
      <c r="AC69" s="21" t="e">
        <f t="shared" si="7"/>
        <v>#N/A</v>
      </c>
      <c r="AD69" s="11" t="e">
        <f t="shared" si="8"/>
        <v>#N/A</v>
      </c>
      <c r="AE69" s="22" t="e">
        <f t="shared" si="9"/>
        <v>#N/A</v>
      </c>
      <c r="AF69" s="21" t="e">
        <f t="shared" si="10"/>
        <v>#N/A</v>
      </c>
      <c r="AG69" s="21" t="e">
        <f t="shared" si="11"/>
        <v>#N/A</v>
      </c>
      <c r="AH69" s="11" t="e">
        <f t="shared" si="12"/>
        <v>#N/A</v>
      </c>
      <c r="AI69">
        <v>2.5000000000000001E-2</v>
      </c>
      <c r="AJ69">
        <v>-2.5000000000000001E-2</v>
      </c>
      <c r="AK69">
        <v>1.5E-3</v>
      </c>
      <c r="AL69">
        <v>-1.5E-3</v>
      </c>
      <c r="AM69">
        <v>1.5E-3</v>
      </c>
      <c r="AN69">
        <v>-1.5E-3</v>
      </c>
      <c r="AO69" s="16">
        <v>2.5000000000000001E-2</v>
      </c>
      <c r="AP69" s="16">
        <v>-2.5000000000000001E-2</v>
      </c>
      <c r="AQ69">
        <v>1.4999999999999999E-2</v>
      </c>
      <c r="AR69">
        <v>-1.4999999999999999E-2</v>
      </c>
      <c r="AS69">
        <v>1E-3</v>
      </c>
      <c r="AT69">
        <v>-1E-3</v>
      </c>
      <c r="AU69">
        <v>1E-3</v>
      </c>
      <c r="AV69">
        <v>-1E-3</v>
      </c>
      <c r="AW69" s="16">
        <v>1.4999999999999999E-2</v>
      </c>
      <c r="AX69" s="16">
        <v>-1.4999999999999999E-2</v>
      </c>
    </row>
    <row r="70" spans="6:278" customFormat="1">
      <c r="F70" s="17" t="str">
        <f t="shared" si="0"/>
        <v/>
      </c>
      <c r="G70" s="9"/>
      <c r="H70" s="2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22" t="e">
        <f t="shared" si="1"/>
        <v>#N/A</v>
      </c>
      <c r="X70" s="21" t="e">
        <f t="shared" si="2"/>
        <v>#N/A</v>
      </c>
      <c r="Y70" s="21" t="e">
        <f t="shared" si="3"/>
        <v>#N/A</v>
      </c>
      <c r="Z70" s="11" t="e">
        <f t="shared" si="4"/>
        <v>#N/A</v>
      </c>
      <c r="AA70" s="22" t="e">
        <f t="shared" si="5"/>
        <v>#N/A</v>
      </c>
      <c r="AB70" s="21" t="e">
        <f t="shared" si="6"/>
        <v>#N/A</v>
      </c>
      <c r="AC70" s="21" t="e">
        <f t="shared" si="7"/>
        <v>#N/A</v>
      </c>
      <c r="AD70" s="11" t="e">
        <f t="shared" si="8"/>
        <v>#N/A</v>
      </c>
      <c r="AE70" s="22" t="e">
        <f t="shared" si="9"/>
        <v>#N/A</v>
      </c>
      <c r="AF70" s="21" t="e">
        <f t="shared" si="10"/>
        <v>#N/A</v>
      </c>
      <c r="AG70" s="21" t="e">
        <f t="shared" si="11"/>
        <v>#N/A</v>
      </c>
      <c r="AH70" s="11" t="e">
        <f t="shared" si="12"/>
        <v>#N/A</v>
      </c>
      <c r="AI70">
        <v>2.5000000000000001E-2</v>
      </c>
      <c r="AJ70">
        <v>-2.5000000000000001E-2</v>
      </c>
      <c r="AK70">
        <v>1.5E-3</v>
      </c>
      <c r="AL70">
        <v>-1.5E-3</v>
      </c>
      <c r="AM70">
        <v>1.5E-3</v>
      </c>
      <c r="AN70">
        <v>-1.5E-3</v>
      </c>
      <c r="AO70" s="16">
        <v>2.5000000000000001E-2</v>
      </c>
      <c r="AP70" s="16">
        <v>-2.5000000000000001E-2</v>
      </c>
      <c r="AQ70">
        <v>1.4999999999999999E-2</v>
      </c>
      <c r="AR70">
        <v>-1.4999999999999999E-2</v>
      </c>
      <c r="AS70">
        <v>1E-3</v>
      </c>
      <c r="AT70">
        <v>-1E-3</v>
      </c>
      <c r="AU70">
        <v>1E-3</v>
      </c>
      <c r="AV70">
        <v>-1E-3</v>
      </c>
      <c r="AW70" s="16">
        <v>1.4999999999999999E-2</v>
      </c>
      <c r="AX70" s="16">
        <v>-1.4999999999999999E-2</v>
      </c>
    </row>
    <row r="71" spans="6:278" customFormat="1">
      <c r="F71" s="17" t="str">
        <f t="shared" ref="F71:F100" si="13">IF(G71="","",G71)</f>
        <v/>
      </c>
      <c r="G71" s="9"/>
      <c r="H71" s="2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22" t="e">
        <f t="shared" ref="W71:W100" si="14">IF(H71="",NA(),I71-VLOOKUP(H71,$A$6:$E$35,2,FALSE))</f>
        <v>#N/A</v>
      </c>
      <c r="X71" s="21" t="e">
        <f t="shared" ref="X71:X100" si="15">IF(H71="",NA(),J71-VLOOKUP(H71,$A$6:$E$35,3,FALSE))</f>
        <v>#N/A</v>
      </c>
      <c r="Y71" s="21" t="e">
        <f t="shared" ref="Y71:Y100" si="16">IF(H71="",NA(),K71-VLOOKUP(H71,$A$6:$E$35,4,FALSE))</f>
        <v>#N/A</v>
      </c>
      <c r="Z71" s="11" t="e">
        <f t="shared" ref="Z71:Z100" si="17">IF(H71="",NA(),L71/VLOOKUP(H71,$A$6:$E$35,5,FALSE)-1)</f>
        <v>#N/A</v>
      </c>
      <c r="AA71" s="22" t="e">
        <f t="shared" ref="AA71:AA100" si="18">IF(M71="",NA(),N71-VLOOKUP(M71,$A$6:$E$35,2,FALSE))</f>
        <v>#N/A</v>
      </c>
      <c r="AB71" s="21" t="e">
        <f t="shared" ref="AB71:AB100" si="19">IF(M71="",NA(),O71-VLOOKUP(M71,$A$6:$E$35,3,FALSE))</f>
        <v>#N/A</v>
      </c>
      <c r="AC71" s="21" t="e">
        <f t="shared" ref="AC71:AC100" si="20">IF(M71="",NA(),P71-VLOOKUP(M71,$A$6:$E$35,4,FALSE))</f>
        <v>#N/A</v>
      </c>
      <c r="AD71" s="11" t="e">
        <f t="shared" ref="AD71:AD100" si="21">IF(M71="",NA(),Q71/VLOOKUP(M71,$A$6:$E$35,5,FALSE)-1)</f>
        <v>#N/A</v>
      </c>
      <c r="AE71" s="22" t="e">
        <f t="shared" ref="AE71:AE100" si="22">IF(R71="",NA(),S71-VLOOKUP(R71,$A$6:$E$35,2,FALSE))</f>
        <v>#N/A</v>
      </c>
      <c r="AF71" s="21" t="e">
        <f t="shared" ref="AF71:AF100" si="23">IF(R71="",NA(),T71-VLOOKUP(R71,$A$6:$E$35,3,FALSE))</f>
        <v>#N/A</v>
      </c>
      <c r="AG71" s="21" t="e">
        <f t="shared" ref="AG71:AG100" si="24">IF(R71="",NA(),U71-VLOOKUP(R71,$A$6:$E$35,4,FALSE))</f>
        <v>#N/A</v>
      </c>
      <c r="AH71" s="11" t="e">
        <f t="shared" ref="AH71:AH100" si="25">IF(R71="",NA(),V71/VLOOKUP(R71,$A$6:$E$35,5,FALSE)-1)</f>
        <v>#N/A</v>
      </c>
      <c r="AI71">
        <v>2.5000000000000001E-2</v>
      </c>
      <c r="AJ71">
        <v>-2.5000000000000001E-2</v>
      </c>
      <c r="AK71">
        <v>1.5E-3</v>
      </c>
      <c r="AL71">
        <v>-1.5E-3</v>
      </c>
      <c r="AM71">
        <v>1.5E-3</v>
      </c>
      <c r="AN71">
        <v>-1.5E-3</v>
      </c>
      <c r="AO71" s="16">
        <v>2.5000000000000001E-2</v>
      </c>
      <c r="AP71" s="16">
        <v>-2.5000000000000001E-2</v>
      </c>
      <c r="AQ71">
        <v>1.4999999999999999E-2</v>
      </c>
      <c r="AR71">
        <v>-1.4999999999999999E-2</v>
      </c>
      <c r="AS71">
        <v>1E-3</v>
      </c>
      <c r="AT71">
        <v>-1E-3</v>
      </c>
      <c r="AU71">
        <v>1E-3</v>
      </c>
      <c r="AV71">
        <v>-1E-3</v>
      </c>
      <c r="AW71" s="16">
        <v>1.4999999999999999E-2</v>
      </c>
      <c r="AX71" s="16">
        <v>-1.4999999999999999E-2</v>
      </c>
    </row>
    <row r="72" spans="6:278" customFormat="1">
      <c r="F72" s="17" t="str">
        <f t="shared" si="13"/>
        <v/>
      </c>
      <c r="G72" s="9"/>
      <c r="H72" s="2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22" t="e">
        <f t="shared" si="14"/>
        <v>#N/A</v>
      </c>
      <c r="X72" s="21" t="e">
        <f t="shared" si="15"/>
        <v>#N/A</v>
      </c>
      <c r="Y72" s="21" t="e">
        <f t="shared" si="16"/>
        <v>#N/A</v>
      </c>
      <c r="Z72" s="11" t="e">
        <f t="shared" si="17"/>
        <v>#N/A</v>
      </c>
      <c r="AA72" s="22" t="e">
        <f t="shared" si="18"/>
        <v>#N/A</v>
      </c>
      <c r="AB72" s="21" t="e">
        <f t="shared" si="19"/>
        <v>#N/A</v>
      </c>
      <c r="AC72" s="21" t="e">
        <f t="shared" si="20"/>
        <v>#N/A</v>
      </c>
      <c r="AD72" s="11" t="e">
        <f t="shared" si="21"/>
        <v>#N/A</v>
      </c>
      <c r="AE72" s="22" t="e">
        <f t="shared" si="22"/>
        <v>#N/A</v>
      </c>
      <c r="AF72" s="21" t="e">
        <f t="shared" si="23"/>
        <v>#N/A</v>
      </c>
      <c r="AG72" s="21" t="e">
        <f t="shared" si="24"/>
        <v>#N/A</v>
      </c>
      <c r="AH72" s="11" t="e">
        <f t="shared" si="25"/>
        <v>#N/A</v>
      </c>
      <c r="AI72">
        <v>2.5000000000000001E-2</v>
      </c>
      <c r="AJ72">
        <v>-2.5000000000000001E-2</v>
      </c>
      <c r="AK72">
        <v>1.5E-3</v>
      </c>
      <c r="AL72">
        <v>-1.5E-3</v>
      </c>
      <c r="AM72">
        <v>1.5E-3</v>
      </c>
      <c r="AN72">
        <v>-1.5E-3</v>
      </c>
      <c r="AO72" s="16">
        <v>2.5000000000000001E-2</v>
      </c>
      <c r="AP72" s="16">
        <v>-2.5000000000000001E-2</v>
      </c>
      <c r="AQ72">
        <v>1.4999999999999999E-2</v>
      </c>
      <c r="AR72">
        <v>-1.4999999999999999E-2</v>
      </c>
      <c r="AS72">
        <v>1E-3</v>
      </c>
      <c r="AT72">
        <v>-1E-3</v>
      </c>
      <c r="AU72">
        <v>1E-3</v>
      </c>
      <c r="AV72">
        <v>-1E-3</v>
      </c>
      <c r="AW72" s="16">
        <v>1.4999999999999999E-2</v>
      </c>
      <c r="AX72" s="16">
        <v>-1.4999999999999999E-2</v>
      </c>
    </row>
    <row r="73" spans="6:278" customFormat="1">
      <c r="F73" s="17" t="str">
        <f t="shared" si="13"/>
        <v/>
      </c>
      <c r="G73" s="9"/>
      <c r="H73" s="2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22" t="e">
        <f t="shared" si="14"/>
        <v>#N/A</v>
      </c>
      <c r="X73" s="21" t="e">
        <f t="shared" si="15"/>
        <v>#N/A</v>
      </c>
      <c r="Y73" s="21" t="e">
        <f t="shared" si="16"/>
        <v>#N/A</v>
      </c>
      <c r="Z73" s="11" t="e">
        <f t="shared" si="17"/>
        <v>#N/A</v>
      </c>
      <c r="AA73" s="22" t="e">
        <f t="shared" si="18"/>
        <v>#N/A</v>
      </c>
      <c r="AB73" s="21" t="e">
        <f t="shared" si="19"/>
        <v>#N/A</v>
      </c>
      <c r="AC73" s="21" t="e">
        <f t="shared" si="20"/>
        <v>#N/A</v>
      </c>
      <c r="AD73" s="11" t="e">
        <f t="shared" si="21"/>
        <v>#N/A</v>
      </c>
      <c r="AE73" s="22" t="e">
        <f t="shared" si="22"/>
        <v>#N/A</v>
      </c>
      <c r="AF73" s="21" t="e">
        <f t="shared" si="23"/>
        <v>#N/A</v>
      </c>
      <c r="AG73" s="21" t="e">
        <f t="shared" si="24"/>
        <v>#N/A</v>
      </c>
      <c r="AH73" s="11" t="e">
        <f t="shared" si="25"/>
        <v>#N/A</v>
      </c>
      <c r="AI73">
        <v>2.5000000000000001E-2</v>
      </c>
      <c r="AJ73">
        <v>-2.5000000000000001E-2</v>
      </c>
      <c r="AK73">
        <v>1.5E-3</v>
      </c>
      <c r="AL73">
        <v>-1.5E-3</v>
      </c>
      <c r="AM73">
        <v>1.5E-3</v>
      </c>
      <c r="AN73">
        <v>-1.5E-3</v>
      </c>
      <c r="AO73" s="16">
        <v>2.5000000000000001E-2</v>
      </c>
      <c r="AP73" s="16">
        <v>-2.5000000000000001E-2</v>
      </c>
      <c r="AQ73">
        <v>1.4999999999999999E-2</v>
      </c>
      <c r="AR73">
        <v>-1.4999999999999999E-2</v>
      </c>
      <c r="AS73">
        <v>1E-3</v>
      </c>
      <c r="AT73">
        <v>-1E-3</v>
      </c>
      <c r="AU73">
        <v>1E-3</v>
      </c>
      <c r="AV73">
        <v>-1E-3</v>
      </c>
      <c r="AW73" s="16">
        <v>1.4999999999999999E-2</v>
      </c>
      <c r="AX73" s="16">
        <v>-1.4999999999999999E-2</v>
      </c>
    </row>
    <row r="74" spans="6:278" customFormat="1">
      <c r="F74" s="17" t="str">
        <f t="shared" si="13"/>
        <v/>
      </c>
      <c r="G74" s="9"/>
      <c r="H74" s="2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22" t="e">
        <f t="shared" si="14"/>
        <v>#N/A</v>
      </c>
      <c r="X74" s="21" t="e">
        <f t="shared" si="15"/>
        <v>#N/A</v>
      </c>
      <c r="Y74" s="21" t="e">
        <f t="shared" si="16"/>
        <v>#N/A</v>
      </c>
      <c r="Z74" s="11" t="e">
        <f t="shared" si="17"/>
        <v>#N/A</v>
      </c>
      <c r="AA74" s="22" t="e">
        <f t="shared" si="18"/>
        <v>#N/A</v>
      </c>
      <c r="AB74" s="21" t="e">
        <f t="shared" si="19"/>
        <v>#N/A</v>
      </c>
      <c r="AC74" s="21" t="e">
        <f t="shared" si="20"/>
        <v>#N/A</v>
      </c>
      <c r="AD74" s="11" t="e">
        <f t="shared" si="21"/>
        <v>#N/A</v>
      </c>
      <c r="AE74" s="22" t="e">
        <f t="shared" si="22"/>
        <v>#N/A</v>
      </c>
      <c r="AF74" s="21" t="e">
        <f t="shared" si="23"/>
        <v>#N/A</v>
      </c>
      <c r="AG74" s="21" t="e">
        <f t="shared" si="24"/>
        <v>#N/A</v>
      </c>
      <c r="AH74" s="11" t="e">
        <f t="shared" si="25"/>
        <v>#N/A</v>
      </c>
      <c r="AI74">
        <v>2.5000000000000001E-2</v>
      </c>
      <c r="AJ74">
        <v>-2.5000000000000001E-2</v>
      </c>
      <c r="AK74">
        <v>1.5E-3</v>
      </c>
      <c r="AL74">
        <v>-1.5E-3</v>
      </c>
      <c r="AM74">
        <v>1.5E-3</v>
      </c>
      <c r="AN74">
        <v>-1.5E-3</v>
      </c>
      <c r="AO74" s="16">
        <v>2.5000000000000001E-2</v>
      </c>
      <c r="AP74" s="16">
        <v>-2.5000000000000001E-2</v>
      </c>
      <c r="AQ74">
        <v>1.4999999999999999E-2</v>
      </c>
      <c r="AR74">
        <v>-1.4999999999999999E-2</v>
      </c>
      <c r="AS74">
        <v>1E-3</v>
      </c>
      <c r="AT74">
        <v>-1E-3</v>
      </c>
      <c r="AU74">
        <v>1E-3</v>
      </c>
      <c r="AV74">
        <v>-1E-3</v>
      </c>
      <c r="AW74" s="16">
        <v>1.4999999999999999E-2</v>
      </c>
      <c r="AX74" s="16">
        <v>-1.4999999999999999E-2</v>
      </c>
    </row>
    <row r="75" spans="6:278" customFormat="1">
      <c r="F75" s="17" t="str">
        <f t="shared" si="13"/>
        <v/>
      </c>
      <c r="G75" s="9"/>
      <c r="H75" s="2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22" t="e">
        <f t="shared" si="14"/>
        <v>#N/A</v>
      </c>
      <c r="X75" s="21" t="e">
        <f t="shared" si="15"/>
        <v>#N/A</v>
      </c>
      <c r="Y75" s="21" t="e">
        <f t="shared" si="16"/>
        <v>#N/A</v>
      </c>
      <c r="Z75" s="11" t="e">
        <f t="shared" si="17"/>
        <v>#N/A</v>
      </c>
      <c r="AA75" s="22" t="e">
        <f t="shared" si="18"/>
        <v>#N/A</v>
      </c>
      <c r="AB75" s="21" t="e">
        <f t="shared" si="19"/>
        <v>#N/A</v>
      </c>
      <c r="AC75" s="21" t="e">
        <f t="shared" si="20"/>
        <v>#N/A</v>
      </c>
      <c r="AD75" s="11" t="e">
        <f t="shared" si="21"/>
        <v>#N/A</v>
      </c>
      <c r="AE75" s="22" t="e">
        <f t="shared" si="22"/>
        <v>#N/A</v>
      </c>
      <c r="AF75" s="21" t="e">
        <f t="shared" si="23"/>
        <v>#N/A</v>
      </c>
      <c r="AG75" s="21" t="e">
        <f t="shared" si="24"/>
        <v>#N/A</v>
      </c>
      <c r="AH75" s="11" t="e">
        <f t="shared" si="25"/>
        <v>#N/A</v>
      </c>
      <c r="AI75">
        <v>2.5000000000000001E-2</v>
      </c>
      <c r="AJ75">
        <v>-2.5000000000000001E-2</v>
      </c>
      <c r="AK75">
        <v>1.5E-3</v>
      </c>
      <c r="AL75">
        <v>-1.5E-3</v>
      </c>
      <c r="AM75">
        <v>1.5E-3</v>
      </c>
      <c r="AN75">
        <v>-1.5E-3</v>
      </c>
      <c r="AO75" s="16">
        <v>2.5000000000000001E-2</v>
      </c>
      <c r="AP75" s="16">
        <v>-2.5000000000000001E-2</v>
      </c>
      <c r="AQ75">
        <v>1.4999999999999999E-2</v>
      </c>
      <c r="AR75">
        <v>-1.4999999999999999E-2</v>
      </c>
      <c r="AS75">
        <v>1E-3</v>
      </c>
      <c r="AT75">
        <v>-1E-3</v>
      </c>
      <c r="AU75">
        <v>1E-3</v>
      </c>
      <c r="AV75">
        <v>-1E-3</v>
      </c>
      <c r="AW75" s="16">
        <v>1.4999999999999999E-2</v>
      </c>
      <c r="AX75" s="16">
        <v>-1.4999999999999999E-2</v>
      </c>
    </row>
    <row r="76" spans="6:278" customFormat="1">
      <c r="F76" s="17" t="str">
        <f t="shared" si="13"/>
        <v/>
      </c>
      <c r="G76" s="9"/>
      <c r="H76" s="2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22" t="e">
        <f t="shared" si="14"/>
        <v>#N/A</v>
      </c>
      <c r="X76" s="21" t="e">
        <f t="shared" si="15"/>
        <v>#N/A</v>
      </c>
      <c r="Y76" s="21" t="e">
        <f t="shared" si="16"/>
        <v>#N/A</v>
      </c>
      <c r="Z76" s="11" t="e">
        <f t="shared" si="17"/>
        <v>#N/A</v>
      </c>
      <c r="AA76" s="22" t="e">
        <f t="shared" si="18"/>
        <v>#N/A</v>
      </c>
      <c r="AB76" s="21" t="e">
        <f t="shared" si="19"/>
        <v>#N/A</v>
      </c>
      <c r="AC76" s="21" t="e">
        <f t="shared" si="20"/>
        <v>#N/A</v>
      </c>
      <c r="AD76" s="11" t="e">
        <f t="shared" si="21"/>
        <v>#N/A</v>
      </c>
      <c r="AE76" s="22" t="e">
        <f t="shared" si="22"/>
        <v>#N/A</v>
      </c>
      <c r="AF76" s="21" t="e">
        <f t="shared" si="23"/>
        <v>#N/A</v>
      </c>
      <c r="AG76" s="21" t="e">
        <f t="shared" si="24"/>
        <v>#N/A</v>
      </c>
      <c r="AH76" s="11" t="e">
        <f t="shared" si="25"/>
        <v>#N/A</v>
      </c>
      <c r="AI76">
        <v>2.5000000000000001E-2</v>
      </c>
      <c r="AJ76">
        <v>-2.5000000000000001E-2</v>
      </c>
      <c r="AK76">
        <v>1.5E-3</v>
      </c>
      <c r="AL76">
        <v>-1.5E-3</v>
      </c>
      <c r="AM76">
        <v>1.5E-3</v>
      </c>
      <c r="AN76">
        <v>-1.5E-3</v>
      </c>
      <c r="AO76" s="16">
        <v>2.5000000000000001E-2</v>
      </c>
      <c r="AP76" s="16">
        <v>-2.5000000000000001E-2</v>
      </c>
      <c r="AQ76">
        <v>1.4999999999999999E-2</v>
      </c>
      <c r="AR76">
        <v>-1.4999999999999999E-2</v>
      </c>
      <c r="AS76">
        <v>1E-3</v>
      </c>
      <c r="AT76">
        <v>-1E-3</v>
      </c>
      <c r="AU76">
        <v>1E-3</v>
      </c>
      <c r="AV76">
        <v>-1E-3</v>
      </c>
      <c r="AW76" s="16">
        <v>1.4999999999999999E-2</v>
      </c>
      <c r="AX76" s="16">
        <v>-1.4999999999999999E-2</v>
      </c>
    </row>
    <row r="77" spans="6:278" customFormat="1">
      <c r="F77" s="17" t="str">
        <f t="shared" si="13"/>
        <v/>
      </c>
      <c r="G77" s="9"/>
      <c r="H77" s="2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22" t="e">
        <f t="shared" si="14"/>
        <v>#N/A</v>
      </c>
      <c r="X77" s="21" t="e">
        <f t="shared" si="15"/>
        <v>#N/A</v>
      </c>
      <c r="Y77" s="21" t="e">
        <f t="shared" si="16"/>
        <v>#N/A</v>
      </c>
      <c r="Z77" s="11" t="e">
        <f t="shared" si="17"/>
        <v>#N/A</v>
      </c>
      <c r="AA77" s="22" t="e">
        <f t="shared" si="18"/>
        <v>#N/A</v>
      </c>
      <c r="AB77" s="21" t="e">
        <f t="shared" si="19"/>
        <v>#N/A</v>
      </c>
      <c r="AC77" s="21" t="e">
        <f t="shared" si="20"/>
        <v>#N/A</v>
      </c>
      <c r="AD77" s="11" t="e">
        <f t="shared" si="21"/>
        <v>#N/A</v>
      </c>
      <c r="AE77" s="22" t="e">
        <f t="shared" si="22"/>
        <v>#N/A</v>
      </c>
      <c r="AF77" s="21" t="e">
        <f t="shared" si="23"/>
        <v>#N/A</v>
      </c>
      <c r="AG77" s="21" t="e">
        <f t="shared" si="24"/>
        <v>#N/A</v>
      </c>
      <c r="AH77" s="11" t="e">
        <f t="shared" si="25"/>
        <v>#N/A</v>
      </c>
      <c r="AI77">
        <v>2.5000000000000001E-2</v>
      </c>
      <c r="AJ77">
        <v>-2.5000000000000001E-2</v>
      </c>
      <c r="AK77">
        <v>1.5E-3</v>
      </c>
      <c r="AL77">
        <v>-1.5E-3</v>
      </c>
      <c r="AM77">
        <v>1.5E-3</v>
      </c>
      <c r="AN77">
        <v>-1.5E-3</v>
      </c>
      <c r="AO77" s="16">
        <v>2.5000000000000001E-2</v>
      </c>
      <c r="AP77" s="16">
        <v>-2.5000000000000001E-2</v>
      </c>
      <c r="AQ77">
        <v>1.4999999999999999E-2</v>
      </c>
      <c r="AR77">
        <v>-1.4999999999999999E-2</v>
      </c>
      <c r="AS77">
        <v>1E-3</v>
      </c>
      <c r="AT77">
        <v>-1E-3</v>
      </c>
      <c r="AU77">
        <v>1E-3</v>
      </c>
      <c r="AV77">
        <v>-1E-3</v>
      </c>
      <c r="AW77" s="16">
        <v>1.4999999999999999E-2</v>
      </c>
      <c r="AX77" s="16">
        <v>-1.4999999999999999E-2</v>
      </c>
    </row>
    <row r="78" spans="6:278" customFormat="1">
      <c r="F78" s="17" t="str">
        <f t="shared" si="13"/>
        <v/>
      </c>
      <c r="G78" s="9"/>
      <c r="H78" s="2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22" t="e">
        <f t="shared" si="14"/>
        <v>#N/A</v>
      </c>
      <c r="X78" s="21" t="e">
        <f t="shared" si="15"/>
        <v>#N/A</v>
      </c>
      <c r="Y78" s="21" t="e">
        <f t="shared" si="16"/>
        <v>#N/A</v>
      </c>
      <c r="Z78" s="11" t="e">
        <f t="shared" si="17"/>
        <v>#N/A</v>
      </c>
      <c r="AA78" s="22" t="e">
        <f t="shared" si="18"/>
        <v>#N/A</v>
      </c>
      <c r="AB78" s="21" t="e">
        <f t="shared" si="19"/>
        <v>#N/A</v>
      </c>
      <c r="AC78" s="21" t="e">
        <f t="shared" si="20"/>
        <v>#N/A</v>
      </c>
      <c r="AD78" s="11" t="e">
        <f t="shared" si="21"/>
        <v>#N/A</v>
      </c>
      <c r="AE78" s="22" t="e">
        <f t="shared" si="22"/>
        <v>#N/A</v>
      </c>
      <c r="AF78" s="21" t="e">
        <f t="shared" si="23"/>
        <v>#N/A</v>
      </c>
      <c r="AG78" s="21" t="e">
        <f t="shared" si="24"/>
        <v>#N/A</v>
      </c>
      <c r="AH78" s="11" t="e">
        <f t="shared" si="25"/>
        <v>#N/A</v>
      </c>
      <c r="AI78">
        <v>2.5000000000000001E-2</v>
      </c>
      <c r="AJ78">
        <v>-2.5000000000000001E-2</v>
      </c>
      <c r="AK78">
        <v>1.5E-3</v>
      </c>
      <c r="AL78">
        <v>-1.5E-3</v>
      </c>
      <c r="AM78">
        <v>1.5E-3</v>
      </c>
      <c r="AN78">
        <v>-1.5E-3</v>
      </c>
      <c r="AO78" s="16">
        <v>2.5000000000000001E-2</v>
      </c>
      <c r="AP78" s="16">
        <v>-2.5000000000000001E-2</v>
      </c>
      <c r="AQ78">
        <v>1.4999999999999999E-2</v>
      </c>
      <c r="AR78">
        <v>-1.4999999999999999E-2</v>
      </c>
      <c r="AS78">
        <v>1E-3</v>
      </c>
      <c r="AT78">
        <v>-1E-3</v>
      </c>
      <c r="AU78">
        <v>1E-3</v>
      </c>
      <c r="AV78">
        <v>-1E-3</v>
      </c>
      <c r="AW78" s="16">
        <v>1.4999999999999999E-2</v>
      </c>
      <c r="AX78" s="16">
        <v>-1.4999999999999999E-2</v>
      </c>
    </row>
    <row r="79" spans="6:278" customFormat="1">
      <c r="F79" s="17" t="str">
        <f t="shared" si="13"/>
        <v/>
      </c>
      <c r="G79" s="9"/>
      <c r="H79" s="2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22" t="e">
        <f t="shared" si="14"/>
        <v>#N/A</v>
      </c>
      <c r="X79" s="21" t="e">
        <f t="shared" si="15"/>
        <v>#N/A</v>
      </c>
      <c r="Y79" s="21" t="e">
        <f t="shared" si="16"/>
        <v>#N/A</v>
      </c>
      <c r="Z79" s="11" t="e">
        <f t="shared" si="17"/>
        <v>#N/A</v>
      </c>
      <c r="AA79" s="22" t="e">
        <f t="shared" si="18"/>
        <v>#N/A</v>
      </c>
      <c r="AB79" s="21" t="e">
        <f t="shared" si="19"/>
        <v>#N/A</v>
      </c>
      <c r="AC79" s="21" t="e">
        <f t="shared" si="20"/>
        <v>#N/A</v>
      </c>
      <c r="AD79" s="11" t="e">
        <f t="shared" si="21"/>
        <v>#N/A</v>
      </c>
      <c r="AE79" s="22" t="e">
        <f t="shared" si="22"/>
        <v>#N/A</v>
      </c>
      <c r="AF79" s="21" t="e">
        <f t="shared" si="23"/>
        <v>#N/A</v>
      </c>
      <c r="AG79" s="21" t="e">
        <f t="shared" si="24"/>
        <v>#N/A</v>
      </c>
      <c r="AH79" s="11" t="e">
        <f t="shared" si="25"/>
        <v>#N/A</v>
      </c>
      <c r="AI79">
        <v>2.5000000000000001E-2</v>
      </c>
      <c r="AJ79">
        <v>-2.5000000000000001E-2</v>
      </c>
      <c r="AK79">
        <v>1.5E-3</v>
      </c>
      <c r="AL79">
        <v>-1.5E-3</v>
      </c>
      <c r="AM79">
        <v>1.5E-3</v>
      </c>
      <c r="AN79">
        <v>-1.5E-3</v>
      </c>
      <c r="AO79" s="16">
        <v>2.5000000000000001E-2</v>
      </c>
      <c r="AP79" s="16">
        <v>-2.5000000000000001E-2</v>
      </c>
      <c r="AQ79">
        <v>1.4999999999999999E-2</v>
      </c>
      <c r="AR79">
        <v>-1.4999999999999999E-2</v>
      </c>
      <c r="AS79">
        <v>1E-3</v>
      </c>
      <c r="AT79">
        <v>-1E-3</v>
      </c>
      <c r="AU79">
        <v>1E-3</v>
      </c>
      <c r="AV79">
        <v>-1E-3</v>
      </c>
      <c r="AW79" s="16">
        <v>1.4999999999999999E-2</v>
      </c>
      <c r="AX79" s="16">
        <v>-1.4999999999999999E-2</v>
      </c>
    </row>
    <row r="80" spans="6:278" customFormat="1">
      <c r="F80" s="17" t="str">
        <f t="shared" si="13"/>
        <v/>
      </c>
      <c r="G80" s="9"/>
      <c r="H80" s="2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22" t="e">
        <f t="shared" si="14"/>
        <v>#N/A</v>
      </c>
      <c r="X80" s="21" t="e">
        <f t="shared" si="15"/>
        <v>#N/A</v>
      </c>
      <c r="Y80" s="21" t="e">
        <f t="shared" si="16"/>
        <v>#N/A</v>
      </c>
      <c r="Z80" s="11" t="e">
        <f t="shared" si="17"/>
        <v>#N/A</v>
      </c>
      <c r="AA80" s="22" t="e">
        <f t="shared" si="18"/>
        <v>#N/A</v>
      </c>
      <c r="AB80" s="21" t="e">
        <f t="shared" si="19"/>
        <v>#N/A</v>
      </c>
      <c r="AC80" s="21" t="e">
        <f t="shared" si="20"/>
        <v>#N/A</v>
      </c>
      <c r="AD80" s="11" t="e">
        <f t="shared" si="21"/>
        <v>#N/A</v>
      </c>
      <c r="AE80" s="22" t="e">
        <f t="shared" si="22"/>
        <v>#N/A</v>
      </c>
      <c r="AF80" s="21" t="e">
        <f t="shared" si="23"/>
        <v>#N/A</v>
      </c>
      <c r="AG80" s="21" t="e">
        <f t="shared" si="24"/>
        <v>#N/A</v>
      </c>
      <c r="AH80" s="11" t="e">
        <f t="shared" si="25"/>
        <v>#N/A</v>
      </c>
      <c r="AI80">
        <v>2.5000000000000001E-2</v>
      </c>
      <c r="AJ80">
        <v>-2.5000000000000001E-2</v>
      </c>
      <c r="AK80">
        <v>1.5E-3</v>
      </c>
      <c r="AL80">
        <v>-1.5E-3</v>
      </c>
      <c r="AM80">
        <v>1.5E-3</v>
      </c>
      <c r="AN80">
        <v>-1.5E-3</v>
      </c>
      <c r="AO80" s="16">
        <v>2.5000000000000001E-2</v>
      </c>
      <c r="AP80" s="16">
        <v>-2.5000000000000001E-2</v>
      </c>
      <c r="AQ80">
        <v>1.4999999999999999E-2</v>
      </c>
      <c r="AR80">
        <v>-1.4999999999999999E-2</v>
      </c>
      <c r="AS80">
        <v>1E-3</v>
      </c>
      <c r="AT80">
        <v>-1E-3</v>
      </c>
      <c r="AU80">
        <v>1E-3</v>
      </c>
      <c r="AV80">
        <v>-1E-3</v>
      </c>
      <c r="AW80" s="16">
        <v>1.4999999999999999E-2</v>
      </c>
      <c r="AX80" s="16">
        <v>-1.4999999999999999E-2</v>
      </c>
    </row>
    <row r="81" spans="6:50">
      <c r="F81" s="17" t="str">
        <f t="shared" si="13"/>
        <v/>
      </c>
      <c r="G81" s="9"/>
      <c r="H81" s="2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22" t="e">
        <f t="shared" si="14"/>
        <v>#N/A</v>
      </c>
      <c r="X81" s="21" t="e">
        <f t="shared" si="15"/>
        <v>#N/A</v>
      </c>
      <c r="Y81" s="21" t="e">
        <f t="shared" si="16"/>
        <v>#N/A</v>
      </c>
      <c r="Z81" s="11" t="e">
        <f t="shared" si="17"/>
        <v>#N/A</v>
      </c>
      <c r="AA81" s="22" t="e">
        <f t="shared" si="18"/>
        <v>#N/A</v>
      </c>
      <c r="AB81" s="21" t="e">
        <f t="shared" si="19"/>
        <v>#N/A</v>
      </c>
      <c r="AC81" s="21" t="e">
        <f t="shared" si="20"/>
        <v>#N/A</v>
      </c>
      <c r="AD81" s="11" t="e">
        <f t="shared" si="21"/>
        <v>#N/A</v>
      </c>
      <c r="AE81" s="22" t="e">
        <f t="shared" si="22"/>
        <v>#N/A</v>
      </c>
      <c r="AF81" s="21" t="e">
        <f t="shared" si="23"/>
        <v>#N/A</v>
      </c>
      <c r="AG81" s="21" t="e">
        <f t="shared" si="24"/>
        <v>#N/A</v>
      </c>
      <c r="AH81" s="11" t="e">
        <f t="shared" si="25"/>
        <v>#N/A</v>
      </c>
      <c r="AI81">
        <v>2.5000000000000001E-2</v>
      </c>
      <c r="AJ81">
        <v>-2.5000000000000001E-2</v>
      </c>
      <c r="AK81">
        <v>1.5E-3</v>
      </c>
      <c r="AL81">
        <v>-1.5E-3</v>
      </c>
      <c r="AM81">
        <v>1.5E-3</v>
      </c>
      <c r="AN81">
        <v>-1.5E-3</v>
      </c>
      <c r="AO81" s="16">
        <v>2.5000000000000001E-2</v>
      </c>
      <c r="AP81" s="16">
        <v>-2.5000000000000001E-2</v>
      </c>
      <c r="AQ81">
        <v>1.4999999999999999E-2</v>
      </c>
      <c r="AR81">
        <v>-1.4999999999999999E-2</v>
      </c>
      <c r="AS81">
        <v>1E-3</v>
      </c>
      <c r="AT81">
        <v>-1E-3</v>
      </c>
      <c r="AU81">
        <v>1E-3</v>
      </c>
      <c r="AV81">
        <v>-1E-3</v>
      </c>
      <c r="AW81" s="16">
        <v>1.4999999999999999E-2</v>
      </c>
      <c r="AX81" s="16">
        <v>-1.4999999999999999E-2</v>
      </c>
    </row>
    <row r="82" spans="6:50">
      <c r="F82" s="17" t="str">
        <f t="shared" si="13"/>
        <v/>
      </c>
      <c r="G82" s="9"/>
      <c r="H82" s="2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22" t="e">
        <f t="shared" si="14"/>
        <v>#N/A</v>
      </c>
      <c r="X82" s="21" t="e">
        <f t="shared" si="15"/>
        <v>#N/A</v>
      </c>
      <c r="Y82" s="21" t="e">
        <f t="shared" si="16"/>
        <v>#N/A</v>
      </c>
      <c r="Z82" s="11" t="e">
        <f t="shared" si="17"/>
        <v>#N/A</v>
      </c>
      <c r="AA82" s="22" t="e">
        <f t="shared" si="18"/>
        <v>#N/A</v>
      </c>
      <c r="AB82" s="21" t="e">
        <f t="shared" si="19"/>
        <v>#N/A</v>
      </c>
      <c r="AC82" s="21" t="e">
        <f t="shared" si="20"/>
        <v>#N/A</v>
      </c>
      <c r="AD82" s="11" t="e">
        <f t="shared" si="21"/>
        <v>#N/A</v>
      </c>
      <c r="AE82" s="22" t="e">
        <f t="shared" si="22"/>
        <v>#N/A</v>
      </c>
      <c r="AF82" s="21" t="e">
        <f t="shared" si="23"/>
        <v>#N/A</v>
      </c>
      <c r="AG82" s="21" t="e">
        <f t="shared" si="24"/>
        <v>#N/A</v>
      </c>
      <c r="AH82" s="11" t="e">
        <f t="shared" si="25"/>
        <v>#N/A</v>
      </c>
      <c r="AI82">
        <v>2.5000000000000001E-2</v>
      </c>
      <c r="AJ82">
        <v>-2.5000000000000001E-2</v>
      </c>
      <c r="AK82">
        <v>1.5E-3</v>
      </c>
      <c r="AL82">
        <v>-1.5E-3</v>
      </c>
      <c r="AM82">
        <v>1.5E-3</v>
      </c>
      <c r="AN82">
        <v>-1.5E-3</v>
      </c>
      <c r="AO82" s="16">
        <v>2.5000000000000001E-2</v>
      </c>
      <c r="AP82" s="16">
        <v>-2.5000000000000001E-2</v>
      </c>
      <c r="AQ82">
        <v>1.4999999999999999E-2</v>
      </c>
      <c r="AR82">
        <v>-1.4999999999999999E-2</v>
      </c>
      <c r="AS82">
        <v>1E-3</v>
      </c>
      <c r="AT82">
        <v>-1E-3</v>
      </c>
      <c r="AU82">
        <v>1E-3</v>
      </c>
      <c r="AV82">
        <v>-1E-3</v>
      </c>
      <c r="AW82" s="16">
        <v>1.4999999999999999E-2</v>
      </c>
      <c r="AX82" s="16">
        <v>-1.4999999999999999E-2</v>
      </c>
    </row>
    <row r="83" spans="6:50">
      <c r="F83" s="17" t="str">
        <f t="shared" si="13"/>
        <v/>
      </c>
      <c r="G83" s="9"/>
      <c r="H83" s="2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22" t="e">
        <f t="shared" si="14"/>
        <v>#N/A</v>
      </c>
      <c r="X83" s="21" t="e">
        <f t="shared" si="15"/>
        <v>#N/A</v>
      </c>
      <c r="Y83" s="21" t="e">
        <f t="shared" si="16"/>
        <v>#N/A</v>
      </c>
      <c r="Z83" s="11" t="e">
        <f t="shared" si="17"/>
        <v>#N/A</v>
      </c>
      <c r="AA83" s="22" t="e">
        <f t="shared" si="18"/>
        <v>#N/A</v>
      </c>
      <c r="AB83" s="21" t="e">
        <f t="shared" si="19"/>
        <v>#N/A</v>
      </c>
      <c r="AC83" s="21" t="e">
        <f t="shared" si="20"/>
        <v>#N/A</v>
      </c>
      <c r="AD83" s="11" t="e">
        <f t="shared" si="21"/>
        <v>#N/A</v>
      </c>
      <c r="AE83" s="22" t="e">
        <f t="shared" si="22"/>
        <v>#N/A</v>
      </c>
      <c r="AF83" s="21" t="e">
        <f t="shared" si="23"/>
        <v>#N/A</v>
      </c>
      <c r="AG83" s="21" t="e">
        <f t="shared" si="24"/>
        <v>#N/A</v>
      </c>
      <c r="AH83" s="11" t="e">
        <f t="shared" si="25"/>
        <v>#N/A</v>
      </c>
      <c r="AI83">
        <v>2.5000000000000001E-2</v>
      </c>
      <c r="AJ83">
        <v>-2.5000000000000001E-2</v>
      </c>
      <c r="AK83">
        <v>1.5E-3</v>
      </c>
      <c r="AL83">
        <v>-1.5E-3</v>
      </c>
      <c r="AM83">
        <v>1.5E-3</v>
      </c>
      <c r="AN83">
        <v>-1.5E-3</v>
      </c>
      <c r="AO83" s="16">
        <v>2.5000000000000001E-2</v>
      </c>
      <c r="AP83" s="16">
        <v>-2.5000000000000001E-2</v>
      </c>
      <c r="AQ83">
        <v>1.4999999999999999E-2</v>
      </c>
      <c r="AR83">
        <v>-1.4999999999999999E-2</v>
      </c>
      <c r="AS83">
        <v>1E-3</v>
      </c>
      <c r="AT83">
        <v>-1E-3</v>
      </c>
      <c r="AU83">
        <v>1E-3</v>
      </c>
      <c r="AV83">
        <v>-1E-3</v>
      </c>
      <c r="AW83" s="16">
        <v>1.4999999999999999E-2</v>
      </c>
      <c r="AX83" s="16">
        <v>-1.4999999999999999E-2</v>
      </c>
    </row>
    <row r="84" spans="6:50">
      <c r="F84" s="17" t="str">
        <f t="shared" si="13"/>
        <v/>
      </c>
      <c r="G84" s="9"/>
      <c r="H84" s="2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22" t="e">
        <f t="shared" si="14"/>
        <v>#N/A</v>
      </c>
      <c r="X84" s="21" t="e">
        <f t="shared" si="15"/>
        <v>#N/A</v>
      </c>
      <c r="Y84" s="21" t="e">
        <f t="shared" si="16"/>
        <v>#N/A</v>
      </c>
      <c r="Z84" s="11" t="e">
        <f t="shared" si="17"/>
        <v>#N/A</v>
      </c>
      <c r="AA84" s="22" t="e">
        <f t="shared" si="18"/>
        <v>#N/A</v>
      </c>
      <c r="AB84" s="21" t="e">
        <f t="shared" si="19"/>
        <v>#N/A</v>
      </c>
      <c r="AC84" s="21" t="e">
        <f t="shared" si="20"/>
        <v>#N/A</v>
      </c>
      <c r="AD84" s="11" t="e">
        <f t="shared" si="21"/>
        <v>#N/A</v>
      </c>
      <c r="AE84" s="22" t="e">
        <f t="shared" si="22"/>
        <v>#N/A</v>
      </c>
      <c r="AF84" s="21" t="e">
        <f t="shared" si="23"/>
        <v>#N/A</v>
      </c>
      <c r="AG84" s="21" t="e">
        <f t="shared" si="24"/>
        <v>#N/A</v>
      </c>
      <c r="AH84" s="11" t="e">
        <f t="shared" si="25"/>
        <v>#N/A</v>
      </c>
      <c r="AI84">
        <v>2.5000000000000001E-2</v>
      </c>
      <c r="AJ84">
        <v>-2.5000000000000001E-2</v>
      </c>
      <c r="AK84">
        <v>1.5E-3</v>
      </c>
      <c r="AL84">
        <v>-1.5E-3</v>
      </c>
      <c r="AM84">
        <v>1.5E-3</v>
      </c>
      <c r="AN84">
        <v>-1.5E-3</v>
      </c>
      <c r="AO84" s="16">
        <v>2.5000000000000001E-2</v>
      </c>
      <c r="AP84" s="16">
        <v>-2.5000000000000001E-2</v>
      </c>
      <c r="AQ84">
        <v>1.4999999999999999E-2</v>
      </c>
      <c r="AR84">
        <v>-1.4999999999999999E-2</v>
      </c>
      <c r="AS84">
        <v>1E-3</v>
      </c>
      <c r="AT84">
        <v>-1E-3</v>
      </c>
      <c r="AU84">
        <v>1E-3</v>
      </c>
      <c r="AV84">
        <v>-1E-3</v>
      </c>
      <c r="AW84" s="16">
        <v>1.4999999999999999E-2</v>
      </c>
      <c r="AX84" s="16">
        <v>-1.4999999999999999E-2</v>
      </c>
    </row>
    <row r="85" spans="6:50">
      <c r="F85" s="17" t="str">
        <f t="shared" si="13"/>
        <v/>
      </c>
      <c r="G85" s="9"/>
      <c r="H85" s="2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22" t="e">
        <f t="shared" si="14"/>
        <v>#N/A</v>
      </c>
      <c r="X85" s="21" t="e">
        <f t="shared" si="15"/>
        <v>#N/A</v>
      </c>
      <c r="Y85" s="21" t="e">
        <f t="shared" si="16"/>
        <v>#N/A</v>
      </c>
      <c r="Z85" s="11" t="e">
        <f t="shared" si="17"/>
        <v>#N/A</v>
      </c>
      <c r="AA85" s="22" t="e">
        <f t="shared" si="18"/>
        <v>#N/A</v>
      </c>
      <c r="AB85" s="21" t="e">
        <f t="shared" si="19"/>
        <v>#N/A</v>
      </c>
      <c r="AC85" s="21" t="e">
        <f t="shared" si="20"/>
        <v>#N/A</v>
      </c>
      <c r="AD85" s="11" t="e">
        <f t="shared" si="21"/>
        <v>#N/A</v>
      </c>
      <c r="AE85" s="22" t="e">
        <f t="shared" si="22"/>
        <v>#N/A</v>
      </c>
      <c r="AF85" s="21" t="e">
        <f t="shared" si="23"/>
        <v>#N/A</v>
      </c>
      <c r="AG85" s="21" t="e">
        <f t="shared" si="24"/>
        <v>#N/A</v>
      </c>
      <c r="AH85" s="11" t="e">
        <f t="shared" si="25"/>
        <v>#N/A</v>
      </c>
      <c r="AI85">
        <v>2.5000000000000001E-2</v>
      </c>
      <c r="AJ85">
        <v>-2.5000000000000001E-2</v>
      </c>
      <c r="AK85">
        <v>1.5E-3</v>
      </c>
      <c r="AL85">
        <v>-1.5E-3</v>
      </c>
      <c r="AM85">
        <v>1.5E-3</v>
      </c>
      <c r="AN85">
        <v>-1.5E-3</v>
      </c>
      <c r="AO85" s="16">
        <v>2.5000000000000001E-2</v>
      </c>
      <c r="AP85" s="16">
        <v>-2.5000000000000001E-2</v>
      </c>
      <c r="AQ85">
        <v>1.4999999999999999E-2</v>
      </c>
      <c r="AR85">
        <v>-1.4999999999999999E-2</v>
      </c>
      <c r="AS85">
        <v>1E-3</v>
      </c>
      <c r="AT85">
        <v>-1E-3</v>
      </c>
      <c r="AU85">
        <v>1E-3</v>
      </c>
      <c r="AV85">
        <v>-1E-3</v>
      </c>
      <c r="AW85" s="16">
        <v>1.4999999999999999E-2</v>
      </c>
      <c r="AX85" s="16">
        <v>-1.4999999999999999E-2</v>
      </c>
    </row>
    <row r="86" spans="6:50">
      <c r="F86" s="17" t="str">
        <f t="shared" si="13"/>
        <v/>
      </c>
      <c r="G86" s="9"/>
      <c r="H86" s="2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22" t="e">
        <f t="shared" si="14"/>
        <v>#N/A</v>
      </c>
      <c r="X86" s="21" t="e">
        <f t="shared" si="15"/>
        <v>#N/A</v>
      </c>
      <c r="Y86" s="21" t="e">
        <f t="shared" si="16"/>
        <v>#N/A</v>
      </c>
      <c r="Z86" s="11" t="e">
        <f t="shared" si="17"/>
        <v>#N/A</v>
      </c>
      <c r="AA86" s="22" t="e">
        <f t="shared" si="18"/>
        <v>#N/A</v>
      </c>
      <c r="AB86" s="21" t="e">
        <f t="shared" si="19"/>
        <v>#N/A</v>
      </c>
      <c r="AC86" s="21" t="e">
        <f t="shared" si="20"/>
        <v>#N/A</v>
      </c>
      <c r="AD86" s="11" t="e">
        <f t="shared" si="21"/>
        <v>#N/A</v>
      </c>
      <c r="AE86" s="22" t="e">
        <f t="shared" si="22"/>
        <v>#N/A</v>
      </c>
      <c r="AF86" s="21" t="e">
        <f t="shared" si="23"/>
        <v>#N/A</v>
      </c>
      <c r="AG86" s="21" t="e">
        <f t="shared" si="24"/>
        <v>#N/A</v>
      </c>
      <c r="AH86" s="11" t="e">
        <f t="shared" si="25"/>
        <v>#N/A</v>
      </c>
      <c r="AI86">
        <v>2.5000000000000001E-2</v>
      </c>
      <c r="AJ86">
        <v>-2.5000000000000001E-2</v>
      </c>
      <c r="AK86">
        <v>1.5E-3</v>
      </c>
      <c r="AL86">
        <v>-1.5E-3</v>
      </c>
      <c r="AM86">
        <v>1.5E-3</v>
      </c>
      <c r="AN86">
        <v>-1.5E-3</v>
      </c>
      <c r="AO86" s="16">
        <v>2.5000000000000001E-2</v>
      </c>
      <c r="AP86" s="16">
        <v>-2.5000000000000001E-2</v>
      </c>
      <c r="AQ86">
        <v>1.4999999999999999E-2</v>
      </c>
      <c r="AR86">
        <v>-1.4999999999999999E-2</v>
      </c>
      <c r="AS86">
        <v>1E-3</v>
      </c>
      <c r="AT86">
        <v>-1E-3</v>
      </c>
      <c r="AU86">
        <v>1E-3</v>
      </c>
      <c r="AV86">
        <v>-1E-3</v>
      </c>
      <c r="AW86" s="16">
        <v>1.4999999999999999E-2</v>
      </c>
      <c r="AX86" s="16">
        <v>-1.4999999999999999E-2</v>
      </c>
    </row>
    <row r="87" spans="6:50">
      <c r="F87" s="17" t="str">
        <f t="shared" si="13"/>
        <v/>
      </c>
      <c r="G87" s="9"/>
      <c r="H87" s="2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22" t="e">
        <f t="shared" si="14"/>
        <v>#N/A</v>
      </c>
      <c r="X87" s="21" t="e">
        <f t="shared" si="15"/>
        <v>#N/A</v>
      </c>
      <c r="Y87" s="21" t="e">
        <f t="shared" si="16"/>
        <v>#N/A</v>
      </c>
      <c r="Z87" s="11" t="e">
        <f t="shared" si="17"/>
        <v>#N/A</v>
      </c>
      <c r="AA87" s="22" t="e">
        <f t="shared" si="18"/>
        <v>#N/A</v>
      </c>
      <c r="AB87" s="21" t="e">
        <f t="shared" si="19"/>
        <v>#N/A</v>
      </c>
      <c r="AC87" s="21" t="e">
        <f t="shared" si="20"/>
        <v>#N/A</v>
      </c>
      <c r="AD87" s="11" t="e">
        <f t="shared" si="21"/>
        <v>#N/A</v>
      </c>
      <c r="AE87" s="22" t="e">
        <f t="shared" si="22"/>
        <v>#N/A</v>
      </c>
      <c r="AF87" s="21" t="e">
        <f t="shared" si="23"/>
        <v>#N/A</v>
      </c>
      <c r="AG87" s="21" t="e">
        <f t="shared" si="24"/>
        <v>#N/A</v>
      </c>
      <c r="AH87" s="11" t="e">
        <f t="shared" si="25"/>
        <v>#N/A</v>
      </c>
      <c r="AI87">
        <v>2.5000000000000001E-2</v>
      </c>
      <c r="AJ87">
        <v>-2.5000000000000001E-2</v>
      </c>
      <c r="AK87">
        <v>1.5E-3</v>
      </c>
      <c r="AL87">
        <v>-1.5E-3</v>
      </c>
      <c r="AM87">
        <v>1.5E-3</v>
      </c>
      <c r="AN87">
        <v>-1.5E-3</v>
      </c>
      <c r="AO87" s="16">
        <v>2.5000000000000001E-2</v>
      </c>
      <c r="AP87" s="16">
        <v>-2.5000000000000001E-2</v>
      </c>
      <c r="AQ87">
        <v>1.4999999999999999E-2</v>
      </c>
      <c r="AR87">
        <v>-1.4999999999999999E-2</v>
      </c>
      <c r="AS87">
        <v>1E-3</v>
      </c>
      <c r="AT87">
        <v>-1E-3</v>
      </c>
      <c r="AU87">
        <v>1E-3</v>
      </c>
      <c r="AV87">
        <v>-1E-3</v>
      </c>
      <c r="AW87" s="16">
        <v>1.4999999999999999E-2</v>
      </c>
      <c r="AX87" s="16">
        <v>-1.4999999999999999E-2</v>
      </c>
    </row>
    <row r="88" spans="6:50">
      <c r="F88" s="17" t="str">
        <f t="shared" si="13"/>
        <v/>
      </c>
      <c r="G88" s="4"/>
      <c r="H88" s="2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22" t="e">
        <f t="shared" si="14"/>
        <v>#N/A</v>
      </c>
      <c r="X88" s="21" t="e">
        <f t="shared" si="15"/>
        <v>#N/A</v>
      </c>
      <c r="Y88" s="21" t="e">
        <f t="shared" si="16"/>
        <v>#N/A</v>
      </c>
      <c r="Z88" s="11" t="e">
        <f t="shared" si="17"/>
        <v>#N/A</v>
      </c>
      <c r="AA88" s="22" t="e">
        <f t="shared" si="18"/>
        <v>#N/A</v>
      </c>
      <c r="AB88" s="21" t="e">
        <f t="shared" si="19"/>
        <v>#N/A</v>
      </c>
      <c r="AC88" s="21" t="e">
        <f t="shared" si="20"/>
        <v>#N/A</v>
      </c>
      <c r="AD88" s="11" t="e">
        <f t="shared" si="21"/>
        <v>#N/A</v>
      </c>
      <c r="AE88" s="22" t="e">
        <f t="shared" si="22"/>
        <v>#N/A</v>
      </c>
      <c r="AF88" s="21" t="e">
        <f t="shared" si="23"/>
        <v>#N/A</v>
      </c>
      <c r="AG88" s="21" t="e">
        <f t="shared" si="24"/>
        <v>#N/A</v>
      </c>
      <c r="AH88" s="11" t="e">
        <f t="shared" si="25"/>
        <v>#N/A</v>
      </c>
      <c r="AI88">
        <v>2.5000000000000001E-2</v>
      </c>
      <c r="AJ88">
        <v>-2.5000000000000001E-2</v>
      </c>
      <c r="AK88">
        <v>1.5E-3</v>
      </c>
      <c r="AL88">
        <v>-1.5E-3</v>
      </c>
      <c r="AM88">
        <v>1.5E-3</v>
      </c>
      <c r="AN88">
        <v>-1.5E-3</v>
      </c>
      <c r="AO88" s="16">
        <v>2.5000000000000001E-2</v>
      </c>
      <c r="AP88" s="16">
        <v>-2.5000000000000001E-2</v>
      </c>
      <c r="AQ88">
        <v>1.4999999999999999E-2</v>
      </c>
      <c r="AR88">
        <v>-1.4999999999999999E-2</v>
      </c>
      <c r="AS88">
        <v>1E-3</v>
      </c>
      <c r="AT88">
        <v>-1E-3</v>
      </c>
      <c r="AU88">
        <v>1E-3</v>
      </c>
      <c r="AV88">
        <v>-1E-3</v>
      </c>
      <c r="AW88" s="16">
        <v>1.4999999999999999E-2</v>
      </c>
      <c r="AX88" s="16">
        <v>-1.4999999999999999E-2</v>
      </c>
    </row>
    <row r="89" spans="6:50">
      <c r="F89" s="17" t="str">
        <f t="shared" si="13"/>
        <v/>
      </c>
      <c r="G89" s="4"/>
      <c r="H89" s="2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22" t="e">
        <f t="shared" si="14"/>
        <v>#N/A</v>
      </c>
      <c r="X89" s="21" t="e">
        <f t="shared" si="15"/>
        <v>#N/A</v>
      </c>
      <c r="Y89" s="21" t="e">
        <f t="shared" si="16"/>
        <v>#N/A</v>
      </c>
      <c r="Z89" s="11" t="e">
        <f t="shared" si="17"/>
        <v>#N/A</v>
      </c>
      <c r="AA89" s="22" t="e">
        <f t="shared" si="18"/>
        <v>#N/A</v>
      </c>
      <c r="AB89" s="21" t="e">
        <f t="shared" si="19"/>
        <v>#N/A</v>
      </c>
      <c r="AC89" s="21" t="e">
        <f t="shared" si="20"/>
        <v>#N/A</v>
      </c>
      <c r="AD89" s="11" t="e">
        <f t="shared" si="21"/>
        <v>#N/A</v>
      </c>
      <c r="AE89" s="22" t="e">
        <f t="shared" si="22"/>
        <v>#N/A</v>
      </c>
      <c r="AF89" s="21" t="e">
        <f t="shared" si="23"/>
        <v>#N/A</v>
      </c>
      <c r="AG89" s="21" t="e">
        <f t="shared" si="24"/>
        <v>#N/A</v>
      </c>
      <c r="AH89" s="11" t="e">
        <f t="shared" si="25"/>
        <v>#N/A</v>
      </c>
      <c r="AI89">
        <v>2.5000000000000001E-2</v>
      </c>
      <c r="AJ89">
        <v>-2.5000000000000001E-2</v>
      </c>
      <c r="AK89">
        <v>1.5E-3</v>
      </c>
      <c r="AL89">
        <v>-1.5E-3</v>
      </c>
      <c r="AM89">
        <v>1.5E-3</v>
      </c>
      <c r="AN89">
        <v>-1.5E-3</v>
      </c>
      <c r="AO89" s="16">
        <v>2.5000000000000001E-2</v>
      </c>
      <c r="AP89" s="16">
        <v>-2.5000000000000001E-2</v>
      </c>
      <c r="AQ89">
        <v>1.4999999999999999E-2</v>
      </c>
      <c r="AR89">
        <v>-1.4999999999999999E-2</v>
      </c>
      <c r="AS89">
        <v>1E-3</v>
      </c>
      <c r="AT89">
        <v>-1E-3</v>
      </c>
      <c r="AU89">
        <v>1E-3</v>
      </c>
      <c r="AV89">
        <v>-1E-3</v>
      </c>
      <c r="AW89" s="16">
        <v>1.4999999999999999E-2</v>
      </c>
      <c r="AX89" s="16">
        <v>-1.4999999999999999E-2</v>
      </c>
    </row>
    <row r="90" spans="6:50">
      <c r="F90" s="17" t="str">
        <f t="shared" si="13"/>
        <v/>
      </c>
      <c r="G90" s="4"/>
      <c r="H90" s="2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22" t="e">
        <f t="shared" si="14"/>
        <v>#N/A</v>
      </c>
      <c r="X90" s="21" t="e">
        <f t="shared" si="15"/>
        <v>#N/A</v>
      </c>
      <c r="Y90" s="21" t="e">
        <f t="shared" si="16"/>
        <v>#N/A</v>
      </c>
      <c r="Z90" s="11" t="e">
        <f t="shared" si="17"/>
        <v>#N/A</v>
      </c>
      <c r="AA90" s="22" t="e">
        <f t="shared" si="18"/>
        <v>#N/A</v>
      </c>
      <c r="AB90" s="21" t="e">
        <f t="shared" si="19"/>
        <v>#N/A</v>
      </c>
      <c r="AC90" s="21" t="e">
        <f t="shared" si="20"/>
        <v>#N/A</v>
      </c>
      <c r="AD90" s="11" t="e">
        <f t="shared" si="21"/>
        <v>#N/A</v>
      </c>
      <c r="AE90" s="22" t="e">
        <f t="shared" si="22"/>
        <v>#N/A</v>
      </c>
      <c r="AF90" s="21" t="e">
        <f t="shared" si="23"/>
        <v>#N/A</v>
      </c>
      <c r="AG90" s="21" t="e">
        <f t="shared" si="24"/>
        <v>#N/A</v>
      </c>
      <c r="AH90" s="11" t="e">
        <f t="shared" si="25"/>
        <v>#N/A</v>
      </c>
      <c r="AI90">
        <v>2.5000000000000001E-2</v>
      </c>
      <c r="AJ90">
        <v>-2.5000000000000001E-2</v>
      </c>
      <c r="AK90">
        <v>1.5E-3</v>
      </c>
      <c r="AL90">
        <v>-1.5E-3</v>
      </c>
      <c r="AM90">
        <v>1.5E-3</v>
      </c>
      <c r="AN90">
        <v>-1.5E-3</v>
      </c>
      <c r="AO90" s="16">
        <v>2.5000000000000001E-2</v>
      </c>
      <c r="AP90" s="16">
        <v>-2.5000000000000001E-2</v>
      </c>
      <c r="AQ90">
        <v>1.4999999999999999E-2</v>
      </c>
      <c r="AR90">
        <v>-1.4999999999999999E-2</v>
      </c>
      <c r="AS90">
        <v>1E-3</v>
      </c>
      <c r="AT90">
        <v>-1E-3</v>
      </c>
      <c r="AU90">
        <v>1E-3</v>
      </c>
      <c r="AV90">
        <v>-1E-3</v>
      </c>
      <c r="AW90" s="16">
        <v>1.4999999999999999E-2</v>
      </c>
      <c r="AX90" s="16">
        <v>-1.4999999999999999E-2</v>
      </c>
    </row>
    <row r="91" spans="6:50">
      <c r="F91" s="17" t="str">
        <f t="shared" si="13"/>
        <v/>
      </c>
      <c r="G91" s="4"/>
      <c r="H91" s="2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22" t="e">
        <f t="shared" si="14"/>
        <v>#N/A</v>
      </c>
      <c r="X91" s="21" t="e">
        <f t="shared" si="15"/>
        <v>#N/A</v>
      </c>
      <c r="Y91" s="21" t="e">
        <f t="shared" si="16"/>
        <v>#N/A</v>
      </c>
      <c r="Z91" s="11" t="e">
        <f t="shared" si="17"/>
        <v>#N/A</v>
      </c>
      <c r="AA91" s="22" t="e">
        <f t="shared" si="18"/>
        <v>#N/A</v>
      </c>
      <c r="AB91" s="21" t="e">
        <f t="shared" si="19"/>
        <v>#N/A</v>
      </c>
      <c r="AC91" s="21" t="e">
        <f t="shared" si="20"/>
        <v>#N/A</v>
      </c>
      <c r="AD91" s="11" t="e">
        <f t="shared" si="21"/>
        <v>#N/A</v>
      </c>
      <c r="AE91" s="22" t="e">
        <f t="shared" si="22"/>
        <v>#N/A</v>
      </c>
      <c r="AF91" s="21" t="e">
        <f t="shared" si="23"/>
        <v>#N/A</v>
      </c>
      <c r="AG91" s="21" t="e">
        <f t="shared" si="24"/>
        <v>#N/A</v>
      </c>
      <c r="AH91" s="11" t="e">
        <f t="shared" si="25"/>
        <v>#N/A</v>
      </c>
      <c r="AI91">
        <v>2.5000000000000001E-2</v>
      </c>
      <c r="AJ91">
        <v>-2.5000000000000001E-2</v>
      </c>
      <c r="AK91">
        <v>1.5E-3</v>
      </c>
      <c r="AL91">
        <v>-1.5E-3</v>
      </c>
      <c r="AM91">
        <v>1.5E-3</v>
      </c>
      <c r="AN91">
        <v>-1.5E-3</v>
      </c>
      <c r="AO91" s="16">
        <v>2.5000000000000001E-2</v>
      </c>
      <c r="AP91" s="16">
        <v>-2.5000000000000001E-2</v>
      </c>
      <c r="AQ91">
        <v>1.4999999999999999E-2</v>
      </c>
      <c r="AR91">
        <v>-1.4999999999999999E-2</v>
      </c>
      <c r="AS91">
        <v>1E-3</v>
      </c>
      <c r="AT91">
        <v>-1E-3</v>
      </c>
      <c r="AU91">
        <v>1E-3</v>
      </c>
      <c r="AV91">
        <v>-1E-3</v>
      </c>
      <c r="AW91" s="16">
        <v>1.4999999999999999E-2</v>
      </c>
      <c r="AX91" s="16">
        <v>-1.4999999999999999E-2</v>
      </c>
    </row>
    <row r="92" spans="6:50">
      <c r="F92" s="17" t="str">
        <f t="shared" si="13"/>
        <v/>
      </c>
      <c r="G92" s="4"/>
      <c r="H92" s="2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22" t="e">
        <f t="shared" si="14"/>
        <v>#N/A</v>
      </c>
      <c r="X92" s="21" t="e">
        <f t="shared" si="15"/>
        <v>#N/A</v>
      </c>
      <c r="Y92" s="21" t="e">
        <f t="shared" si="16"/>
        <v>#N/A</v>
      </c>
      <c r="Z92" s="11" t="e">
        <f t="shared" si="17"/>
        <v>#N/A</v>
      </c>
      <c r="AA92" s="22" t="e">
        <f t="shared" si="18"/>
        <v>#N/A</v>
      </c>
      <c r="AB92" s="21" t="e">
        <f t="shared" si="19"/>
        <v>#N/A</v>
      </c>
      <c r="AC92" s="21" t="e">
        <f t="shared" si="20"/>
        <v>#N/A</v>
      </c>
      <c r="AD92" s="11" t="e">
        <f t="shared" si="21"/>
        <v>#N/A</v>
      </c>
      <c r="AE92" s="22" t="e">
        <f t="shared" si="22"/>
        <v>#N/A</v>
      </c>
      <c r="AF92" s="21" t="e">
        <f t="shared" si="23"/>
        <v>#N/A</v>
      </c>
      <c r="AG92" s="21" t="e">
        <f t="shared" si="24"/>
        <v>#N/A</v>
      </c>
      <c r="AH92" s="11" t="e">
        <f t="shared" si="25"/>
        <v>#N/A</v>
      </c>
      <c r="AI92">
        <v>2.5000000000000001E-2</v>
      </c>
      <c r="AJ92">
        <v>-2.5000000000000001E-2</v>
      </c>
      <c r="AK92">
        <v>1.5E-3</v>
      </c>
      <c r="AL92">
        <v>-1.5E-3</v>
      </c>
      <c r="AM92">
        <v>1.5E-3</v>
      </c>
      <c r="AN92">
        <v>-1.5E-3</v>
      </c>
      <c r="AO92" s="16">
        <v>2.5000000000000001E-2</v>
      </c>
      <c r="AP92" s="16">
        <v>-2.5000000000000001E-2</v>
      </c>
      <c r="AQ92">
        <v>1.4999999999999999E-2</v>
      </c>
      <c r="AR92">
        <v>-1.4999999999999999E-2</v>
      </c>
      <c r="AS92">
        <v>1E-3</v>
      </c>
      <c r="AT92">
        <v>-1E-3</v>
      </c>
      <c r="AU92">
        <v>1E-3</v>
      </c>
      <c r="AV92">
        <v>-1E-3</v>
      </c>
      <c r="AW92" s="16">
        <v>1.4999999999999999E-2</v>
      </c>
      <c r="AX92" s="16">
        <v>-1.4999999999999999E-2</v>
      </c>
    </row>
    <row r="93" spans="6:50">
      <c r="F93" s="17" t="str">
        <f t="shared" si="13"/>
        <v/>
      </c>
      <c r="G93" s="4"/>
      <c r="H93" s="2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22" t="e">
        <f t="shared" si="14"/>
        <v>#N/A</v>
      </c>
      <c r="X93" s="21" t="e">
        <f t="shared" si="15"/>
        <v>#N/A</v>
      </c>
      <c r="Y93" s="21" t="e">
        <f t="shared" si="16"/>
        <v>#N/A</v>
      </c>
      <c r="Z93" s="11" t="e">
        <f t="shared" si="17"/>
        <v>#N/A</v>
      </c>
      <c r="AA93" s="22" t="e">
        <f t="shared" si="18"/>
        <v>#N/A</v>
      </c>
      <c r="AB93" s="21" t="e">
        <f t="shared" si="19"/>
        <v>#N/A</v>
      </c>
      <c r="AC93" s="21" t="e">
        <f t="shared" si="20"/>
        <v>#N/A</v>
      </c>
      <c r="AD93" s="11" t="e">
        <f t="shared" si="21"/>
        <v>#N/A</v>
      </c>
      <c r="AE93" s="22" t="e">
        <f t="shared" si="22"/>
        <v>#N/A</v>
      </c>
      <c r="AF93" s="21" t="e">
        <f t="shared" si="23"/>
        <v>#N/A</v>
      </c>
      <c r="AG93" s="21" t="e">
        <f t="shared" si="24"/>
        <v>#N/A</v>
      </c>
      <c r="AH93" s="11" t="e">
        <f t="shared" si="25"/>
        <v>#N/A</v>
      </c>
      <c r="AI93">
        <v>2.5000000000000001E-2</v>
      </c>
      <c r="AJ93">
        <v>-2.5000000000000001E-2</v>
      </c>
      <c r="AK93">
        <v>1.5E-3</v>
      </c>
      <c r="AL93">
        <v>-1.5E-3</v>
      </c>
      <c r="AM93">
        <v>1.5E-3</v>
      </c>
      <c r="AN93">
        <v>-1.5E-3</v>
      </c>
      <c r="AO93" s="16">
        <v>2.5000000000000001E-2</v>
      </c>
      <c r="AP93" s="16">
        <v>-2.5000000000000001E-2</v>
      </c>
      <c r="AQ93">
        <v>1.4999999999999999E-2</v>
      </c>
      <c r="AR93">
        <v>-1.4999999999999999E-2</v>
      </c>
      <c r="AS93">
        <v>1E-3</v>
      </c>
      <c r="AT93">
        <v>-1E-3</v>
      </c>
      <c r="AU93">
        <v>1E-3</v>
      </c>
      <c r="AV93">
        <v>-1E-3</v>
      </c>
      <c r="AW93" s="16">
        <v>1.4999999999999999E-2</v>
      </c>
      <c r="AX93" s="16">
        <v>-1.4999999999999999E-2</v>
      </c>
    </row>
    <row r="94" spans="6:50">
      <c r="F94" s="17" t="str">
        <f t="shared" si="13"/>
        <v/>
      </c>
      <c r="G94" s="4"/>
      <c r="H94" s="2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22" t="e">
        <f t="shared" si="14"/>
        <v>#N/A</v>
      </c>
      <c r="X94" s="21" t="e">
        <f t="shared" si="15"/>
        <v>#N/A</v>
      </c>
      <c r="Y94" s="21" t="e">
        <f t="shared" si="16"/>
        <v>#N/A</v>
      </c>
      <c r="Z94" s="11" t="e">
        <f t="shared" si="17"/>
        <v>#N/A</v>
      </c>
      <c r="AA94" s="22" t="e">
        <f t="shared" si="18"/>
        <v>#N/A</v>
      </c>
      <c r="AB94" s="21" t="e">
        <f t="shared" si="19"/>
        <v>#N/A</v>
      </c>
      <c r="AC94" s="21" t="e">
        <f t="shared" si="20"/>
        <v>#N/A</v>
      </c>
      <c r="AD94" s="11" t="e">
        <f t="shared" si="21"/>
        <v>#N/A</v>
      </c>
      <c r="AE94" s="22" t="e">
        <f t="shared" si="22"/>
        <v>#N/A</v>
      </c>
      <c r="AF94" s="21" t="e">
        <f t="shared" si="23"/>
        <v>#N/A</v>
      </c>
      <c r="AG94" s="21" t="e">
        <f t="shared" si="24"/>
        <v>#N/A</v>
      </c>
      <c r="AH94" s="11" t="e">
        <f t="shared" si="25"/>
        <v>#N/A</v>
      </c>
      <c r="AI94">
        <v>2.5000000000000001E-2</v>
      </c>
      <c r="AJ94">
        <v>-2.5000000000000001E-2</v>
      </c>
      <c r="AK94">
        <v>1.5E-3</v>
      </c>
      <c r="AL94">
        <v>-1.5E-3</v>
      </c>
      <c r="AM94">
        <v>1.5E-3</v>
      </c>
      <c r="AN94">
        <v>-1.5E-3</v>
      </c>
      <c r="AO94" s="16">
        <v>2.5000000000000001E-2</v>
      </c>
      <c r="AP94" s="16">
        <v>-2.5000000000000001E-2</v>
      </c>
      <c r="AQ94">
        <v>1.4999999999999999E-2</v>
      </c>
      <c r="AR94">
        <v>-1.4999999999999999E-2</v>
      </c>
      <c r="AS94">
        <v>1E-3</v>
      </c>
      <c r="AT94">
        <v>-1E-3</v>
      </c>
      <c r="AU94">
        <v>1E-3</v>
      </c>
      <c r="AV94">
        <v>-1E-3</v>
      </c>
      <c r="AW94" s="16">
        <v>1.4999999999999999E-2</v>
      </c>
      <c r="AX94" s="16">
        <v>-1.4999999999999999E-2</v>
      </c>
    </row>
    <row r="95" spans="6:50">
      <c r="F95" s="17" t="str">
        <f t="shared" si="13"/>
        <v/>
      </c>
      <c r="G95" s="4"/>
      <c r="H95" s="2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22" t="e">
        <f t="shared" si="14"/>
        <v>#N/A</v>
      </c>
      <c r="X95" s="21" t="e">
        <f t="shared" si="15"/>
        <v>#N/A</v>
      </c>
      <c r="Y95" s="21" t="e">
        <f t="shared" si="16"/>
        <v>#N/A</v>
      </c>
      <c r="Z95" s="11" t="e">
        <f t="shared" si="17"/>
        <v>#N/A</v>
      </c>
      <c r="AA95" s="22" t="e">
        <f t="shared" si="18"/>
        <v>#N/A</v>
      </c>
      <c r="AB95" s="21" t="e">
        <f t="shared" si="19"/>
        <v>#N/A</v>
      </c>
      <c r="AC95" s="21" t="e">
        <f t="shared" si="20"/>
        <v>#N/A</v>
      </c>
      <c r="AD95" s="11" t="e">
        <f t="shared" si="21"/>
        <v>#N/A</v>
      </c>
      <c r="AE95" s="22" t="e">
        <f t="shared" si="22"/>
        <v>#N/A</v>
      </c>
      <c r="AF95" s="21" t="e">
        <f t="shared" si="23"/>
        <v>#N/A</v>
      </c>
      <c r="AG95" s="21" t="e">
        <f t="shared" si="24"/>
        <v>#N/A</v>
      </c>
      <c r="AH95" s="11" t="e">
        <f t="shared" si="25"/>
        <v>#N/A</v>
      </c>
      <c r="AI95">
        <v>2.5000000000000001E-2</v>
      </c>
      <c r="AJ95">
        <v>-2.5000000000000001E-2</v>
      </c>
      <c r="AK95">
        <v>1.5E-3</v>
      </c>
      <c r="AL95">
        <v>-1.5E-3</v>
      </c>
      <c r="AM95">
        <v>1.5E-3</v>
      </c>
      <c r="AN95">
        <v>-1.5E-3</v>
      </c>
      <c r="AO95" s="16">
        <v>2.5000000000000001E-2</v>
      </c>
      <c r="AP95" s="16">
        <v>-2.5000000000000001E-2</v>
      </c>
      <c r="AQ95">
        <v>1.4999999999999999E-2</v>
      </c>
      <c r="AR95">
        <v>-1.4999999999999999E-2</v>
      </c>
      <c r="AS95">
        <v>1E-3</v>
      </c>
      <c r="AT95">
        <v>-1E-3</v>
      </c>
      <c r="AU95">
        <v>1E-3</v>
      </c>
      <c r="AV95">
        <v>-1E-3</v>
      </c>
      <c r="AW95" s="16">
        <v>1.4999999999999999E-2</v>
      </c>
      <c r="AX95" s="16">
        <v>-1.4999999999999999E-2</v>
      </c>
    </row>
    <row r="96" spans="6:50">
      <c r="F96" s="17" t="str">
        <f t="shared" si="13"/>
        <v/>
      </c>
      <c r="G96" s="4"/>
      <c r="H96" s="2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22" t="e">
        <f t="shared" si="14"/>
        <v>#N/A</v>
      </c>
      <c r="X96" s="21" t="e">
        <f t="shared" si="15"/>
        <v>#N/A</v>
      </c>
      <c r="Y96" s="21" t="e">
        <f t="shared" si="16"/>
        <v>#N/A</v>
      </c>
      <c r="Z96" s="11" t="e">
        <f t="shared" si="17"/>
        <v>#N/A</v>
      </c>
      <c r="AA96" s="22" t="e">
        <f t="shared" si="18"/>
        <v>#N/A</v>
      </c>
      <c r="AB96" s="21" t="e">
        <f t="shared" si="19"/>
        <v>#N/A</v>
      </c>
      <c r="AC96" s="21" t="e">
        <f t="shared" si="20"/>
        <v>#N/A</v>
      </c>
      <c r="AD96" s="11" t="e">
        <f t="shared" si="21"/>
        <v>#N/A</v>
      </c>
      <c r="AE96" s="22" t="e">
        <f t="shared" si="22"/>
        <v>#N/A</v>
      </c>
      <c r="AF96" s="21" t="e">
        <f t="shared" si="23"/>
        <v>#N/A</v>
      </c>
      <c r="AG96" s="21" t="e">
        <f t="shared" si="24"/>
        <v>#N/A</v>
      </c>
      <c r="AH96" s="11" t="e">
        <f t="shared" si="25"/>
        <v>#N/A</v>
      </c>
      <c r="AI96">
        <v>2.5000000000000001E-2</v>
      </c>
      <c r="AJ96">
        <v>-2.5000000000000001E-2</v>
      </c>
      <c r="AK96">
        <v>1.5E-3</v>
      </c>
      <c r="AL96">
        <v>-1.5E-3</v>
      </c>
      <c r="AM96">
        <v>1.5E-3</v>
      </c>
      <c r="AN96">
        <v>-1.5E-3</v>
      </c>
      <c r="AO96" s="16">
        <v>2.5000000000000001E-2</v>
      </c>
      <c r="AP96" s="16">
        <v>-2.5000000000000001E-2</v>
      </c>
      <c r="AQ96">
        <v>1.4999999999999999E-2</v>
      </c>
      <c r="AR96">
        <v>-1.4999999999999999E-2</v>
      </c>
      <c r="AS96">
        <v>1E-3</v>
      </c>
      <c r="AT96">
        <v>-1E-3</v>
      </c>
      <c r="AU96">
        <v>1E-3</v>
      </c>
      <c r="AV96">
        <v>-1E-3</v>
      </c>
      <c r="AW96" s="16">
        <v>1.4999999999999999E-2</v>
      </c>
      <c r="AX96" s="16">
        <v>-1.4999999999999999E-2</v>
      </c>
    </row>
    <row r="97" spans="6:50">
      <c r="F97" s="17" t="str">
        <f t="shared" si="13"/>
        <v/>
      </c>
      <c r="G97" s="4"/>
      <c r="H97" s="2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22" t="e">
        <f t="shared" si="14"/>
        <v>#N/A</v>
      </c>
      <c r="X97" s="21" t="e">
        <f t="shared" si="15"/>
        <v>#N/A</v>
      </c>
      <c r="Y97" s="21" t="e">
        <f t="shared" si="16"/>
        <v>#N/A</v>
      </c>
      <c r="Z97" s="11" t="e">
        <f t="shared" si="17"/>
        <v>#N/A</v>
      </c>
      <c r="AA97" s="22" t="e">
        <f t="shared" si="18"/>
        <v>#N/A</v>
      </c>
      <c r="AB97" s="21" t="e">
        <f t="shared" si="19"/>
        <v>#N/A</v>
      </c>
      <c r="AC97" s="21" t="e">
        <f t="shared" si="20"/>
        <v>#N/A</v>
      </c>
      <c r="AD97" s="11" t="e">
        <f t="shared" si="21"/>
        <v>#N/A</v>
      </c>
      <c r="AE97" s="22" t="e">
        <f t="shared" si="22"/>
        <v>#N/A</v>
      </c>
      <c r="AF97" s="21" t="e">
        <f t="shared" si="23"/>
        <v>#N/A</v>
      </c>
      <c r="AG97" s="21" t="e">
        <f t="shared" si="24"/>
        <v>#N/A</v>
      </c>
      <c r="AH97" s="11" t="e">
        <f t="shared" si="25"/>
        <v>#N/A</v>
      </c>
      <c r="AI97">
        <v>2.5000000000000001E-2</v>
      </c>
      <c r="AJ97">
        <v>-2.5000000000000001E-2</v>
      </c>
      <c r="AK97">
        <v>1.5E-3</v>
      </c>
      <c r="AL97">
        <v>-1.5E-3</v>
      </c>
      <c r="AM97">
        <v>1.5E-3</v>
      </c>
      <c r="AN97">
        <v>-1.5E-3</v>
      </c>
      <c r="AO97" s="16">
        <v>2.5000000000000001E-2</v>
      </c>
      <c r="AP97" s="16">
        <v>-2.5000000000000001E-2</v>
      </c>
      <c r="AQ97">
        <v>1.4999999999999999E-2</v>
      </c>
      <c r="AR97">
        <v>-1.4999999999999999E-2</v>
      </c>
      <c r="AS97">
        <v>1E-3</v>
      </c>
      <c r="AT97">
        <v>-1E-3</v>
      </c>
      <c r="AU97">
        <v>1E-3</v>
      </c>
      <c r="AV97">
        <v>-1E-3</v>
      </c>
      <c r="AW97" s="16">
        <v>1.4999999999999999E-2</v>
      </c>
      <c r="AX97" s="16">
        <v>-1.4999999999999999E-2</v>
      </c>
    </row>
    <row r="98" spans="6:50">
      <c r="F98" s="17" t="str">
        <f t="shared" si="13"/>
        <v/>
      </c>
      <c r="G98" s="4"/>
      <c r="H98" s="2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22" t="e">
        <f t="shared" si="14"/>
        <v>#N/A</v>
      </c>
      <c r="X98" s="21" t="e">
        <f t="shared" si="15"/>
        <v>#N/A</v>
      </c>
      <c r="Y98" s="21" t="e">
        <f t="shared" si="16"/>
        <v>#N/A</v>
      </c>
      <c r="Z98" s="11" t="e">
        <f t="shared" si="17"/>
        <v>#N/A</v>
      </c>
      <c r="AA98" s="22" t="e">
        <f t="shared" si="18"/>
        <v>#N/A</v>
      </c>
      <c r="AB98" s="21" t="e">
        <f t="shared" si="19"/>
        <v>#N/A</v>
      </c>
      <c r="AC98" s="21" t="e">
        <f t="shared" si="20"/>
        <v>#N/A</v>
      </c>
      <c r="AD98" s="11" t="e">
        <f t="shared" si="21"/>
        <v>#N/A</v>
      </c>
      <c r="AE98" s="22" t="e">
        <f t="shared" si="22"/>
        <v>#N/A</v>
      </c>
      <c r="AF98" s="21" t="e">
        <f t="shared" si="23"/>
        <v>#N/A</v>
      </c>
      <c r="AG98" s="21" t="e">
        <f t="shared" si="24"/>
        <v>#N/A</v>
      </c>
      <c r="AH98" s="11" t="e">
        <f t="shared" si="25"/>
        <v>#N/A</v>
      </c>
      <c r="AI98">
        <v>2.5000000000000001E-2</v>
      </c>
      <c r="AJ98">
        <v>-2.5000000000000001E-2</v>
      </c>
      <c r="AK98">
        <v>1.5E-3</v>
      </c>
      <c r="AL98">
        <v>-1.5E-3</v>
      </c>
      <c r="AM98">
        <v>1.5E-3</v>
      </c>
      <c r="AN98">
        <v>-1.5E-3</v>
      </c>
      <c r="AO98" s="16">
        <v>2.5000000000000001E-2</v>
      </c>
      <c r="AP98" s="16">
        <v>-2.5000000000000001E-2</v>
      </c>
      <c r="AQ98">
        <v>1.4999999999999999E-2</v>
      </c>
      <c r="AR98">
        <v>-1.4999999999999999E-2</v>
      </c>
      <c r="AS98">
        <v>1E-3</v>
      </c>
      <c r="AT98">
        <v>-1E-3</v>
      </c>
      <c r="AU98">
        <v>1E-3</v>
      </c>
      <c r="AV98">
        <v>-1E-3</v>
      </c>
      <c r="AW98" s="16">
        <v>1.4999999999999999E-2</v>
      </c>
      <c r="AX98" s="16">
        <v>-1.4999999999999999E-2</v>
      </c>
    </row>
    <row r="99" spans="6:50">
      <c r="F99" s="17" t="str">
        <f t="shared" si="13"/>
        <v/>
      </c>
      <c r="G99" s="4"/>
      <c r="H99" s="2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22" t="e">
        <f t="shared" si="14"/>
        <v>#N/A</v>
      </c>
      <c r="X99" s="21" t="e">
        <f t="shared" si="15"/>
        <v>#N/A</v>
      </c>
      <c r="Y99" s="21" t="e">
        <f t="shared" si="16"/>
        <v>#N/A</v>
      </c>
      <c r="Z99" s="11" t="e">
        <f t="shared" si="17"/>
        <v>#N/A</v>
      </c>
      <c r="AA99" s="22" t="e">
        <f t="shared" si="18"/>
        <v>#N/A</v>
      </c>
      <c r="AB99" s="21" t="e">
        <f t="shared" si="19"/>
        <v>#N/A</v>
      </c>
      <c r="AC99" s="21" t="e">
        <f t="shared" si="20"/>
        <v>#N/A</v>
      </c>
      <c r="AD99" s="11" t="e">
        <f t="shared" si="21"/>
        <v>#N/A</v>
      </c>
      <c r="AE99" s="22" t="e">
        <f t="shared" si="22"/>
        <v>#N/A</v>
      </c>
      <c r="AF99" s="21" t="e">
        <f t="shared" si="23"/>
        <v>#N/A</v>
      </c>
      <c r="AG99" s="21" t="e">
        <f t="shared" si="24"/>
        <v>#N/A</v>
      </c>
      <c r="AH99" s="11" t="e">
        <f t="shared" si="25"/>
        <v>#N/A</v>
      </c>
      <c r="AI99">
        <v>2.5000000000000001E-2</v>
      </c>
      <c r="AJ99">
        <v>-2.5000000000000001E-2</v>
      </c>
      <c r="AK99">
        <v>1.5E-3</v>
      </c>
      <c r="AL99">
        <v>-1.5E-3</v>
      </c>
      <c r="AM99">
        <v>1.5E-3</v>
      </c>
      <c r="AN99">
        <v>-1.5E-3</v>
      </c>
      <c r="AO99" s="16">
        <v>2.5000000000000001E-2</v>
      </c>
      <c r="AP99" s="16">
        <v>-2.5000000000000001E-2</v>
      </c>
      <c r="AQ99">
        <v>1.4999999999999999E-2</v>
      </c>
      <c r="AR99">
        <v>-1.4999999999999999E-2</v>
      </c>
      <c r="AS99">
        <v>1E-3</v>
      </c>
      <c r="AT99">
        <v>-1E-3</v>
      </c>
      <c r="AU99">
        <v>1E-3</v>
      </c>
      <c r="AV99">
        <v>-1E-3</v>
      </c>
      <c r="AW99" s="16">
        <v>1.4999999999999999E-2</v>
      </c>
      <c r="AX99" s="16">
        <v>-1.4999999999999999E-2</v>
      </c>
    </row>
    <row r="100" spans="6:50">
      <c r="F100" s="17" t="str">
        <f t="shared" si="13"/>
        <v/>
      </c>
      <c r="G100" s="4"/>
      <c r="H100" s="2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22" t="e">
        <f t="shared" si="14"/>
        <v>#N/A</v>
      </c>
      <c r="X100" s="21" t="e">
        <f t="shared" si="15"/>
        <v>#N/A</v>
      </c>
      <c r="Y100" s="21" t="e">
        <f t="shared" si="16"/>
        <v>#N/A</v>
      </c>
      <c r="Z100" s="11" t="e">
        <f t="shared" si="17"/>
        <v>#N/A</v>
      </c>
      <c r="AA100" s="22" t="e">
        <f t="shared" si="18"/>
        <v>#N/A</v>
      </c>
      <c r="AB100" s="21" t="e">
        <f t="shared" si="19"/>
        <v>#N/A</v>
      </c>
      <c r="AC100" s="21" t="e">
        <f t="shared" si="20"/>
        <v>#N/A</v>
      </c>
      <c r="AD100" s="11" t="e">
        <f t="shared" si="21"/>
        <v>#N/A</v>
      </c>
      <c r="AE100" s="22" t="e">
        <f t="shared" si="22"/>
        <v>#N/A</v>
      </c>
      <c r="AF100" s="21" t="e">
        <f t="shared" si="23"/>
        <v>#N/A</v>
      </c>
      <c r="AG100" s="21" t="e">
        <f t="shared" si="24"/>
        <v>#N/A</v>
      </c>
      <c r="AH100" s="11" t="e">
        <f t="shared" si="25"/>
        <v>#N/A</v>
      </c>
      <c r="AI100">
        <v>2.5000000000000001E-2</v>
      </c>
      <c r="AJ100">
        <v>-2.5000000000000001E-2</v>
      </c>
      <c r="AK100">
        <v>1.5E-3</v>
      </c>
      <c r="AL100">
        <v>-1.5E-3</v>
      </c>
      <c r="AM100">
        <v>1.5E-3</v>
      </c>
      <c r="AN100">
        <v>-1.5E-3</v>
      </c>
      <c r="AO100" s="16">
        <v>2.5000000000000001E-2</v>
      </c>
      <c r="AP100" s="16">
        <v>-2.5000000000000001E-2</v>
      </c>
      <c r="AQ100">
        <v>1.4999999999999999E-2</v>
      </c>
      <c r="AR100">
        <v>-1.4999999999999999E-2</v>
      </c>
      <c r="AS100">
        <v>1E-3</v>
      </c>
      <c r="AT100">
        <v>-1E-3</v>
      </c>
      <c r="AU100">
        <v>1E-3</v>
      </c>
      <c r="AV100">
        <v>-1E-3</v>
      </c>
      <c r="AW100" s="16">
        <v>1.4999999999999999E-2</v>
      </c>
      <c r="AX100" s="16">
        <v>-1.4999999999999999E-2</v>
      </c>
    </row>
  </sheetData>
  <mergeCells count="6">
    <mergeCell ref="AE4:AH4"/>
    <mergeCell ref="H4:L4"/>
    <mergeCell ref="M4:Q4"/>
    <mergeCell ref="R4:V4"/>
    <mergeCell ref="W4:Z4"/>
    <mergeCell ref="AA4:AD4"/>
  </mergeCells>
  <phoneticPr fontId="1"/>
  <conditionalFormatting sqref="W6:AH100">
    <cfRule type="containsErrors" dxfId="10" priority="1">
      <formula>ISERROR(W6)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S100"/>
  <sheetViews>
    <sheetView showGridLines="0" zoomScale="70" zoomScaleNormal="70" workbookViewId="0">
      <pane ySplit="5" topLeftCell="A6" activePane="bottomLeft" state="frozen"/>
      <selection pane="bottomLeft" activeCell="G39" sqref="G39"/>
    </sheetView>
  </sheetViews>
  <sheetFormatPr defaultRowHeight="13.5"/>
  <cols>
    <col min="1" max="5" width="9" style="18"/>
    <col min="6" max="6" width="16.125" style="18" bestFit="1" customWidth="1"/>
    <col min="7" max="7" width="20.625" style="19" bestFit="1" customWidth="1"/>
    <col min="8" max="8" width="11.25" style="26" customWidth="1"/>
    <col min="9" max="9" width="11.25" style="20" customWidth="1"/>
    <col min="10" max="10" width="9.75" style="20" customWidth="1"/>
    <col min="11" max="11" width="9.25" style="20" customWidth="1"/>
    <col min="12" max="13" width="9.75" style="20" customWidth="1"/>
    <col min="14" max="14" width="10.125" style="20" customWidth="1"/>
    <col min="15" max="15" width="10" style="20" customWidth="1"/>
    <col min="16" max="22" width="9" style="20"/>
    <col min="23" max="16384" width="9" style="18"/>
  </cols>
  <sheetData>
    <row r="1" spans="1:279" customFormat="1">
      <c r="G1" s="7"/>
      <c r="H1" s="23"/>
      <c r="K1" s="1"/>
      <c r="L1" s="1"/>
      <c r="M1" s="27"/>
      <c r="R1" s="8"/>
    </row>
    <row r="2" spans="1:279" customFormat="1">
      <c r="G2" s="10"/>
      <c r="H2" s="24"/>
      <c r="I2" s="18"/>
      <c r="J2" s="10"/>
      <c r="K2" s="1"/>
      <c r="L2" s="1"/>
      <c r="M2" s="27"/>
      <c r="R2" s="8"/>
    </row>
    <row r="3" spans="1:279" customFormat="1">
      <c r="G3" s="10"/>
      <c r="H3" s="24"/>
      <c r="I3" s="13">
        <v>3.1103700000000001</v>
      </c>
      <c r="J3" s="13">
        <v>0.29050100000000001</v>
      </c>
      <c r="K3" s="14">
        <v>0.28018300000000002</v>
      </c>
      <c r="L3" s="14">
        <v>27.681999999999999</v>
      </c>
      <c r="M3" s="27"/>
      <c r="N3" s="13">
        <v>3.1324200000000002</v>
      </c>
      <c r="O3" s="13">
        <v>0.28729700000000002</v>
      </c>
      <c r="P3" s="14">
        <v>0.27366200000000002</v>
      </c>
      <c r="Q3" s="14">
        <v>27.869</v>
      </c>
      <c r="R3" s="27"/>
      <c r="S3" s="13">
        <v>3.1106600000000002</v>
      </c>
      <c r="T3" s="13">
        <v>0.28251900000000002</v>
      </c>
      <c r="U3" s="14">
        <v>0.26605899999999999</v>
      </c>
      <c r="V3" s="14">
        <v>27.683</v>
      </c>
    </row>
    <row r="4" spans="1:279" customFormat="1">
      <c r="A4" t="s">
        <v>15</v>
      </c>
      <c r="G4" s="3"/>
      <c r="H4" s="34" t="s">
        <v>5</v>
      </c>
      <c r="I4" s="34"/>
      <c r="J4" s="34"/>
      <c r="K4" s="34"/>
      <c r="L4" s="34"/>
      <c r="M4" s="35" t="s">
        <v>6</v>
      </c>
      <c r="N4" s="36"/>
      <c r="O4" s="36"/>
      <c r="P4" s="36"/>
      <c r="Q4" s="37"/>
      <c r="R4" s="35" t="s">
        <v>7</v>
      </c>
      <c r="S4" s="36"/>
      <c r="T4" s="36"/>
      <c r="U4" s="36"/>
      <c r="V4" s="37"/>
      <c r="W4" s="34" t="s">
        <v>5</v>
      </c>
      <c r="X4" s="34"/>
      <c r="Y4" s="34"/>
      <c r="Z4" s="34"/>
      <c r="AA4" s="34" t="s">
        <v>6</v>
      </c>
      <c r="AB4" s="34"/>
      <c r="AC4" s="34"/>
      <c r="AD4" s="34"/>
      <c r="AE4" s="34" t="s">
        <v>7</v>
      </c>
      <c r="AF4" s="34"/>
      <c r="AG4" s="34"/>
      <c r="AH4" s="34"/>
      <c r="AI4" t="s">
        <v>12</v>
      </c>
      <c r="AJ4" t="s">
        <v>12</v>
      </c>
      <c r="AK4" t="s">
        <v>12</v>
      </c>
      <c r="AL4" t="s">
        <v>12</v>
      </c>
      <c r="AM4" t="s">
        <v>12</v>
      </c>
      <c r="AN4" t="s">
        <v>12</v>
      </c>
      <c r="AO4" t="s">
        <v>12</v>
      </c>
      <c r="AP4" t="s">
        <v>12</v>
      </c>
      <c r="AQ4" t="s">
        <v>13</v>
      </c>
      <c r="AR4" t="s">
        <v>13</v>
      </c>
      <c r="AS4" t="s">
        <v>13</v>
      </c>
      <c r="AT4" t="s">
        <v>13</v>
      </c>
      <c r="AU4" t="s">
        <v>13</v>
      </c>
      <c r="AV4" t="s">
        <v>13</v>
      </c>
      <c r="AW4" t="s">
        <v>13</v>
      </c>
      <c r="AX4" t="s">
        <v>13</v>
      </c>
      <c r="BA4" t="s">
        <v>51</v>
      </c>
      <c r="BF4" t="s">
        <v>52</v>
      </c>
    </row>
    <row r="5" spans="1:279" customFormat="1">
      <c r="A5" s="2"/>
      <c r="B5" s="2" t="s">
        <v>1</v>
      </c>
      <c r="C5" s="2" t="s">
        <v>2</v>
      </c>
      <c r="D5" s="2" t="s">
        <v>3</v>
      </c>
      <c r="E5" s="2" t="s">
        <v>4</v>
      </c>
      <c r="G5" s="2" t="s">
        <v>0</v>
      </c>
      <c r="H5" s="5" t="s">
        <v>14</v>
      </c>
      <c r="I5" s="2" t="s">
        <v>1</v>
      </c>
      <c r="J5" s="2" t="s">
        <v>2</v>
      </c>
      <c r="K5" s="2" t="s">
        <v>3</v>
      </c>
      <c r="L5" s="2" t="s">
        <v>4</v>
      </c>
      <c r="M5" s="5" t="s">
        <v>14</v>
      </c>
      <c r="N5" s="2" t="s">
        <v>1</v>
      </c>
      <c r="O5" s="2" t="s">
        <v>2</v>
      </c>
      <c r="P5" s="2" t="s">
        <v>3</v>
      </c>
      <c r="Q5" s="2" t="s">
        <v>4</v>
      </c>
      <c r="R5" s="5" t="s">
        <v>14</v>
      </c>
      <c r="S5" s="2" t="s">
        <v>1</v>
      </c>
      <c r="T5" s="2" t="s">
        <v>2</v>
      </c>
      <c r="U5" s="2" t="s">
        <v>3</v>
      </c>
      <c r="V5" s="2" t="s">
        <v>4</v>
      </c>
      <c r="W5" s="2" t="s">
        <v>1</v>
      </c>
      <c r="X5" s="2" t="s">
        <v>2</v>
      </c>
      <c r="Y5" s="2" t="s">
        <v>3</v>
      </c>
      <c r="Z5" s="2" t="s">
        <v>4</v>
      </c>
      <c r="AA5" s="2" t="s">
        <v>1</v>
      </c>
      <c r="AB5" s="2" t="s">
        <v>2</v>
      </c>
      <c r="AC5" s="2" t="s">
        <v>3</v>
      </c>
      <c r="AD5" s="2" t="s">
        <v>4</v>
      </c>
      <c r="AE5" s="2" t="s">
        <v>1</v>
      </c>
      <c r="AF5" s="2" t="s">
        <v>2</v>
      </c>
      <c r="AG5" s="2" t="s">
        <v>3</v>
      </c>
      <c r="AH5" s="2" t="s">
        <v>4</v>
      </c>
      <c r="AI5" s="15" t="s">
        <v>1</v>
      </c>
      <c r="AK5" t="s">
        <v>2</v>
      </c>
      <c r="AM5" t="s">
        <v>3</v>
      </c>
      <c r="AO5" t="s">
        <v>4</v>
      </c>
      <c r="AQ5" s="15" t="s">
        <v>1</v>
      </c>
      <c r="AS5" t="s">
        <v>2</v>
      </c>
      <c r="AU5" t="s">
        <v>3</v>
      </c>
      <c r="AW5" t="s">
        <v>4</v>
      </c>
      <c r="BA5" t="s">
        <v>47</v>
      </c>
      <c r="BB5" t="s">
        <v>48</v>
      </c>
      <c r="BC5" t="s">
        <v>49</v>
      </c>
      <c r="BD5" t="s">
        <v>50</v>
      </c>
      <c r="BF5" t="s">
        <v>47</v>
      </c>
      <c r="BG5" t="s">
        <v>48</v>
      </c>
      <c r="BH5" t="s">
        <v>49</v>
      </c>
      <c r="BI5" t="s">
        <v>50</v>
      </c>
    </row>
    <row r="6" spans="1:279" customFormat="1">
      <c r="A6" s="2">
        <v>1</v>
      </c>
      <c r="B6" s="2">
        <v>2.8843000000000001</v>
      </c>
      <c r="C6" s="2">
        <v>0.34159200000000001</v>
      </c>
      <c r="D6" s="2">
        <v>0.35375400000000001</v>
      </c>
      <c r="E6" s="2">
        <v>34.566331660000003</v>
      </c>
      <c r="F6" s="17">
        <f>IF(G6="","",G6)</f>
        <v>44243.586701388886</v>
      </c>
      <c r="G6" s="9">
        <v>44243.586701388886</v>
      </c>
      <c r="H6" s="25">
        <v>1</v>
      </c>
      <c r="I6" s="12">
        <v>2.8809999999999998</v>
      </c>
      <c r="J6" s="5">
        <v>0.34161999999999998</v>
      </c>
      <c r="K6" s="5">
        <v>0.35659999999999997</v>
      </c>
      <c r="L6" s="5">
        <v>34.637</v>
      </c>
      <c r="M6" s="5">
        <v>2</v>
      </c>
      <c r="N6" s="5">
        <v>2.8769999999999998</v>
      </c>
      <c r="O6" s="5">
        <v>0.32894000000000001</v>
      </c>
      <c r="P6" s="5">
        <v>0.34837000000000001</v>
      </c>
      <c r="Q6" s="5">
        <v>34.646999999999998</v>
      </c>
      <c r="R6" s="5">
        <v>3</v>
      </c>
      <c r="S6" s="5">
        <v>2.8759999999999999</v>
      </c>
      <c r="T6" s="5">
        <v>0.30742999999999998</v>
      </c>
      <c r="U6" s="5">
        <v>0.32047999999999999</v>
      </c>
      <c r="V6" s="5">
        <v>33.402999999999999</v>
      </c>
      <c r="W6" s="22">
        <f>IF(H6="",NA(),I6-VLOOKUP(H6,$A$6:$E$35,2,FALSE))</f>
        <v>-3.3000000000003027E-3</v>
      </c>
      <c r="X6" s="21">
        <f>IF(H6="",NA(),J6-VLOOKUP(H6,$A$6:$E$35,3,FALSE))</f>
        <v>2.7999999999972491E-5</v>
      </c>
      <c r="Y6" s="21">
        <f>IF(H6="",NA(),K6-VLOOKUP(H6,$A$6:$E$35,4,FALSE))</f>
        <v>2.8459999999999597E-3</v>
      </c>
      <c r="Z6" s="11">
        <f>IF(H6="",NA(),L6/VLOOKUP(H6,$A$6:$E$35,5,FALSE)-1)</f>
        <v>2.0444269497585932E-3</v>
      </c>
      <c r="AA6" s="22">
        <f>IF(M6="",NA(),N6-VLOOKUP(M6,$A$6:$E$35,2,FALSE))</f>
        <v>-1.8280000000000296E-2</v>
      </c>
      <c r="AB6" s="21">
        <f>IF(M6="",NA(),O6-VLOOKUP(M6,$A$6:$E$35,3,FALSE))</f>
        <v>-1.2965000000000004E-2</v>
      </c>
      <c r="AC6" s="21">
        <f>IF(M6="",NA(),P6-VLOOKUP(M6,$A$6:$E$35,4,FALSE))</f>
        <v>-6.1930000000000041E-3</v>
      </c>
      <c r="AD6" s="11">
        <f>IF(M6="",NA(),Q6/VLOOKUP(M6,$A$6:$E$35,5,FALSE)-1)</f>
        <v>-2.50388453653827E-3</v>
      </c>
      <c r="AE6" s="22">
        <f>IF(R6="",NA(),S6-VLOOKUP(R6,$A$6:$E$35,2,FALSE))</f>
        <v>6.9300000000001027E-3</v>
      </c>
      <c r="AF6" s="21">
        <f>IF(R6="",NA(),T6-VLOOKUP(R6,$A$6:$E$35,3,FALSE))</f>
        <v>-3.4264000000000017E-2</v>
      </c>
      <c r="AG6" s="21">
        <f>IF(R6="",NA(),U6-VLOOKUP(R6,$A$6:$E$35,4,FALSE))</f>
        <v>-3.5233000000000014E-2</v>
      </c>
      <c r="AH6" s="11">
        <f>IF(R6="",NA(),V6/VLOOKUP(R6,$A$6:$E$35,5,FALSE)-1)</f>
        <v>-3.2552402370563671E-2</v>
      </c>
      <c r="AI6">
        <v>2.5000000000000001E-2</v>
      </c>
      <c r="AJ6">
        <v>-2.5000000000000001E-2</v>
      </c>
      <c r="AK6">
        <v>1.5E-3</v>
      </c>
      <c r="AL6">
        <v>-1.5E-3</v>
      </c>
      <c r="AM6">
        <v>1.5E-3</v>
      </c>
      <c r="AN6">
        <v>-1.5E-3</v>
      </c>
      <c r="AO6" s="16">
        <v>2.5000000000000001E-2</v>
      </c>
      <c r="AP6" s="16">
        <v>-2.5000000000000001E-2</v>
      </c>
      <c r="AQ6">
        <v>1.4999999999999999E-2</v>
      </c>
      <c r="AR6">
        <v>-1.4999999999999999E-2</v>
      </c>
      <c r="AS6">
        <v>1E-3</v>
      </c>
      <c r="AT6">
        <v>-1E-3</v>
      </c>
      <c r="AU6">
        <v>1E-3</v>
      </c>
      <c r="AV6">
        <v>-1E-3</v>
      </c>
      <c r="AW6" s="16">
        <v>1.4999999999999999E-2</v>
      </c>
      <c r="AX6" s="16">
        <v>-1.4999999999999999E-2</v>
      </c>
    </row>
    <row r="7" spans="1:279" customFormat="1">
      <c r="A7" s="2">
        <v>2</v>
      </c>
      <c r="B7" s="2">
        <v>2.8952800000000001</v>
      </c>
      <c r="C7" s="2">
        <v>0.34190500000000001</v>
      </c>
      <c r="D7" s="2">
        <v>0.35456300000000002</v>
      </c>
      <c r="E7" s="2">
        <v>34.733969850000001</v>
      </c>
      <c r="F7" s="17">
        <f t="shared" ref="F7:F70" si="0">IF(G7="","",G7)</f>
        <v>44244.560335648152</v>
      </c>
      <c r="G7" s="9">
        <v>44244.560335648152</v>
      </c>
      <c r="H7" s="25">
        <v>1</v>
      </c>
      <c r="I7" s="5">
        <v>2.8780000000000001</v>
      </c>
      <c r="J7" s="5">
        <v>0.34150000000000003</v>
      </c>
      <c r="K7" s="5">
        <v>0.35654999999999998</v>
      </c>
      <c r="L7" s="5">
        <v>34.497999999999998</v>
      </c>
      <c r="M7" s="5">
        <v>2</v>
      </c>
      <c r="N7" s="5">
        <v>2.8740000000000001</v>
      </c>
      <c r="O7" s="5">
        <v>0.32884999999999998</v>
      </c>
      <c r="P7" s="5">
        <v>0.34827000000000002</v>
      </c>
      <c r="Q7" s="5">
        <v>34.478000000000002</v>
      </c>
      <c r="R7" s="5">
        <v>3</v>
      </c>
      <c r="S7" s="5">
        <v>2.8719999999999999</v>
      </c>
      <c r="T7" s="5">
        <v>0.30734</v>
      </c>
      <c r="U7" s="5">
        <v>0.32047999999999999</v>
      </c>
      <c r="V7" s="5">
        <v>33.279000000000003</v>
      </c>
      <c r="W7" s="22">
        <f t="shared" ref="W7:W70" si="1">IF(H7="",NA(),I7-VLOOKUP(H7,$A$6:$E$35,2,FALSE))</f>
        <v>-6.2999999999999723E-3</v>
      </c>
      <c r="X7" s="21">
        <f t="shared" ref="X7:X70" si="2">IF(H7="",NA(),J7-VLOOKUP(H7,$A$6:$E$35,3,FALSE))</f>
        <v>-9.1999999999980986E-5</v>
      </c>
      <c r="Y7" s="21">
        <f t="shared" ref="Y7:Y70" si="3">IF(H7="",NA(),K7-VLOOKUP(H7,$A$6:$E$35,4,FALSE))</f>
        <v>2.7959999999999652E-3</v>
      </c>
      <c r="Z7" s="11">
        <f t="shared" ref="Z7:Z70" si="4">IF(H7="",NA(),L7/VLOOKUP(H7,$A$6:$E$35,5,FALSE)-1)</f>
        <v>-1.9768270660631693E-3</v>
      </c>
      <c r="AA7" s="22">
        <f t="shared" ref="AA7:AA70" si="5">IF(M7="",NA(),N7-VLOOKUP(M7,$A$6:$E$35,2,FALSE))</f>
        <v>-2.1279999999999966E-2</v>
      </c>
      <c r="AB7" s="21">
        <f t="shared" ref="AB7:AB70" si="6">IF(M7="",NA(),O7-VLOOKUP(M7,$A$6:$E$35,3,FALSE))</f>
        <v>-1.3055000000000039E-2</v>
      </c>
      <c r="AC7" s="21">
        <f t="shared" ref="AC7:AC70" si="7">IF(M7="",NA(),P7-VLOOKUP(M7,$A$6:$E$35,4,FALSE))</f>
        <v>-6.292999999999993E-3</v>
      </c>
      <c r="AD7" s="11">
        <f t="shared" ref="AD7:AD70" si="8">IF(M7="",NA(),Q7/VLOOKUP(M7,$A$6:$E$35,5,FALSE)-1)</f>
        <v>-7.369438365537162E-3</v>
      </c>
      <c r="AE7" s="22">
        <f t="shared" ref="AE7:AE70" si="9">IF(R7="",NA(),S7-VLOOKUP(R7,$A$6:$E$35,2,FALSE))</f>
        <v>2.9300000000000992E-3</v>
      </c>
      <c r="AF7" s="21">
        <f t="shared" ref="AF7:AF70" si="10">IF(R7="",NA(),T7-VLOOKUP(R7,$A$6:$E$35,3,FALSE))</f>
        <v>-3.4353999999999996E-2</v>
      </c>
      <c r="AG7" s="21">
        <f t="shared" ref="AG7:AG70" si="11">IF(R7="",NA(),U7-VLOOKUP(R7,$A$6:$E$35,4,FALSE))</f>
        <v>-3.5233000000000014E-2</v>
      </c>
      <c r="AH7" s="11">
        <f t="shared" ref="AH7:AH70" si="12">IF(R7="",NA(),V7/VLOOKUP(R7,$A$6:$E$35,5,FALSE)-1)</f>
        <v>-3.6143801409753151E-2</v>
      </c>
      <c r="AI7">
        <v>2.5000000000000001E-2</v>
      </c>
      <c r="AJ7">
        <v>-2.5000000000000001E-2</v>
      </c>
      <c r="AK7">
        <v>1.5E-3</v>
      </c>
      <c r="AL7">
        <v>-1.5E-3</v>
      </c>
      <c r="AM7">
        <v>1.5E-3</v>
      </c>
      <c r="AN7">
        <v>-1.5E-3</v>
      </c>
      <c r="AO7" s="16">
        <v>2.5000000000000001E-2</v>
      </c>
      <c r="AP7" s="16">
        <v>-2.5000000000000001E-2</v>
      </c>
      <c r="AQ7">
        <v>1.4999999999999999E-2</v>
      </c>
      <c r="AR7">
        <v>-1.4999999999999999E-2</v>
      </c>
      <c r="AS7">
        <v>1E-3</v>
      </c>
      <c r="AT7">
        <v>-1E-3</v>
      </c>
      <c r="AU7">
        <v>1E-3</v>
      </c>
      <c r="AV7">
        <v>-1E-3</v>
      </c>
      <c r="AW7" s="16">
        <v>1.4999999999999999E-2</v>
      </c>
      <c r="AX7" s="16">
        <v>-1.4999999999999999E-2</v>
      </c>
    </row>
    <row r="8" spans="1:279" customFormat="1">
      <c r="A8" s="2">
        <v>3</v>
      </c>
      <c r="B8" s="2">
        <v>2.8690699999999998</v>
      </c>
      <c r="C8" s="2">
        <v>0.341694</v>
      </c>
      <c r="D8" s="2">
        <v>0.355713</v>
      </c>
      <c r="E8" s="2">
        <v>34.526934670000003</v>
      </c>
      <c r="F8" s="17">
        <f t="shared" si="0"/>
        <v>44245.718240740738</v>
      </c>
      <c r="G8" s="9">
        <v>44245.718240740738</v>
      </c>
      <c r="H8" s="25">
        <v>1</v>
      </c>
      <c r="I8" s="5">
        <v>2.8780000000000001</v>
      </c>
      <c r="J8" s="5">
        <v>0.34171000000000001</v>
      </c>
      <c r="K8" s="5">
        <v>0.35675000000000001</v>
      </c>
      <c r="L8" s="5">
        <v>34.56</v>
      </c>
      <c r="M8" s="5">
        <v>2</v>
      </c>
      <c r="N8" s="5">
        <v>2.8740000000000001</v>
      </c>
      <c r="O8" s="5">
        <v>0.32897999999999999</v>
      </c>
      <c r="P8" s="5">
        <v>0.34836</v>
      </c>
      <c r="Q8" s="5">
        <v>34.558999999999997</v>
      </c>
      <c r="R8" s="5">
        <v>3</v>
      </c>
      <c r="S8" s="5">
        <v>2.8730000000000002</v>
      </c>
      <c r="T8" s="5">
        <v>0.30748999999999999</v>
      </c>
      <c r="U8" s="5">
        <v>0.32042999999999999</v>
      </c>
      <c r="V8" s="5">
        <v>33.334000000000003</v>
      </c>
      <c r="W8" s="22">
        <f t="shared" si="1"/>
        <v>-6.2999999999999723E-3</v>
      </c>
      <c r="X8" s="21">
        <f t="shared" si="2"/>
        <v>1.1800000000000699E-4</v>
      </c>
      <c r="Y8" s="21">
        <f t="shared" si="3"/>
        <v>2.9959999999999987E-3</v>
      </c>
      <c r="Z8" s="11">
        <f t="shared" si="4"/>
        <v>-1.8317419569657822E-4</v>
      </c>
      <c r="AA8" s="22">
        <f t="shared" si="5"/>
        <v>-2.1279999999999966E-2</v>
      </c>
      <c r="AB8" s="21">
        <f t="shared" si="6"/>
        <v>-1.292500000000002E-2</v>
      </c>
      <c r="AC8" s="21">
        <f t="shared" si="7"/>
        <v>-6.2030000000000141E-3</v>
      </c>
      <c r="AD8" s="11">
        <f t="shared" si="8"/>
        <v>-5.0374273587389107E-3</v>
      </c>
      <c r="AE8" s="22">
        <f t="shared" si="9"/>
        <v>3.9300000000004331E-3</v>
      </c>
      <c r="AF8" s="21">
        <f t="shared" si="10"/>
        <v>-3.4204000000000012E-2</v>
      </c>
      <c r="AG8" s="21">
        <f t="shared" si="11"/>
        <v>-3.5283000000000009E-2</v>
      </c>
      <c r="AH8" s="11">
        <f t="shared" si="12"/>
        <v>-3.4550842158499684E-2</v>
      </c>
      <c r="AI8">
        <v>2.5000000000000001E-2</v>
      </c>
      <c r="AJ8">
        <v>-2.5000000000000001E-2</v>
      </c>
      <c r="AK8">
        <v>1.5E-3</v>
      </c>
      <c r="AL8">
        <v>-1.5E-3</v>
      </c>
      <c r="AM8">
        <v>1.5E-3</v>
      </c>
      <c r="AN8">
        <v>-1.5E-3</v>
      </c>
      <c r="AO8" s="16">
        <v>2.5000000000000001E-2</v>
      </c>
      <c r="AP8" s="16">
        <v>-2.5000000000000001E-2</v>
      </c>
      <c r="AQ8">
        <v>1.4999999999999999E-2</v>
      </c>
      <c r="AR8">
        <v>-1.4999999999999999E-2</v>
      </c>
      <c r="AS8">
        <v>1E-3</v>
      </c>
      <c r="AT8">
        <v>-1E-3</v>
      </c>
      <c r="AU8">
        <v>1E-3</v>
      </c>
      <c r="AV8">
        <v>-1E-3</v>
      </c>
      <c r="AW8" s="16">
        <v>1.4999999999999999E-2</v>
      </c>
      <c r="AX8" s="16">
        <v>-1.4999999999999999E-2</v>
      </c>
      <c r="JS8">
        <v>12.849506578947368</v>
      </c>
    </row>
    <row r="9" spans="1:279" customFormat="1">
      <c r="A9" s="2">
        <v>4</v>
      </c>
      <c r="B9" s="2">
        <v>2.8789099999999999</v>
      </c>
      <c r="C9" s="2">
        <v>0.34135599999999999</v>
      </c>
      <c r="D9" s="2">
        <v>0.35544399999999998</v>
      </c>
      <c r="E9" s="2">
        <v>34.722814069999998</v>
      </c>
      <c r="F9" s="17">
        <f t="shared" si="0"/>
        <v>44246.666979166665</v>
      </c>
      <c r="G9" s="9">
        <v>44246.666979166665</v>
      </c>
      <c r="H9" s="25">
        <v>1</v>
      </c>
      <c r="I9" s="5">
        <v>2.879</v>
      </c>
      <c r="J9" s="5">
        <v>0.34155000000000002</v>
      </c>
      <c r="K9" s="5">
        <v>0.35657</v>
      </c>
      <c r="L9" s="5">
        <v>34.588000000000001</v>
      </c>
      <c r="M9" s="5">
        <v>2</v>
      </c>
      <c r="N9" s="5">
        <v>2.8759999999999999</v>
      </c>
      <c r="O9" s="5">
        <v>0.32901999999999998</v>
      </c>
      <c r="P9" s="5">
        <v>0.34843000000000002</v>
      </c>
      <c r="Q9" s="5">
        <v>34.606999999999999</v>
      </c>
      <c r="R9" s="5">
        <v>3</v>
      </c>
      <c r="S9" s="5">
        <v>2.8740000000000001</v>
      </c>
      <c r="T9" s="5">
        <v>0.30745</v>
      </c>
      <c r="U9" s="5">
        <v>0.32058999999999999</v>
      </c>
      <c r="V9" s="5">
        <v>33.351999999999997</v>
      </c>
      <c r="W9" s="22">
        <f t="shared" si="1"/>
        <v>-5.3000000000000824E-3</v>
      </c>
      <c r="X9" s="21">
        <f t="shared" si="2"/>
        <v>-4.1999999999986493E-5</v>
      </c>
      <c r="Y9" s="21">
        <f t="shared" si="3"/>
        <v>2.8159999999999852E-3</v>
      </c>
      <c r="Z9" s="11">
        <f t="shared" si="4"/>
        <v>6.2686258446897902E-4</v>
      </c>
      <c r="AA9" s="22">
        <f t="shared" si="5"/>
        <v>-1.9280000000000186E-2</v>
      </c>
      <c r="AB9" s="21">
        <f t="shared" si="6"/>
        <v>-1.2885000000000035E-2</v>
      </c>
      <c r="AC9" s="21">
        <f t="shared" si="7"/>
        <v>-6.1329999999999996E-3</v>
      </c>
      <c r="AD9" s="11">
        <f t="shared" si="8"/>
        <v>-3.6554949102658441E-3</v>
      </c>
      <c r="AE9" s="22">
        <f t="shared" si="9"/>
        <v>4.930000000000323E-3</v>
      </c>
      <c r="AF9" s="21">
        <f t="shared" si="10"/>
        <v>-3.4243999999999997E-2</v>
      </c>
      <c r="AG9" s="21">
        <f t="shared" si="11"/>
        <v>-3.5123000000000015E-2</v>
      </c>
      <c r="AH9" s="11">
        <f t="shared" si="12"/>
        <v>-3.402951003990784E-2</v>
      </c>
      <c r="AI9">
        <v>2.5000000000000001E-2</v>
      </c>
      <c r="AJ9">
        <v>-2.5000000000000001E-2</v>
      </c>
      <c r="AK9">
        <v>1.5E-3</v>
      </c>
      <c r="AL9">
        <v>-1.5E-3</v>
      </c>
      <c r="AM9">
        <v>1.5E-3</v>
      </c>
      <c r="AN9">
        <v>-1.5E-3</v>
      </c>
      <c r="AO9" s="16">
        <v>2.5000000000000001E-2</v>
      </c>
      <c r="AP9" s="16">
        <v>-2.5000000000000001E-2</v>
      </c>
      <c r="AQ9">
        <v>1.4999999999999999E-2</v>
      </c>
      <c r="AR9">
        <v>-1.4999999999999999E-2</v>
      </c>
      <c r="AS9">
        <v>1E-3</v>
      </c>
      <c r="AT9">
        <v>-1E-3</v>
      </c>
      <c r="AU9">
        <v>1E-3</v>
      </c>
      <c r="AV9">
        <v>-1E-3</v>
      </c>
      <c r="AW9" s="16">
        <v>1.4999999999999999E-2</v>
      </c>
      <c r="AX9" s="16">
        <v>-1.4999999999999999E-2</v>
      </c>
    </row>
    <row r="10" spans="1:279" customFormat="1">
      <c r="A10" s="2">
        <v>5</v>
      </c>
      <c r="B10" s="2">
        <v>2.8597000000000001</v>
      </c>
      <c r="C10" s="2">
        <v>0.34145799999999998</v>
      </c>
      <c r="D10" s="2">
        <v>0.35542499999999999</v>
      </c>
      <c r="E10" s="2">
        <v>34.602311559999997</v>
      </c>
      <c r="F10" s="17">
        <f t="shared" si="0"/>
        <v>44247.683587962965</v>
      </c>
      <c r="G10" s="9">
        <v>44247.683587962965</v>
      </c>
      <c r="H10" s="25">
        <v>1</v>
      </c>
      <c r="I10" s="5">
        <v>2.879</v>
      </c>
      <c r="J10" s="5">
        <v>0.34157999999999999</v>
      </c>
      <c r="K10" s="5">
        <v>0.35676000000000002</v>
      </c>
      <c r="L10" s="5">
        <v>34.591999999999999</v>
      </c>
      <c r="M10" s="5">
        <v>2</v>
      </c>
      <c r="N10" s="5">
        <v>2.8759999999999999</v>
      </c>
      <c r="O10" s="5">
        <v>0.32905000000000001</v>
      </c>
      <c r="P10" s="5">
        <v>0.34837000000000001</v>
      </c>
      <c r="Q10" s="5">
        <v>34.6</v>
      </c>
      <c r="R10" s="5">
        <v>3</v>
      </c>
      <c r="S10" s="5">
        <v>2.8730000000000002</v>
      </c>
      <c r="T10" s="5">
        <v>0.30736999999999998</v>
      </c>
      <c r="U10" s="5">
        <v>0.32044</v>
      </c>
      <c r="V10" s="5">
        <v>33.351999999999997</v>
      </c>
      <c r="W10" s="22">
        <f t="shared" si="1"/>
        <v>-5.3000000000000824E-3</v>
      </c>
      <c r="X10" s="21">
        <f t="shared" si="2"/>
        <v>-1.2000000000012001E-5</v>
      </c>
      <c r="Y10" s="21">
        <f t="shared" si="3"/>
        <v>3.0060000000000087E-3</v>
      </c>
      <c r="Z10" s="11">
        <f t="shared" si="4"/>
        <v>7.4258212449240801E-4</v>
      </c>
      <c r="AA10" s="22">
        <f t="shared" si="5"/>
        <v>-1.9280000000000186E-2</v>
      </c>
      <c r="AB10" s="21">
        <f t="shared" si="6"/>
        <v>-1.2855000000000005E-2</v>
      </c>
      <c r="AC10" s="21">
        <f t="shared" si="7"/>
        <v>-6.1930000000000041E-3</v>
      </c>
      <c r="AD10" s="11">
        <f t="shared" si="8"/>
        <v>-3.8570267256681223E-3</v>
      </c>
      <c r="AE10" s="22">
        <f t="shared" si="9"/>
        <v>3.9300000000004331E-3</v>
      </c>
      <c r="AF10" s="21">
        <f t="shared" si="10"/>
        <v>-3.4324000000000021E-2</v>
      </c>
      <c r="AG10" s="21">
        <f t="shared" si="11"/>
        <v>-3.5272999999999999E-2</v>
      </c>
      <c r="AH10" s="11">
        <f t="shared" si="12"/>
        <v>-3.402951003990784E-2</v>
      </c>
      <c r="AI10">
        <v>2.5000000000000001E-2</v>
      </c>
      <c r="AJ10">
        <v>-2.5000000000000001E-2</v>
      </c>
      <c r="AK10">
        <v>1.5E-3</v>
      </c>
      <c r="AL10">
        <v>-1.5E-3</v>
      </c>
      <c r="AM10">
        <v>1.5E-3</v>
      </c>
      <c r="AN10">
        <v>-1.5E-3</v>
      </c>
      <c r="AO10" s="16">
        <v>2.5000000000000001E-2</v>
      </c>
      <c r="AP10" s="16">
        <v>-2.5000000000000001E-2</v>
      </c>
      <c r="AQ10">
        <v>1.4999999999999999E-2</v>
      </c>
      <c r="AR10">
        <v>-1.4999999999999999E-2</v>
      </c>
      <c r="AS10">
        <v>1E-3</v>
      </c>
      <c r="AT10">
        <v>-1E-3</v>
      </c>
      <c r="AU10">
        <v>1E-3</v>
      </c>
      <c r="AV10">
        <v>-1E-3</v>
      </c>
      <c r="AW10" s="16">
        <v>1.4999999999999999E-2</v>
      </c>
      <c r="AX10" s="16">
        <v>-1.4999999999999999E-2</v>
      </c>
      <c r="JQ10">
        <v>28.935185185185187</v>
      </c>
    </row>
    <row r="11" spans="1:279" customFormat="1">
      <c r="A11" s="2">
        <v>6</v>
      </c>
      <c r="B11" s="2">
        <v>2.88497</v>
      </c>
      <c r="C11" s="2">
        <v>0.43031900000000001</v>
      </c>
      <c r="D11" s="2">
        <v>0.40244400000000002</v>
      </c>
      <c r="E11" s="2">
        <v>31.399396979999999</v>
      </c>
      <c r="F11" s="17">
        <f t="shared" si="0"/>
        <v>44248.706932870373</v>
      </c>
      <c r="G11" s="9">
        <v>44248.706932870373</v>
      </c>
      <c r="H11" s="25">
        <v>1</v>
      </c>
      <c r="I11" s="5">
        <v>2.88</v>
      </c>
      <c r="J11" s="5">
        <v>0.34153</v>
      </c>
      <c r="K11" s="5">
        <v>0.35672999999999999</v>
      </c>
      <c r="L11" s="5">
        <v>34.600999999999999</v>
      </c>
      <c r="M11" s="5">
        <v>2</v>
      </c>
      <c r="N11" s="5">
        <v>2.8759999999999999</v>
      </c>
      <c r="O11" s="5">
        <v>0.32899</v>
      </c>
      <c r="P11" s="5">
        <v>0.34832999999999997</v>
      </c>
      <c r="Q11" s="5">
        <v>34.615000000000002</v>
      </c>
      <c r="R11" s="5">
        <v>3</v>
      </c>
      <c r="S11" s="5">
        <v>2.8740000000000001</v>
      </c>
      <c r="T11" s="5">
        <v>0.30726999999999999</v>
      </c>
      <c r="U11" s="5">
        <v>0.32035000000000002</v>
      </c>
      <c r="V11" s="5">
        <v>33.329000000000001</v>
      </c>
      <c r="W11" s="22">
        <f t="shared" si="1"/>
        <v>-4.3000000000001926E-3</v>
      </c>
      <c r="X11" s="21">
        <f t="shared" si="2"/>
        <v>-6.2000000000006494E-5</v>
      </c>
      <c r="Y11" s="21">
        <f t="shared" si="3"/>
        <v>2.9759999999999787E-3</v>
      </c>
      <c r="Z11" s="11">
        <f t="shared" si="4"/>
        <v>1.0029510895457339E-3</v>
      </c>
      <c r="AA11" s="22">
        <f t="shared" si="5"/>
        <v>-1.9280000000000186E-2</v>
      </c>
      <c r="AB11" s="21">
        <f t="shared" si="6"/>
        <v>-1.291500000000001E-2</v>
      </c>
      <c r="AC11" s="21">
        <f t="shared" si="7"/>
        <v>-6.2330000000000441E-3</v>
      </c>
      <c r="AD11" s="11">
        <f t="shared" si="8"/>
        <v>-3.4251728355202404E-3</v>
      </c>
      <c r="AE11" s="22">
        <f t="shared" si="9"/>
        <v>4.930000000000323E-3</v>
      </c>
      <c r="AF11" s="21">
        <f t="shared" si="10"/>
        <v>-3.442400000000001E-2</v>
      </c>
      <c r="AG11" s="21">
        <f t="shared" si="11"/>
        <v>-3.5362999999999978E-2</v>
      </c>
      <c r="AH11" s="11">
        <f t="shared" si="12"/>
        <v>-3.4695656635886363E-2</v>
      </c>
      <c r="AI11">
        <v>2.5000000000000001E-2</v>
      </c>
      <c r="AJ11">
        <v>-2.5000000000000001E-2</v>
      </c>
      <c r="AK11">
        <v>1.5E-3</v>
      </c>
      <c r="AL11">
        <v>-1.5E-3</v>
      </c>
      <c r="AM11">
        <v>1.5E-3</v>
      </c>
      <c r="AN11">
        <v>-1.5E-3</v>
      </c>
      <c r="AO11" s="16">
        <v>2.5000000000000001E-2</v>
      </c>
      <c r="AP11" s="16">
        <v>-2.5000000000000001E-2</v>
      </c>
      <c r="AQ11">
        <v>1.4999999999999999E-2</v>
      </c>
      <c r="AR11">
        <v>-1.4999999999999999E-2</v>
      </c>
      <c r="AS11">
        <v>1E-3</v>
      </c>
      <c r="AT11">
        <v>-1E-3</v>
      </c>
      <c r="AU11">
        <v>1E-3</v>
      </c>
      <c r="AV11">
        <v>-1E-3</v>
      </c>
      <c r="AW11" s="16">
        <v>1.4999999999999999E-2</v>
      </c>
      <c r="AX11" s="16">
        <v>-1.4999999999999999E-2</v>
      </c>
      <c r="JR11">
        <v>25.699013157894736</v>
      </c>
    </row>
    <row r="12" spans="1:279" customFormat="1">
      <c r="A12" s="2">
        <v>7</v>
      </c>
      <c r="B12" s="2">
        <v>2.8887499999999999</v>
      </c>
      <c r="C12" s="2">
        <v>0.42726599999999998</v>
      </c>
      <c r="D12" s="2">
        <v>0.39790599999999998</v>
      </c>
      <c r="E12" s="2">
        <v>31.663517590000001</v>
      </c>
      <c r="F12" s="17">
        <f t="shared" si="0"/>
        <v>44249.72859953704</v>
      </c>
      <c r="G12" s="9">
        <v>44249.72859953704</v>
      </c>
      <c r="H12" s="25">
        <v>1</v>
      </c>
      <c r="I12" s="5">
        <v>2.8780000000000001</v>
      </c>
      <c r="J12" s="5">
        <v>0.34159</v>
      </c>
      <c r="K12" s="5">
        <v>0.35666999999999999</v>
      </c>
      <c r="L12" s="5">
        <v>34.557000000000002</v>
      </c>
      <c r="M12" s="5">
        <v>2</v>
      </c>
      <c r="N12" s="5">
        <v>2.8759999999999999</v>
      </c>
      <c r="O12" s="5">
        <v>0.32901999999999998</v>
      </c>
      <c r="P12" s="5">
        <v>0.34839999999999999</v>
      </c>
      <c r="Q12" s="5">
        <v>34.582999999999998</v>
      </c>
      <c r="R12" s="5">
        <v>3</v>
      </c>
      <c r="S12" s="5">
        <v>2.8730000000000002</v>
      </c>
      <c r="T12" s="5">
        <v>0.30745</v>
      </c>
      <c r="U12" s="5">
        <v>0.32047999999999999</v>
      </c>
      <c r="V12" s="5">
        <v>33.328000000000003</v>
      </c>
      <c r="W12" s="22">
        <f t="shared" si="1"/>
        <v>-6.2999999999999723E-3</v>
      </c>
      <c r="X12" s="21">
        <f t="shared" si="2"/>
        <v>-2.0000000000020002E-6</v>
      </c>
      <c r="Y12" s="21">
        <f t="shared" si="3"/>
        <v>2.9159999999999742E-3</v>
      </c>
      <c r="Z12" s="11">
        <f t="shared" si="4"/>
        <v>-2.699638507143165E-4</v>
      </c>
      <c r="AA12" s="22">
        <f t="shared" si="5"/>
        <v>-1.9280000000000186E-2</v>
      </c>
      <c r="AB12" s="21">
        <f t="shared" si="6"/>
        <v>-1.2885000000000035E-2</v>
      </c>
      <c r="AC12" s="21">
        <f t="shared" si="7"/>
        <v>-6.1630000000000296E-3</v>
      </c>
      <c r="AD12" s="11">
        <f t="shared" si="8"/>
        <v>-4.3464611345024329E-3</v>
      </c>
      <c r="AE12" s="22">
        <f t="shared" si="9"/>
        <v>3.9300000000004331E-3</v>
      </c>
      <c r="AF12" s="21">
        <f t="shared" si="10"/>
        <v>-3.4243999999999997E-2</v>
      </c>
      <c r="AG12" s="21">
        <f t="shared" si="11"/>
        <v>-3.5233000000000014E-2</v>
      </c>
      <c r="AH12" s="11">
        <f t="shared" si="12"/>
        <v>-3.4724619531363632E-2</v>
      </c>
      <c r="AI12">
        <v>2.5000000000000001E-2</v>
      </c>
      <c r="AJ12">
        <v>-2.5000000000000001E-2</v>
      </c>
      <c r="AK12">
        <v>1.5E-3</v>
      </c>
      <c r="AL12">
        <v>-1.5E-3</v>
      </c>
      <c r="AM12">
        <v>1.5E-3</v>
      </c>
      <c r="AN12">
        <v>-1.5E-3</v>
      </c>
      <c r="AO12" s="16">
        <v>2.5000000000000001E-2</v>
      </c>
      <c r="AP12" s="16">
        <v>-2.5000000000000001E-2</v>
      </c>
      <c r="AQ12">
        <v>1.4999999999999999E-2</v>
      </c>
      <c r="AR12">
        <v>-1.4999999999999999E-2</v>
      </c>
      <c r="AS12">
        <v>1E-3</v>
      </c>
      <c r="AT12">
        <v>-1E-3</v>
      </c>
      <c r="AU12">
        <v>1E-3</v>
      </c>
      <c r="AV12">
        <v>-1E-3</v>
      </c>
      <c r="AW12" s="16">
        <v>1.4999999999999999E-2</v>
      </c>
      <c r="AX12" s="16">
        <v>-1.4999999999999999E-2</v>
      </c>
      <c r="JP12">
        <v>25.699013157894736</v>
      </c>
      <c r="JR12">
        <v>12.849506578947368</v>
      </c>
      <c r="JS12">
        <v>12.849506578947368</v>
      </c>
    </row>
    <row r="13" spans="1:279" customFormat="1">
      <c r="A13" s="2">
        <v>8</v>
      </c>
      <c r="B13" s="2">
        <v>2.8693499999999998</v>
      </c>
      <c r="C13" s="2">
        <v>0.43140400000000001</v>
      </c>
      <c r="D13" s="2">
        <v>0.40443899999999999</v>
      </c>
      <c r="E13" s="2">
        <v>31.60703518</v>
      </c>
      <c r="F13" s="17">
        <f t="shared" si="0"/>
        <v>44250.719826388886</v>
      </c>
      <c r="G13" s="9">
        <v>44250.719826388886</v>
      </c>
      <c r="H13" s="25">
        <v>1</v>
      </c>
      <c r="I13" s="5">
        <v>2.8780000000000001</v>
      </c>
      <c r="J13" s="2">
        <v>0.34167999999999998</v>
      </c>
      <c r="K13" s="5">
        <v>0.35675000000000001</v>
      </c>
      <c r="L13" s="5">
        <v>34.54</v>
      </c>
      <c r="M13" s="5">
        <v>2</v>
      </c>
      <c r="N13" s="5">
        <v>2.875</v>
      </c>
      <c r="O13" s="2">
        <v>0.32906999999999997</v>
      </c>
      <c r="P13" s="5">
        <v>0.34832000000000002</v>
      </c>
      <c r="Q13" s="5">
        <v>34.545000000000002</v>
      </c>
      <c r="R13" s="5">
        <v>3</v>
      </c>
      <c r="S13" s="5">
        <v>2.8730000000000002</v>
      </c>
      <c r="T13" s="2">
        <v>0.30754999999999999</v>
      </c>
      <c r="U13" s="5">
        <v>0.32052000000000003</v>
      </c>
      <c r="V13" s="5">
        <v>33.295000000000002</v>
      </c>
      <c r="W13" s="22">
        <f t="shared" si="1"/>
        <v>-6.2999999999999723E-3</v>
      </c>
      <c r="X13" s="21">
        <f t="shared" si="2"/>
        <v>8.7999999999976986E-5</v>
      </c>
      <c r="Y13" s="21">
        <f t="shared" si="3"/>
        <v>2.9959999999999987E-3</v>
      </c>
      <c r="Z13" s="11">
        <f t="shared" si="4"/>
        <v>-7.617718958148334E-4</v>
      </c>
      <c r="AA13" s="22">
        <f t="shared" si="5"/>
        <v>-2.0280000000000076E-2</v>
      </c>
      <c r="AB13" s="21">
        <f t="shared" si="6"/>
        <v>-1.2835000000000041E-2</v>
      </c>
      <c r="AC13" s="21">
        <f t="shared" si="7"/>
        <v>-6.2429999999999986E-3</v>
      </c>
      <c r="AD13" s="11">
        <f t="shared" si="8"/>
        <v>-5.4404909895434672E-3</v>
      </c>
      <c r="AE13" s="22">
        <f t="shared" si="9"/>
        <v>3.9300000000004331E-3</v>
      </c>
      <c r="AF13" s="21">
        <f t="shared" si="10"/>
        <v>-3.4144000000000008E-2</v>
      </c>
      <c r="AG13" s="21">
        <f t="shared" si="11"/>
        <v>-3.5192999999999974E-2</v>
      </c>
      <c r="AH13" s="11">
        <f t="shared" si="12"/>
        <v>-3.5680395082115735E-2</v>
      </c>
      <c r="AI13">
        <v>2.5000000000000001E-2</v>
      </c>
      <c r="AJ13">
        <v>-2.5000000000000001E-2</v>
      </c>
      <c r="AK13">
        <v>1.5E-3</v>
      </c>
      <c r="AL13">
        <v>-1.5E-3</v>
      </c>
      <c r="AM13">
        <v>1.5E-3</v>
      </c>
      <c r="AN13">
        <v>-1.5E-3</v>
      </c>
      <c r="AO13" s="16">
        <v>2.5000000000000001E-2</v>
      </c>
      <c r="AP13" s="16">
        <v>-2.5000000000000001E-2</v>
      </c>
      <c r="AQ13">
        <v>1.4999999999999999E-2</v>
      </c>
      <c r="AR13">
        <v>-1.4999999999999999E-2</v>
      </c>
      <c r="AS13">
        <v>1E-3</v>
      </c>
      <c r="AT13">
        <v>-1E-3</v>
      </c>
      <c r="AU13">
        <v>1E-3</v>
      </c>
      <c r="AV13">
        <v>-1E-3</v>
      </c>
      <c r="AW13" s="16">
        <v>1.4999999999999999E-2</v>
      </c>
      <c r="AX13" s="16">
        <v>-1.4999999999999999E-2</v>
      </c>
    </row>
    <row r="14" spans="1:279" customFormat="1">
      <c r="A14" s="2">
        <v>9</v>
      </c>
      <c r="B14" s="2">
        <v>2.8942399999999999</v>
      </c>
      <c r="C14" s="2">
        <v>0.43079299999999998</v>
      </c>
      <c r="D14" s="2">
        <v>0.40371499999999999</v>
      </c>
      <c r="E14" s="2">
        <v>31.996482409999999</v>
      </c>
      <c r="F14" s="17">
        <f t="shared" si="0"/>
        <v>44251.677916666667</v>
      </c>
      <c r="G14" s="9">
        <v>44251.677916666667</v>
      </c>
      <c r="H14" s="25">
        <v>1</v>
      </c>
      <c r="I14" s="5">
        <v>2.879</v>
      </c>
      <c r="J14" s="5">
        <v>0.34147</v>
      </c>
      <c r="K14" s="5">
        <v>0.35664000000000001</v>
      </c>
      <c r="L14" s="5">
        <v>34.578000000000003</v>
      </c>
      <c r="M14" s="5">
        <v>2</v>
      </c>
      <c r="N14" s="5">
        <v>2.875</v>
      </c>
      <c r="O14" s="5">
        <v>0.32897999999999999</v>
      </c>
      <c r="P14" s="5">
        <v>0.34842000000000001</v>
      </c>
      <c r="Q14" s="5">
        <v>34.621000000000002</v>
      </c>
      <c r="R14" s="5">
        <v>3</v>
      </c>
      <c r="S14" s="5">
        <v>2.8719999999999999</v>
      </c>
      <c r="T14" s="5">
        <v>0.3075</v>
      </c>
      <c r="U14" s="5">
        <v>0.32047999999999999</v>
      </c>
      <c r="V14" s="5">
        <v>33.356999999999999</v>
      </c>
      <c r="W14" s="22">
        <f t="shared" si="1"/>
        <v>-5.3000000000000824E-3</v>
      </c>
      <c r="X14" s="21">
        <f t="shared" si="2"/>
        <v>-1.2200000000001099E-4</v>
      </c>
      <c r="Y14" s="21">
        <f t="shared" si="3"/>
        <v>2.8859999999999997E-3</v>
      </c>
      <c r="Z14" s="11">
        <f t="shared" si="4"/>
        <v>3.3756373440985143E-4</v>
      </c>
      <c r="AA14" s="22">
        <f t="shared" si="5"/>
        <v>-2.0280000000000076E-2</v>
      </c>
      <c r="AB14" s="21">
        <f t="shared" si="6"/>
        <v>-1.292500000000002E-2</v>
      </c>
      <c r="AC14" s="21">
        <f t="shared" si="7"/>
        <v>-6.1430000000000096E-3</v>
      </c>
      <c r="AD14" s="11">
        <f t="shared" si="8"/>
        <v>-3.2524312794610655E-3</v>
      </c>
      <c r="AE14" s="22">
        <f t="shared" si="9"/>
        <v>2.9300000000000992E-3</v>
      </c>
      <c r="AF14" s="21">
        <f t="shared" si="10"/>
        <v>-3.4194000000000002E-2</v>
      </c>
      <c r="AG14" s="21">
        <f t="shared" si="11"/>
        <v>-3.5233000000000014E-2</v>
      </c>
      <c r="AH14" s="11">
        <f t="shared" si="12"/>
        <v>-3.388469556252105E-2</v>
      </c>
      <c r="AI14">
        <v>2.5000000000000001E-2</v>
      </c>
      <c r="AJ14">
        <v>-2.5000000000000001E-2</v>
      </c>
      <c r="AK14">
        <v>1.5E-3</v>
      </c>
      <c r="AL14">
        <v>-1.5E-3</v>
      </c>
      <c r="AM14">
        <v>1.5E-3</v>
      </c>
      <c r="AN14">
        <v>-1.5E-3</v>
      </c>
      <c r="AO14" s="16">
        <v>2.5000000000000001E-2</v>
      </c>
      <c r="AP14" s="16">
        <v>-2.5000000000000001E-2</v>
      </c>
      <c r="AQ14">
        <v>1.4999999999999999E-2</v>
      </c>
      <c r="AR14">
        <v>-1.4999999999999999E-2</v>
      </c>
      <c r="AS14">
        <v>1E-3</v>
      </c>
      <c r="AT14">
        <v>-1E-3</v>
      </c>
      <c r="AU14">
        <v>1E-3</v>
      </c>
      <c r="AV14">
        <v>-1E-3</v>
      </c>
      <c r="AW14" s="16">
        <v>1.4999999999999999E-2</v>
      </c>
      <c r="AX14" s="16">
        <v>-1.4999999999999999E-2</v>
      </c>
    </row>
    <row r="15" spans="1:279" customFormat="1">
      <c r="A15" s="2">
        <v>10</v>
      </c>
      <c r="B15" s="2">
        <v>2.8869500000000001</v>
      </c>
      <c r="C15" s="2">
        <v>0.42944900000000003</v>
      </c>
      <c r="D15" s="2">
        <v>0.40253299999999997</v>
      </c>
      <c r="E15" s="2">
        <v>31.81939698</v>
      </c>
      <c r="F15" s="17">
        <f t="shared" si="0"/>
        <v>44252.769571759258</v>
      </c>
      <c r="G15" s="9">
        <v>44252.769571759258</v>
      </c>
      <c r="H15" s="25">
        <v>1</v>
      </c>
      <c r="I15" s="5">
        <v>2.88</v>
      </c>
      <c r="J15" s="5">
        <v>0.34156999999999998</v>
      </c>
      <c r="K15" s="5">
        <v>0.35653000000000001</v>
      </c>
      <c r="L15" s="5">
        <v>34.652000000000001</v>
      </c>
      <c r="M15" s="5">
        <v>2</v>
      </c>
      <c r="N15" s="5">
        <v>2.8759999999999999</v>
      </c>
      <c r="O15" s="5">
        <v>0.32882</v>
      </c>
      <c r="P15" s="5">
        <v>0.34827000000000002</v>
      </c>
      <c r="Q15" s="5">
        <v>34.661000000000001</v>
      </c>
      <c r="R15" s="5">
        <v>3</v>
      </c>
      <c r="S15" s="5">
        <v>2.8740000000000001</v>
      </c>
      <c r="T15" s="5">
        <v>0.30740000000000001</v>
      </c>
      <c r="U15" s="5">
        <v>0.32052999999999998</v>
      </c>
      <c r="V15" s="5">
        <v>33.423999999999999</v>
      </c>
      <c r="W15" s="22">
        <f t="shared" si="1"/>
        <v>-4.3000000000001926E-3</v>
      </c>
      <c r="X15" s="21">
        <f t="shared" si="2"/>
        <v>-2.2000000000022002E-5</v>
      </c>
      <c r="Y15" s="21">
        <f t="shared" si="3"/>
        <v>2.7760000000000007E-3</v>
      </c>
      <c r="Z15" s="11">
        <f t="shared" si="4"/>
        <v>2.4783752248471735E-3</v>
      </c>
      <c r="AA15" s="22">
        <f t="shared" si="5"/>
        <v>-1.9280000000000186E-2</v>
      </c>
      <c r="AB15" s="21">
        <f t="shared" si="6"/>
        <v>-1.3085000000000013E-2</v>
      </c>
      <c r="AC15" s="21">
        <f t="shared" si="7"/>
        <v>-6.292999999999993E-3</v>
      </c>
      <c r="AD15" s="11">
        <f t="shared" si="8"/>
        <v>-2.1008209057336025E-3</v>
      </c>
      <c r="AE15" s="22">
        <f t="shared" si="9"/>
        <v>4.930000000000323E-3</v>
      </c>
      <c r="AF15" s="21">
        <f t="shared" si="10"/>
        <v>-3.4293999999999991E-2</v>
      </c>
      <c r="AG15" s="21">
        <f t="shared" si="11"/>
        <v>-3.518300000000002E-2</v>
      </c>
      <c r="AH15" s="11">
        <f t="shared" si="12"/>
        <v>-3.1944181565539576E-2</v>
      </c>
      <c r="AI15">
        <v>2.5000000000000001E-2</v>
      </c>
      <c r="AJ15">
        <v>-2.5000000000000001E-2</v>
      </c>
      <c r="AK15">
        <v>1.5E-3</v>
      </c>
      <c r="AL15">
        <v>-1.5E-3</v>
      </c>
      <c r="AM15">
        <v>1.5E-3</v>
      </c>
      <c r="AN15">
        <v>-1.5E-3</v>
      </c>
      <c r="AO15" s="16">
        <v>2.5000000000000001E-2</v>
      </c>
      <c r="AP15" s="16">
        <v>-2.5000000000000001E-2</v>
      </c>
      <c r="AQ15">
        <v>1.4999999999999999E-2</v>
      </c>
      <c r="AR15">
        <v>-1.4999999999999999E-2</v>
      </c>
      <c r="AS15">
        <v>1E-3</v>
      </c>
      <c r="AT15">
        <v>-1E-3</v>
      </c>
      <c r="AU15">
        <v>1E-3</v>
      </c>
      <c r="AV15">
        <v>-1E-3</v>
      </c>
      <c r="AW15" s="16">
        <v>1.4999999999999999E-2</v>
      </c>
      <c r="AX15" s="16">
        <v>-1.4999999999999999E-2</v>
      </c>
      <c r="JS15">
        <v>30.502684236212787</v>
      </c>
    </row>
    <row r="16" spans="1:279" customFormat="1">
      <c r="A16" s="2">
        <v>11</v>
      </c>
      <c r="B16" s="2">
        <v>2.86632</v>
      </c>
      <c r="C16" s="2">
        <v>0.32956200000000002</v>
      </c>
      <c r="D16" s="2">
        <v>0.34755399999999997</v>
      </c>
      <c r="E16" s="2">
        <v>34.737989949999999</v>
      </c>
      <c r="F16" s="17">
        <f t="shared" si="0"/>
        <v>44253.65388888889</v>
      </c>
      <c r="G16" s="9">
        <v>44253.65388888889</v>
      </c>
      <c r="H16" s="25">
        <v>1</v>
      </c>
      <c r="I16" s="5">
        <v>2.8780000000000001</v>
      </c>
      <c r="J16" s="5">
        <v>0.34159</v>
      </c>
      <c r="K16" s="5">
        <v>0.35660999999999998</v>
      </c>
      <c r="L16" s="5">
        <v>34.619999999999997</v>
      </c>
      <c r="M16" s="5">
        <v>2</v>
      </c>
      <c r="N16" s="5">
        <v>2.8740000000000001</v>
      </c>
      <c r="O16" s="5">
        <v>0.32884999999999998</v>
      </c>
      <c r="P16" s="5">
        <v>0.34838000000000002</v>
      </c>
      <c r="Q16" s="5">
        <v>34.601999999999997</v>
      </c>
      <c r="R16" s="5">
        <v>3</v>
      </c>
      <c r="S16" s="5">
        <v>2.8719999999999999</v>
      </c>
      <c r="T16" s="5">
        <v>0.30745</v>
      </c>
      <c r="U16" s="5">
        <v>0.32049</v>
      </c>
      <c r="V16" s="5">
        <v>33.392000000000003</v>
      </c>
      <c r="W16" s="22">
        <f t="shared" si="1"/>
        <v>-6.2999999999999723E-3</v>
      </c>
      <c r="X16" s="21">
        <f t="shared" si="2"/>
        <v>-2.0000000000020002E-6</v>
      </c>
      <c r="Y16" s="21">
        <f t="shared" si="3"/>
        <v>2.8559999999999697E-3</v>
      </c>
      <c r="Z16" s="11">
        <f t="shared" si="4"/>
        <v>1.5526189046579653E-3</v>
      </c>
      <c r="AA16" s="22">
        <f t="shared" si="5"/>
        <v>-2.1279999999999966E-2</v>
      </c>
      <c r="AB16" s="21">
        <f t="shared" si="6"/>
        <v>-1.3055000000000039E-2</v>
      </c>
      <c r="AC16" s="21">
        <f t="shared" si="7"/>
        <v>-6.1829999999999941E-3</v>
      </c>
      <c r="AD16" s="11">
        <f t="shared" si="8"/>
        <v>-3.7994462069818047E-3</v>
      </c>
      <c r="AE16" s="22">
        <f t="shared" si="9"/>
        <v>2.9300000000000992E-3</v>
      </c>
      <c r="AF16" s="21">
        <f t="shared" si="10"/>
        <v>-3.4243999999999997E-2</v>
      </c>
      <c r="AG16" s="21">
        <f t="shared" si="11"/>
        <v>-3.5223000000000004E-2</v>
      </c>
      <c r="AH16" s="11">
        <f t="shared" si="12"/>
        <v>-3.2870994220814187E-2</v>
      </c>
      <c r="AI16">
        <v>2.5000000000000001E-2</v>
      </c>
      <c r="AJ16">
        <v>-2.5000000000000001E-2</v>
      </c>
      <c r="AK16">
        <v>1.5E-3</v>
      </c>
      <c r="AL16">
        <v>-1.5E-3</v>
      </c>
      <c r="AM16">
        <v>1.5E-3</v>
      </c>
      <c r="AN16">
        <v>-1.5E-3</v>
      </c>
      <c r="AO16" s="16">
        <v>2.5000000000000001E-2</v>
      </c>
      <c r="AP16" s="16">
        <v>-2.5000000000000001E-2</v>
      </c>
      <c r="AQ16">
        <v>1.4999999999999999E-2</v>
      </c>
      <c r="AR16">
        <v>-1.4999999999999999E-2</v>
      </c>
      <c r="AS16">
        <v>1E-3</v>
      </c>
      <c r="AT16">
        <v>-1E-3</v>
      </c>
      <c r="AU16">
        <v>1E-3</v>
      </c>
      <c r="AV16">
        <v>-1E-3</v>
      </c>
      <c r="AW16" s="16">
        <v>1.4999999999999999E-2</v>
      </c>
      <c r="AX16" s="16">
        <v>-1.4999999999999999E-2</v>
      </c>
      <c r="JP16">
        <v>30.502684236212787</v>
      </c>
      <c r="JQ16">
        <v>28.935185185185187</v>
      </c>
    </row>
    <row r="17" spans="1:279" customFormat="1">
      <c r="A17" s="2">
        <v>12</v>
      </c>
      <c r="B17" s="2">
        <v>2.8870499999999999</v>
      </c>
      <c r="C17" s="2">
        <v>0.32815800000000001</v>
      </c>
      <c r="D17" s="2">
        <v>0.34698099999999998</v>
      </c>
      <c r="E17" s="2">
        <v>34.565125629999997</v>
      </c>
      <c r="F17" s="17" t="str">
        <f t="shared" si="0"/>
        <v/>
      </c>
      <c r="G17" s="9"/>
      <c r="H17" s="25">
        <v>1</v>
      </c>
      <c r="I17" s="5"/>
      <c r="J17" s="5"/>
      <c r="K17" s="5"/>
      <c r="L17" s="5"/>
      <c r="M17" s="5">
        <v>2</v>
      </c>
      <c r="N17" s="5"/>
      <c r="O17" s="5"/>
      <c r="P17" s="5"/>
      <c r="Q17" s="5"/>
      <c r="R17" s="5">
        <v>3</v>
      </c>
      <c r="S17" s="5"/>
      <c r="T17" s="5"/>
      <c r="U17" s="5"/>
      <c r="V17" s="5"/>
      <c r="W17" s="22">
        <f t="shared" si="1"/>
        <v>-2.8843000000000001</v>
      </c>
      <c r="X17" s="21">
        <f t="shared" si="2"/>
        <v>-0.34159200000000001</v>
      </c>
      <c r="Y17" s="21">
        <f t="shared" si="3"/>
        <v>-0.35375400000000001</v>
      </c>
      <c r="Z17" s="11">
        <f t="shared" si="4"/>
        <v>-1</v>
      </c>
      <c r="AA17" s="22">
        <f t="shared" si="5"/>
        <v>-2.8952800000000001</v>
      </c>
      <c r="AB17" s="21">
        <f t="shared" si="6"/>
        <v>-0.34190500000000001</v>
      </c>
      <c r="AC17" s="21">
        <f t="shared" si="7"/>
        <v>-0.35456300000000002</v>
      </c>
      <c r="AD17" s="11">
        <f t="shared" si="8"/>
        <v>-1</v>
      </c>
      <c r="AE17" s="22">
        <f t="shared" si="9"/>
        <v>-2.8690699999999998</v>
      </c>
      <c r="AF17" s="21">
        <f t="shared" si="10"/>
        <v>-0.341694</v>
      </c>
      <c r="AG17" s="21">
        <f t="shared" si="11"/>
        <v>-0.355713</v>
      </c>
      <c r="AH17" s="11">
        <f t="shared" si="12"/>
        <v>-1</v>
      </c>
      <c r="AI17">
        <v>2.5000000000000001E-2</v>
      </c>
      <c r="AJ17">
        <v>-2.5000000000000001E-2</v>
      </c>
      <c r="AK17">
        <v>1.5E-3</v>
      </c>
      <c r="AL17">
        <v>-1.5E-3</v>
      </c>
      <c r="AM17">
        <v>1.5E-3</v>
      </c>
      <c r="AN17">
        <v>-1.5E-3</v>
      </c>
      <c r="AO17" s="16">
        <v>2.5000000000000001E-2</v>
      </c>
      <c r="AP17" s="16">
        <v>-2.5000000000000001E-2</v>
      </c>
      <c r="AQ17">
        <v>1.4999999999999999E-2</v>
      </c>
      <c r="AR17">
        <v>-1.4999999999999999E-2</v>
      </c>
      <c r="AS17">
        <v>1E-3</v>
      </c>
      <c r="AT17">
        <v>-1E-3</v>
      </c>
      <c r="AU17">
        <v>1E-3</v>
      </c>
      <c r="AV17">
        <v>-1E-3</v>
      </c>
      <c r="AW17" s="16">
        <v>1.4999999999999999E-2</v>
      </c>
      <c r="AX17" s="16">
        <v>-1.4999999999999999E-2</v>
      </c>
    </row>
    <row r="18" spans="1:279" customFormat="1">
      <c r="A18" s="2">
        <v>13</v>
      </c>
      <c r="B18" s="2">
        <v>2.8963199999999998</v>
      </c>
      <c r="C18" s="2">
        <v>0.32584800000000003</v>
      </c>
      <c r="D18" s="2">
        <v>0.343723</v>
      </c>
      <c r="E18" s="2">
        <v>34.687236179999999</v>
      </c>
      <c r="F18" s="17" t="str">
        <f t="shared" si="0"/>
        <v/>
      </c>
      <c r="G18" s="9"/>
      <c r="H18" s="25">
        <v>1</v>
      </c>
      <c r="I18" s="5"/>
      <c r="J18" s="5"/>
      <c r="K18" s="5"/>
      <c r="L18" s="5"/>
      <c r="M18" s="5">
        <v>2</v>
      </c>
      <c r="N18" s="5"/>
      <c r="O18" s="5"/>
      <c r="P18" s="5"/>
      <c r="Q18" s="5"/>
      <c r="R18" s="5">
        <v>3</v>
      </c>
      <c r="S18" s="5"/>
      <c r="T18" s="5"/>
      <c r="U18" s="5"/>
      <c r="V18" s="5"/>
      <c r="W18" s="22">
        <f t="shared" si="1"/>
        <v>-2.8843000000000001</v>
      </c>
      <c r="X18" s="21">
        <f t="shared" si="2"/>
        <v>-0.34159200000000001</v>
      </c>
      <c r="Y18" s="21">
        <f t="shared" si="3"/>
        <v>-0.35375400000000001</v>
      </c>
      <c r="Z18" s="11">
        <f t="shared" si="4"/>
        <v>-1</v>
      </c>
      <c r="AA18" s="22">
        <f t="shared" si="5"/>
        <v>-2.8952800000000001</v>
      </c>
      <c r="AB18" s="21">
        <f t="shared" si="6"/>
        <v>-0.34190500000000001</v>
      </c>
      <c r="AC18" s="21">
        <f t="shared" si="7"/>
        <v>-0.35456300000000002</v>
      </c>
      <c r="AD18" s="11">
        <f t="shared" si="8"/>
        <v>-1</v>
      </c>
      <c r="AE18" s="22">
        <f t="shared" si="9"/>
        <v>-2.8690699999999998</v>
      </c>
      <c r="AF18" s="21">
        <f t="shared" si="10"/>
        <v>-0.341694</v>
      </c>
      <c r="AG18" s="21">
        <f t="shared" si="11"/>
        <v>-0.355713</v>
      </c>
      <c r="AH18" s="11">
        <f t="shared" si="12"/>
        <v>-1</v>
      </c>
      <c r="AI18">
        <v>2.5000000000000001E-2</v>
      </c>
      <c r="AJ18">
        <v>-2.5000000000000001E-2</v>
      </c>
      <c r="AK18">
        <v>1.5E-3</v>
      </c>
      <c r="AL18">
        <v>-1.5E-3</v>
      </c>
      <c r="AM18">
        <v>1.5E-3</v>
      </c>
      <c r="AN18">
        <v>-1.5E-3</v>
      </c>
      <c r="AO18" s="16">
        <v>2.5000000000000001E-2</v>
      </c>
      <c r="AP18" s="16">
        <v>-2.5000000000000001E-2</v>
      </c>
      <c r="AQ18">
        <v>1.4999999999999999E-2</v>
      </c>
      <c r="AR18">
        <v>-1.4999999999999999E-2</v>
      </c>
      <c r="AS18">
        <v>1E-3</v>
      </c>
      <c r="AT18">
        <v>-1E-3</v>
      </c>
      <c r="AU18">
        <v>1E-3</v>
      </c>
      <c r="AV18">
        <v>-1E-3</v>
      </c>
      <c r="AW18" s="16">
        <v>1.4999999999999999E-2</v>
      </c>
      <c r="AX18" s="16">
        <v>-1.4999999999999999E-2</v>
      </c>
      <c r="JQ18">
        <v>24.187306501547987</v>
      </c>
      <c r="JR18">
        <v>27.64263600176913</v>
      </c>
      <c r="JS18">
        <v>24.187306501547987</v>
      </c>
    </row>
    <row r="19" spans="1:279" customFormat="1">
      <c r="A19" s="2">
        <v>14</v>
      </c>
      <c r="B19" s="2">
        <v>2.87418</v>
      </c>
      <c r="C19" s="2">
        <v>0.32759199999999999</v>
      </c>
      <c r="D19" s="2">
        <v>0.34525</v>
      </c>
      <c r="E19" s="2">
        <v>34.62231156</v>
      </c>
      <c r="F19" s="17" t="str">
        <f t="shared" si="0"/>
        <v/>
      </c>
      <c r="G19" s="9"/>
      <c r="H19" s="25">
        <v>1</v>
      </c>
      <c r="I19" s="5"/>
      <c r="J19" s="5"/>
      <c r="K19" s="5"/>
      <c r="L19" s="5"/>
      <c r="M19" s="5">
        <v>2</v>
      </c>
      <c r="N19" s="5"/>
      <c r="O19" s="5"/>
      <c r="P19" s="5"/>
      <c r="Q19" s="5"/>
      <c r="R19" s="5">
        <v>3</v>
      </c>
      <c r="S19" s="5"/>
      <c r="T19" s="5"/>
      <c r="U19" s="5"/>
      <c r="V19" s="5"/>
      <c r="W19" s="22">
        <f t="shared" si="1"/>
        <v>-2.8843000000000001</v>
      </c>
      <c r="X19" s="21">
        <f t="shared" si="2"/>
        <v>-0.34159200000000001</v>
      </c>
      <c r="Y19" s="21">
        <f t="shared" si="3"/>
        <v>-0.35375400000000001</v>
      </c>
      <c r="Z19" s="11">
        <f t="shared" si="4"/>
        <v>-1</v>
      </c>
      <c r="AA19" s="22">
        <f t="shared" si="5"/>
        <v>-2.8952800000000001</v>
      </c>
      <c r="AB19" s="21">
        <f t="shared" si="6"/>
        <v>-0.34190500000000001</v>
      </c>
      <c r="AC19" s="21">
        <f t="shared" si="7"/>
        <v>-0.35456300000000002</v>
      </c>
      <c r="AD19" s="11">
        <f t="shared" si="8"/>
        <v>-1</v>
      </c>
      <c r="AE19" s="22">
        <f t="shared" si="9"/>
        <v>-2.8690699999999998</v>
      </c>
      <c r="AF19" s="21">
        <f t="shared" si="10"/>
        <v>-0.341694</v>
      </c>
      <c r="AG19" s="21">
        <f t="shared" si="11"/>
        <v>-0.355713</v>
      </c>
      <c r="AH19" s="11">
        <f t="shared" si="12"/>
        <v>-1</v>
      </c>
      <c r="AI19">
        <v>2.5000000000000001E-2</v>
      </c>
      <c r="AJ19">
        <v>-2.5000000000000001E-2</v>
      </c>
      <c r="AK19">
        <v>1.5E-3</v>
      </c>
      <c r="AL19">
        <v>-1.5E-3</v>
      </c>
      <c r="AM19">
        <v>1.5E-3</v>
      </c>
      <c r="AN19">
        <v>-1.5E-3</v>
      </c>
      <c r="AO19" s="16">
        <v>2.5000000000000001E-2</v>
      </c>
      <c r="AP19" s="16">
        <v>-2.5000000000000001E-2</v>
      </c>
      <c r="AQ19">
        <v>1.4999999999999999E-2</v>
      </c>
      <c r="AR19">
        <v>-1.4999999999999999E-2</v>
      </c>
      <c r="AS19">
        <v>1E-3</v>
      </c>
      <c r="AT19">
        <v>-1E-3</v>
      </c>
      <c r="AU19">
        <v>1E-3</v>
      </c>
      <c r="AV19">
        <v>-1E-3</v>
      </c>
      <c r="AW19" s="16">
        <v>1.4999999999999999E-2</v>
      </c>
      <c r="AX19" s="16">
        <v>-1.4999999999999999E-2</v>
      </c>
    </row>
    <row r="20" spans="1:279" customFormat="1">
      <c r="A20" s="2">
        <v>15</v>
      </c>
      <c r="B20" s="2">
        <v>2.87825</v>
      </c>
      <c r="C20" s="2">
        <v>0.329073</v>
      </c>
      <c r="D20" s="2">
        <v>0.346609</v>
      </c>
      <c r="E20" s="2">
        <v>34.687437189999997</v>
      </c>
      <c r="F20" s="17" t="str">
        <f t="shared" si="0"/>
        <v/>
      </c>
      <c r="G20" s="9"/>
      <c r="H20" s="25">
        <v>1</v>
      </c>
      <c r="I20" s="5"/>
      <c r="J20" s="5"/>
      <c r="K20" s="5"/>
      <c r="L20" s="5"/>
      <c r="M20" s="5">
        <v>2</v>
      </c>
      <c r="N20" s="5"/>
      <c r="O20" s="5"/>
      <c r="P20" s="5"/>
      <c r="Q20" s="5"/>
      <c r="R20" s="5">
        <v>3</v>
      </c>
      <c r="S20" s="5"/>
      <c r="T20" s="5"/>
      <c r="U20" s="5"/>
      <c r="V20" s="5"/>
      <c r="W20" s="22">
        <f t="shared" si="1"/>
        <v>-2.8843000000000001</v>
      </c>
      <c r="X20" s="21">
        <f t="shared" si="2"/>
        <v>-0.34159200000000001</v>
      </c>
      <c r="Y20" s="21">
        <f t="shared" si="3"/>
        <v>-0.35375400000000001</v>
      </c>
      <c r="Z20" s="11">
        <f t="shared" si="4"/>
        <v>-1</v>
      </c>
      <c r="AA20" s="22">
        <f t="shared" si="5"/>
        <v>-2.8952800000000001</v>
      </c>
      <c r="AB20" s="21">
        <f t="shared" si="6"/>
        <v>-0.34190500000000001</v>
      </c>
      <c r="AC20" s="21">
        <f t="shared" si="7"/>
        <v>-0.35456300000000002</v>
      </c>
      <c r="AD20" s="11">
        <f t="shared" si="8"/>
        <v>-1</v>
      </c>
      <c r="AE20" s="22">
        <f t="shared" si="9"/>
        <v>-2.8690699999999998</v>
      </c>
      <c r="AF20" s="21">
        <f t="shared" si="10"/>
        <v>-0.341694</v>
      </c>
      <c r="AG20" s="21">
        <f t="shared" si="11"/>
        <v>-0.355713</v>
      </c>
      <c r="AH20" s="11">
        <f t="shared" si="12"/>
        <v>-1</v>
      </c>
      <c r="AI20">
        <v>2.5000000000000001E-2</v>
      </c>
      <c r="AJ20">
        <v>-2.5000000000000001E-2</v>
      </c>
      <c r="AK20">
        <v>1.5E-3</v>
      </c>
      <c r="AL20">
        <v>-1.5E-3</v>
      </c>
      <c r="AM20">
        <v>1.5E-3</v>
      </c>
      <c r="AN20">
        <v>-1.5E-3</v>
      </c>
      <c r="AO20" s="16">
        <v>2.5000000000000001E-2</v>
      </c>
      <c r="AP20" s="16">
        <v>-2.5000000000000001E-2</v>
      </c>
      <c r="AQ20">
        <v>1.4999999999999999E-2</v>
      </c>
      <c r="AR20">
        <v>-1.4999999999999999E-2</v>
      </c>
      <c r="AS20">
        <v>1E-3</v>
      </c>
      <c r="AT20">
        <v>-1E-3</v>
      </c>
      <c r="AU20">
        <v>1E-3</v>
      </c>
      <c r="AV20">
        <v>-1E-3</v>
      </c>
      <c r="AW20" s="16">
        <v>1.4999999999999999E-2</v>
      </c>
      <c r="AX20" s="16">
        <v>-1.4999999999999999E-2</v>
      </c>
      <c r="JP20">
        <v>27.64263600176913</v>
      </c>
      <c r="JQ20">
        <v>26.386152547143258</v>
      </c>
    </row>
    <row r="21" spans="1:279" customFormat="1">
      <c r="A21" s="2">
        <v>16</v>
      </c>
      <c r="B21" s="2">
        <v>2.84626</v>
      </c>
      <c r="C21" s="2">
        <v>0.41402699999999998</v>
      </c>
      <c r="D21" s="2">
        <v>0.39813300000000001</v>
      </c>
      <c r="E21" s="2">
        <v>31.951557789999999</v>
      </c>
      <c r="F21" s="17" t="str">
        <f t="shared" si="0"/>
        <v/>
      </c>
      <c r="G21" s="9"/>
      <c r="H21" s="25">
        <v>1</v>
      </c>
      <c r="I21" s="5"/>
      <c r="J21" s="5"/>
      <c r="K21" s="5"/>
      <c r="L21" s="5"/>
      <c r="M21" s="5">
        <v>2</v>
      </c>
      <c r="N21" s="5"/>
      <c r="O21" s="5"/>
      <c r="P21" s="5"/>
      <c r="Q21" s="5"/>
      <c r="R21" s="5">
        <v>3</v>
      </c>
      <c r="S21" s="5"/>
      <c r="T21" s="5"/>
      <c r="U21" s="5"/>
      <c r="V21" s="5"/>
      <c r="W21" s="22">
        <f t="shared" si="1"/>
        <v>-2.8843000000000001</v>
      </c>
      <c r="X21" s="21">
        <f t="shared" si="2"/>
        <v>-0.34159200000000001</v>
      </c>
      <c r="Y21" s="21">
        <f t="shared" si="3"/>
        <v>-0.35375400000000001</v>
      </c>
      <c r="Z21" s="11">
        <f t="shared" si="4"/>
        <v>-1</v>
      </c>
      <c r="AA21" s="22">
        <f t="shared" si="5"/>
        <v>-2.8952800000000001</v>
      </c>
      <c r="AB21" s="21">
        <f t="shared" si="6"/>
        <v>-0.34190500000000001</v>
      </c>
      <c r="AC21" s="21">
        <f t="shared" si="7"/>
        <v>-0.35456300000000002</v>
      </c>
      <c r="AD21" s="11">
        <f t="shared" si="8"/>
        <v>-1</v>
      </c>
      <c r="AE21" s="22">
        <f t="shared" si="9"/>
        <v>-2.8690699999999998</v>
      </c>
      <c r="AF21" s="21">
        <f t="shared" si="10"/>
        <v>-0.341694</v>
      </c>
      <c r="AG21" s="21">
        <f t="shared" si="11"/>
        <v>-0.355713</v>
      </c>
      <c r="AH21" s="11">
        <f t="shared" si="12"/>
        <v>-1</v>
      </c>
      <c r="AI21">
        <v>2.5000000000000001E-2</v>
      </c>
      <c r="AJ21">
        <v>-2.5000000000000001E-2</v>
      </c>
      <c r="AK21">
        <v>1.5E-3</v>
      </c>
      <c r="AL21">
        <v>-1.5E-3</v>
      </c>
      <c r="AM21">
        <v>1.5E-3</v>
      </c>
      <c r="AN21">
        <v>-1.5E-3</v>
      </c>
      <c r="AO21" s="16">
        <v>2.5000000000000001E-2</v>
      </c>
      <c r="AP21" s="16">
        <v>-2.5000000000000001E-2</v>
      </c>
      <c r="AQ21">
        <v>1.4999999999999999E-2</v>
      </c>
      <c r="AR21">
        <v>-1.4999999999999999E-2</v>
      </c>
      <c r="AS21">
        <v>1E-3</v>
      </c>
      <c r="AT21">
        <v>-1E-3</v>
      </c>
      <c r="AU21">
        <v>1E-3</v>
      </c>
      <c r="AV21">
        <v>-1E-3</v>
      </c>
      <c r="AW21" s="16">
        <v>1.4999999999999999E-2</v>
      </c>
      <c r="AX21" s="16">
        <v>-1.4999999999999999E-2</v>
      </c>
      <c r="JP21">
        <v>28.935185185185187</v>
      </c>
      <c r="JQ21">
        <v>28.935185185185187</v>
      </c>
    </row>
    <row r="22" spans="1:279" customFormat="1">
      <c r="A22" s="2">
        <v>17</v>
      </c>
      <c r="B22" s="2">
        <v>2.8570500000000001</v>
      </c>
      <c r="C22" s="2">
        <v>0.41162300000000002</v>
      </c>
      <c r="D22" s="2">
        <v>0.39791700000000002</v>
      </c>
      <c r="E22" s="2">
        <v>31.611658290000001</v>
      </c>
      <c r="F22" s="17" t="str">
        <f t="shared" si="0"/>
        <v/>
      </c>
      <c r="G22" s="9"/>
      <c r="H22" s="25">
        <v>1</v>
      </c>
      <c r="I22" s="5"/>
      <c r="J22" s="5"/>
      <c r="K22" s="5"/>
      <c r="L22" s="5"/>
      <c r="M22" s="5">
        <v>2</v>
      </c>
      <c r="N22" s="5"/>
      <c r="O22" s="5"/>
      <c r="P22" s="5"/>
      <c r="Q22" s="5"/>
      <c r="R22" s="5">
        <v>3</v>
      </c>
      <c r="S22" s="5"/>
      <c r="T22" s="5"/>
      <c r="U22" s="5"/>
      <c r="V22" s="5"/>
      <c r="W22" s="22">
        <f t="shared" si="1"/>
        <v>-2.8843000000000001</v>
      </c>
      <c r="X22" s="21">
        <f t="shared" si="2"/>
        <v>-0.34159200000000001</v>
      </c>
      <c r="Y22" s="21">
        <f t="shared" si="3"/>
        <v>-0.35375400000000001</v>
      </c>
      <c r="Z22" s="11">
        <f t="shared" si="4"/>
        <v>-1</v>
      </c>
      <c r="AA22" s="22">
        <f t="shared" si="5"/>
        <v>-2.8952800000000001</v>
      </c>
      <c r="AB22" s="21">
        <f t="shared" si="6"/>
        <v>-0.34190500000000001</v>
      </c>
      <c r="AC22" s="21">
        <f t="shared" si="7"/>
        <v>-0.35456300000000002</v>
      </c>
      <c r="AD22" s="11">
        <f t="shared" si="8"/>
        <v>-1</v>
      </c>
      <c r="AE22" s="22">
        <f t="shared" si="9"/>
        <v>-2.8690699999999998</v>
      </c>
      <c r="AF22" s="21">
        <f t="shared" si="10"/>
        <v>-0.341694</v>
      </c>
      <c r="AG22" s="21">
        <f t="shared" si="11"/>
        <v>-0.355713</v>
      </c>
      <c r="AH22" s="11">
        <f t="shared" si="12"/>
        <v>-1</v>
      </c>
      <c r="AI22">
        <v>2.5000000000000001E-2</v>
      </c>
      <c r="AJ22">
        <v>-2.5000000000000001E-2</v>
      </c>
      <c r="AK22">
        <v>1.5E-3</v>
      </c>
      <c r="AL22">
        <v>-1.5E-3</v>
      </c>
      <c r="AM22">
        <v>1.5E-3</v>
      </c>
      <c r="AN22">
        <v>-1.5E-3</v>
      </c>
      <c r="AO22" s="16">
        <v>2.5000000000000001E-2</v>
      </c>
      <c r="AP22" s="16">
        <v>-2.5000000000000001E-2</v>
      </c>
      <c r="AQ22">
        <v>1.4999999999999999E-2</v>
      </c>
      <c r="AR22">
        <v>-1.4999999999999999E-2</v>
      </c>
      <c r="AS22">
        <v>1E-3</v>
      </c>
      <c r="AT22">
        <v>-1E-3</v>
      </c>
      <c r="AU22">
        <v>1E-3</v>
      </c>
      <c r="AV22">
        <v>-1E-3</v>
      </c>
      <c r="AW22" s="16">
        <v>1.4999999999999999E-2</v>
      </c>
      <c r="AX22" s="16">
        <v>-1.4999999999999999E-2</v>
      </c>
    </row>
    <row r="23" spans="1:279" customFormat="1">
      <c r="A23" s="2">
        <v>18</v>
      </c>
      <c r="B23" s="2">
        <v>2.8669899999999999</v>
      </c>
      <c r="C23" s="2">
        <v>0.412744</v>
      </c>
      <c r="D23" s="2">
        <v>0.39600400000000002</v>
      </c>
      <c r="E23" s="2">
        <v>31.867939700000001</v>
      </c>
      <c r="F23" s="17" t="str">
        <f t="shared" si="0"/>
        <v/>
      </c>
      <c r="G23" s="9"/>
      <c r="H23" s="25">
        <v>1</v>
      </c>
      <c r="I23" s="5"/>
      <c r="J23" s="5"/>
      <c r="K23" s="5"/>
      <c r="L23" s="5"/>
      <c r="M23" s="5">
        <v>2</v>
      </c>
      <c r="N23" s="5"/>
      <c r="O23" s="5"/>
      <c r="P23" s="5"/>
      <c r="Q23" s="5"/>
      <c r="R23" s="5">
        <v>3</v>
      </c>
      <c r="S23" s="5"/>
      <c r="T23" s="5"/>
      <c r="U23" s="5"/>
      <c r="V23" s="5"/>
      <c r="W23" s="22">
        <f t="shared" si="1"/>
        <v>-2.8843000000000001</v>
      </c>
      <c r="X23" s="21">
        <f t="shared" si="2"/>
        <v>-0.34159200000000001</v>
      </c>
      <c r="Y23" s="21">
        <f t="shared" si="3"/>
        <v>-0.35375400000000001</v>
      </c>
      <c r="Z23" s="11">
        <f t="shared" si="4"/>
        <v>-1</v>
      </c>
      <c r="AA23" s="22">
        <f t="shared" si="5"/>
        <v>-2.8952800000000001</v>
      </c>
      <c r="AB23" s="21">
        <f t="shared" si="6"/>
        <v>-0.34190500000000001</v>
      </c>
      <c r="AC23" s="21">
        <f t="shared" si="7"/>
        <v>-0.35456300000000002</v>
      </c>
      <c r="AD23" s="11">
        <f t="shared" si="8"/>
        <v>-1</v>
      </c>
      <c r="AE23" s="22">
        <f t="shared" si="9"/>
        <v>-2.8690699999999998</v>
      </c>
      <c r="AF23" s="21">
        <f t="shared" si="10"/>
        <v>-0.341694</v>
      </c>
      <c r="AG23" s="21">
        <f t="shared" si="11"/>
        <v>-0.355713</v>
      </c>
      <c r="AH23" s="11">
        <f t="shared" si="12"/>
        <v>-1</v>
      </c>
      <c r="AI23">
        <v>2.5000000000000001E-2</v>
      </c>
      <c r="AJ23">
        <v>-2.5000000000000001E-2</v>
      </c>
      <c r="AK23">
        <v>1.5E-3</v>
      </c>
      <c r="AL23">
        <v>-1.5E-3</v>
      </c>
      <c r="AM23">
        <v>1.5E-3</v>
      </c>
      <c r="AN23">
        <v>-1.5E-3</v>
      </c>
      <c r="AO23" s="16">
        <v>2.5000000000000001E-2</v>
      </c>
      <c r="AP23" s="16">
        <v>-2.5000000000000001E-2</v>
      </c>
      <c r="AQ23">
        <v>1.4999999999999999E-2</v>
      </c>
      <c r="AR23">
        <v>-1.4999999999999999E-2</v>
      </c>
      <c r="AS23">
        <v>1E-3</v>
      </c>
      <c r="AT23">
        <v>-1E-3</v>
      </c>
      <c r="AU23">
        <v>1E-3</v>
      </c>
      <c r="AV23">
        <v>-1E-3</v>
      </c>
      <c r="AW23" s="16">
        <v>1.4999999999999999E-2</v>
      </c>
      <c r="AX23" s="16">
        <v>-1.4999999999999999E-2</v>
      </c>
    </row>
    <row r="24" spans="1:279" customFormat="1">
      <c r="A24" s="2">
        <v>19</v>
      </c>
      <c r="B24" s="2">
        <v>2.86348</v>
      </c>
      <c r="C24" s="2">
        <v>0.411499</v>
      </c>
      <c r="D24" s="2">
        <v>0.39581899999999998</v>
      </c>
      <c r="E24" s="2">
        <v>31.376984920000002</v>
      </c>
      <c r="F24" s="17" t="str">
        <f t="shared" si="0"/>
        <v/>
      </c>
      <c r="G24" s="9"/>
      <c r="H24" s="25">
        <v>1</v>
      </c>
      <c r="I24" s="5"/>
      <c r="J24" s="5"/>
      <c r="K24" s="5"/>
      <c r="L24" s="5"/>
      <c r="M24" s="5">
        <v>2</v>
      </c>
      <c r="N24" s="5"/>
      <c r="O24" s="5"/>
      <c r="P24" s="5"/>
      <c r="Q24" s="5"/>
      <c r="R24" s="5">
        <v>3</v>
      </c>
      <c r="S24" s="5"/>
      <c r="T24" s="5"/>
      <c r="U24" s="5"/>
      <c r="V24" s="5"/>
      <c r="W24" s="22">
        <f t="shared" si="1"/>
        <v>-2.8843000000000001</v>
      </c>
      <c r="X24" s="21">
        <f t="shared" si="2"/>
        <v>-0.34159200000000001</v>
      </c>
      <c r="Y24" s="21">
        <f t="shared" si="3"/>
        <v>-0.35375400000000001</v>
      </c>
      <c r="Z24" s="11">
        <f t="shared" si="4"/>
        <v>-1</v>
      </c>
      <c r="AA24" s="22">
        <f t="shared" si="5"/>
        <v>-2.8952800000000001</v>
      </c>
      <c r="AB24" s="21">
        <f t="shared" si="6"/>
        <v>-0.34190500000000001</v>
      </c>
      <c r="AC24" s="21">
        <f t="shared" si="7"/>
        <v>-0.35456300000000002</v>
      </c>
      <c r="AD24" s="11">
        <f t="shared" si="8"/>
        <v>-1</v>
      </c>
      <c r="AE24" s="22">
        <f t="shared" si="9"/>
        <v>-2.8690699999999998</v>
      </c>
      <c r="AF24" s="21">
        <f t="shared" si="10"/>
        <v>-0.341694</v>
      </c>
      <c r="AG24" s="21">
        <f t="shared" si="11"/>
        <v>-0.355713</v>
      </c>
      <c r="AH24" s="11">
        <f t="shared" si="12"/>
        <v>-1</v>
      </c>
      <c r="AI24">
        <v>2.5000000000000001E-2</v>
      </c>
      <c r="AJ24">
        <v>-2.5000000000000001E-2</v>
      </c>
      <c r="AK24">
        <v>1.5E-3</v>
      </c>
      <c r="AL24">
        <v>-1.5E-3</v>
      </c>
      <c r="AM24">
        <v>1.5E-3</v>
      </c>
      <c r="AN24">
        <v>-1.5E-3</v>
      </c>
      <c r="AO24" s="16">
        <v>2.5000000000000001E-2</v>
      </c>
      <c r="AP24" s="16">
        <v>-2.5000000000000001E-2</v>
      </c>
      <c r="AQ24">
        <v>1.4999999999999999E-2</v>
      </c>
      <c r="AR24">
        <v>-1.4999999999999999E-2</v>
      </c>
      <c r="AS24">
        <v>1E-3</v>
      </c>
      <c r="AT24">
        <v>-1E-3</v>
      </c>
      <c r="AU24">
        <v>1E-3</v>
      </c>
      <c r="AV24">
        <v>-1E-3</v>
      </c>
      <c r="AW24" s="16">
        <v>1.4999999999999999E-2</v>
      </c>
      <c r="AX24" s="16">
        <v>-1.4999999999999999E-2</v>
      </c>
    </row>
    <row r="25" spans="1:279" customFormat="1">
      <c r="A25" s="2">
        <v>20</v>
      </c>
      <c r="B25" s="2">
        <v>2.8588499999999999</v>
      </c>
      <c r="C25" s="2">
        <v>0.41211799999999998</v>
      </c>
      <c r="D25" s="2">
        <v>0.396872</v>
      </c>
      <c r="E25" s="2">
        <v>31.288040200000001</v>
      </c>
      <c r="F25" s="17" t="str">
        <f t="shared" si="0"/>
        <v/>
      </c>
      <c r="G25" s="9"/>
      <c r="H25" s="25">
        <v>1</v>
      </c>
      <c r="I25" s="5"/>
      <c r="J25" s="5"/>
      <c r="K25" s="5"/>
      <c r="L25" s="5"/>
      <c r="M25" s="5">
        <v>2</v>
      </c>
      <c r="N25" s="5"/>
      <c r="O25" s="5"/>
      <c r="P25" s="5"/>
      <c r="Q25" s="5"/>
      <c r="R25" s="5">
        <v>3</v>
      </c>
      <c r="S25" s="5"/>
      <c r="T25" s="5"/>
      <c r="U25" s="5"/>
      <c r="V25" s="5"/>
      <c r="W25" s="22">
        <f t="shared" si="1"/>
        <v>-2.8843000000000001</v>
      </c>
      <c r="X25" s="21">
        <f t="shared" si="2"/>
        <v>-0.34159200000000001</v>
      </c>
      <c r="Y25" s="21">
        <f t="shared" si="3"/>
        <v>-0.35375400000000001</v>
      </c>
      <c r="Z25" s="11">
        <f t="shared" si="4"/>
        <v>-1</v>
      </c>
      <c r="AA25" s="22">
        <f t="shared" si="5"/>
        <v>-2.8952800000000001</v>
      </c>
      <c r="AB25" s="21">
        <f t="shared" si="6"/>
        <v>-0.34190500000000001</v>
      </c>
      <c r="AC25" s="21">
        <f t="shared" si="7"/>
        <v>-0.35456300000000002</v>
      </c>
      <c r="AD25" s="11">
        <f t="shared" si="8"/>
        <v>-1</v>
      </c>
      <c r="AE25" s="22">
        <f t="shared" si="9"/>
        <v>-2.8690699999999998</v>
      </c>
      <c r="AF25" s="21">
        <f t="shared" si="10"/>
        <v>-0.341694</v>
      </c>
      <c r="AG25" s="21">
        <f t="shared" si="11"/>
        <v>-0.355713</v>
      </c>
      <c r="AH25" s="11">
        <f t="shared" si="12"/>
        <v>-1</v>
      </c>
      <c r="AI25">
        <v>2.5000000000000001E-2</v>
      </c>
      <c r="AJ25">
        <v>-2.5000000000000001E-2</v>
      </c>
      <c r="AK25">
        <v>1.5E-3</v>
      </c>
      <c r="AL25">
        <v>-1.5E-3</v>
      </c>
      <c r="AM25">
        <v>1.5E-3</v>
      </c>
      <c r="AN25">
        <v>-1.5E-3</v>
      </c>
      <c r="AO25" s="16">
        <v>2.5000000000000001E-2</v>
      </c>
      <c r="AP25" s="16">
        <v>-2.5000000000000001E-2</v>
      </c>
      <c r="AQ25">
        <v>1.4999999999999999E-2</v>
      </c>
      <c r="AR25">
        <v>-1.4999999999999999E-2</v>
      </c>
      <c r="AS25">
        <v>1E-3</v>
      </c>
      <c r="AT25">
        <v>-1E-3</v>
      </c>
      <c r="AU25">
        <v>1E-3</v>
      </c>
      <c r="AV25">
        <v>-1E-3</v>
      </c>
      <c r="AW25" s="16">
        <v>1.4999999999999999E-2</v>
      </c>
      <c r="AX25" s="16">
        <v>-1.4999999999999999E-2</v>
      </c>
    </row>
    <row r="26" spans="1:279" customFormat="1">
      <c r="A26" s="2">
        <v>21</v>
      </c>
      <c r="B26" s="2">
        <v>2.8867600000000002</v>
      </c>
      <c r="C26" s="2">
        <v>0.30762099999999998</v>
      </c>
      <c r="D26" s="2">
        <v>0.32238499999999998</v>
      </c>
      <c r="E26" s="2">
        <v>33.49115578</v>
      </c>
      <c r="F26" s="17" t="str">
        <f t="shared" si="0"/>
        <v/>
      </c>
      <c r="G26" s="9"/>
      <c r="H26" s="25">
        <v>1</v>
      </c>
      <c r="I26" s="5"/>
      <c r="J26" s="5"/>
      <c r="K26" s="5"/>
      <c r="L26" s="5"/>
      <c r="M26" s="5">
        <v>2</v>
      </c>
      <c r="N26" s="5"/>
      <c r="O26" s="5"/>
      <c r="P26" s="5"/>
      <c r="Q26" s="5"/>
      <c r="R26" s="5">
        <v>3</v>
      </c>
      <c r="S26" s="5"/>
      <c r="T26" s="5"/>
      <c r="U26" s="5"/>
      <c r="V26" s="5"/>
      <c r="W26" s="22">
        <f t="shared" si="1"/>
        <v>-2.8843000000000001</v>
      </c>
      <c r="X26" s="21">
        <f t="shared" si="2"/>
        <v>-0.34159200000000001</v>
      </c>
      <c r="Y26" s="21">
        <f t="shared" si="3"/>
        <v>-0.35375400000000001</v>
      </c>
      <c r="Z26" s="11">
        <f t="shared" si="4"/>
        <v>-1</v>
      </c>
      <c r="AA26" s="22">
        <f t="shared" si="5"/>
        <v>-2.8952800000000001</v>
      </c>
      <c r="AB26" s="21">
        <f t="shared" si="6"/>
        <v>-0.34190500000000001</v>
      </c>
      <c r="AC26" s="21">
        <f t="shared" si="7"/>
        <v>-0.35456300000000002</v>
      </c>
      <c r="AD26" s="11">
        <f t="shared" si="8"/>
        <v>-1</v>
      </c>
      <c r="AE26" s="22">
        <f t="shared" si="9"/>
        <v>-2.8690699999999998</v>
      </c>
      <c r="AF26" s="21">
        <f t="shared" si="10"/>
        <v>-0.341694</v>
      </c>
      <c r="AG26" s="21">
        <f t="shared" si="11"/>
        <v>-0.355713</v>
      </c>
      <c r="AH26" s="11">
        <f t="shared" si="12"/>
        <v>-1</v>
      </c>
      <c r="AI26">
        <v>2.5000000000000001E-2</v>
      </c>
      <c r="AJ26">
        <v>-2.5000000000000001E-2</v>
      </c>
      <c r="AK26">
        <v>1.5E-3</v>
      </c>
      <c r="AL26">
        <v>-1.5E-3</v>
      </c>
      <c r="AM26">
        <v>1.5E-3</v>
      </c>
      <c r="AN26">
        <v>-1.5E-3</v>
      </c>
      <c r="AO26" s="16">
        <v>2.5000000000000001E-2</v>
      </c>
      <c r="AP26" s="16">
        <v>-2.5000000000000001E-2</v>
      </c>
      <c r="AQ26">
        <v>1.4999999999999999E-2</v>
      </c>
      <c r="AR26">
        <v>-1.4999999999999999E-2</v>
      </c>
      <c r="AS26">
        <v>1E-3</v>
      </c>
      <c r="AT26">
        <v>-1E-3</v>
      </c>
      <c r="AU26">
        <v>1E-3</v>
      </c>
      <c r="AV26">
        <v>-1E-3</v>
      </c>
      <c r="AW26" s="16">
        <v>1.4999999999999999E-2</v>
      </c>
      <c r="AX26" s="16">
        <v>-1.4999999999999999E-2</v>
      </c>
    </row>
    <row r="27" spans="1:279" customFormat="1">
      <c r="A27" s="2">
        <v>22</v>
      </c>
      <c r="B27" s="2">
        <v>2.8726699999999998</v>
      </c>
      <c r="C27" s="2">
        <v>0.309056</v>
      </c>
      <c r="D27" s="2">
        <v>0.32167499999999999</v>
      </c>
      <c r="E27" s="2">
        <v>33.204321610000001</v>
      </c>
      <c r="F27" s="17" t="str">
        <f t="shared" si="0"/>
        <v/>
      </c>
      <c r="G27" s="9"/>
      <c r="H27" s="25">
        <v>1</v>
      </c>
      <c r="I27" s="5"/>
      <c r="J27" s="5"/>
      <c r="K27" s="5"/>
      <c r="L27" s="5"/>
      <c r="M27" s="5">
        <v>2</v>
      </c>
      <c r="N27" s="5"/>
      <c r="O27" s="5"/>
      <c r="P27" s="5"/>
      <c r="Q27" s="5"/>
      <c r="R27" s="5">
        <v>3</v>
      </c>
      <c r="S27" s="5"/>
      <c r="T27" s="5"/>
      <c r="U27" s="5"/>
      <c r="V27" s="5"/>
      <c r="W27" s="22">
        <f t="shared" si="1"/>
        <v>-2.8843000000000001</v>
      </c>
      <c r="X27" s="21">
        <f t="shared" si="2"/>
        <v>-0.34159200000000001</v>
      </c>
      <c r="Y27" s="21">
        <f t="shared" si="3"/>
        <v>-0.35375400000000001</v>
      </c>
      <c r="Z27" s="11">
        <f t="shared" si="4"/>
        <v>-1</v>
      </c>
      <c r="AA27" s="22">
        <f t="shared" si="5"/>
        <v>-2.8952800000000001</v>
      </c>
      <c r="AB27" s="21">
        <f t="shared" si="6"/>
        <v>-0.34190500000000001</v>
      </c>
      <c r="AC27" s="21">
        <f t="shared" si="7"/>
        <v>-0.35456300000000002</v>
      </c>
      <c r="AD27" s="11">
        <f t="shared" si="8"/>
        <v>-1</v>
      </c>
      <c r="AE27" s="22">
        <f t="shared" si="9"/>
        <v>-2.8690699999999998</v>
      </c>
      <c r="AF27" s="21">
        <f t="shared" si="10"/>
        <v>-0.341694</v>
      </c>
      <c r="AG27" s="21">
        <f t="shared" si="11"/>
        <v>-0.355713</v>
      </c>
      <c r="AH27" s="11">
        <f t="shared" si="12"/>
        <v>-1</v>
      </c>
      <c r="AI27">
        <v>2.5000000000000001E-2</v>
      </c>
      <c r="AJ27">
        <v>-2.5000000000000001E-2</v>
      </c>
      <c r="AK27">
        <v>1.5E-3</v>
      </c>
      <c r="AL27">
        <v>-1.5E-3</v>
      </c>
      <c r="AM27">
        <v>1.5E-3</v>
      </c>
      <c r="AN27">
        <v>-1.5E-3</v>
      </c>
      <c r="AO27" s="16">
        <v>2.5000000000000001E-2</v>
      </c>
      <c r="AP27" s="16">
        <v>-2.5000000000000001E-2</v>
      </c>
      <c r="AQ27">
        <v>1.4999999999999999E-2</v>
      </c>
      <c r="AR27">
        <v>-1.4999999999999999E-2</v>
      </c>
      <c r="AS27">
        <v>1E-3</v>
      </c>
      <c r="AT27">
        <v>-1E-3</v>
      </c>
      <c r="AU27">
        <v>1E-3</v>
      </c>
      <c r="AV27">
        <v>-1E-3</v>
      </c>
      <c r="AW27" s="16">
        <v>1.4999999999999999E-2</v>
      </c>
      <c r="AX27" s="16">
        <v>-1.4999999999999999E-2</v>
      </c>
    </row>
    <row r="28" spans="1:279" customFormat="1">
      <c r="A28" s="2">
        <v>23</v>
      </c>
      <c r="B28" s="2">
        <v>2.8902600000000001</v>
      </c>
      <c r="C28" s="2">
        <v>0.30731999999999998</v>
      </c>
      <c r="D28" s="2">
        <v>0.32109900000000002</v>
      </c>
      <c r="E28" s="2">
        <v>33.42462312</v>
      </c>
      <c r="F28" s="17" t="str">
        <f t="shared" si="0"/>
        <v/>
      </c>
      <c r="G28" s="9"/>
      <c r="H28" s="25">
        <v>1</v>
      </c>
      <c r="I28" s="5"/>
      <c r="J28" s="5"/>
      <c r="K28" s="5"/>
      <c r="L28" s="5"/>
      <c r="M28" s="5">
        <v>2</v>
      </c>
      <c r="N28" s="5"/>
      <c r="O28" s="5"/>
      <c r="P28" s="5"/>
      <c r="Q28" s="5"/>
      <c r="R28" s="5">
        <v>3</v>
      </c>
      <c r="S28" s="5"/>
      <c r="T28" s="5"/>
      <c r="U28" s="5"/>
      <c r="V28" s="5"/>
      <c r="W28" s="22">
        <f t="shared" si="1"/>
        <v>-2.8843000000000001</v>
      </c>
      <c r="X28" s="21">
        <f t="shared" si="2"/>
        <v>-0.34159200000000001</v>
      </c>
      <c r="Y28" s="21">
        <f t="shared" si="3"/>
        <v>-0.35375400000000001</v>
      </c>
      <c r="Z28" s="11">
        <f t="shared" si="4"/>
        <v>-1</v>
      </c>
      <c r="AA28" s="22">
        <f t="shared" si="5"/>
        <v>-2.8952800000000001</v>
      </c>
      <c r="AB28" s="21">
        <f t="shared" si="6"/>
        <v>-0.34190500000000001</v>
      </c>
      <c r="AC28" s="21">
        <f t="shared" si="7"/>
        <v>-0.35456300000000002</v>
      </c>
      <c r="AD28" s="11">
        <f t="shared" si="8"/>
        <v>-1</v>
      </c>
      <c r="AE28" s="22">
        <f t="shared" si="9"/>
        <v>-2.8690699999999998</v>
      </c>
      <c r="AF28" s="21">
        <f t="shared" si="10"/>
        <v>-0.341694</v>
      </c>
      <c r="AG28" s="21">
        <f t="shared" si="11"/>
        <v>-0.355713</v>
      </c>
      <c r="AH28" s="11">
        <f t="shared" si="12"/>
        <v>-1</v>
      </c>
      <c r="AI28">
        <v>2.5000000000000001E-2</v>
      </c>
      <c r="AJ28">
        <v>-2.5000000000000001E-2</v>
      </c>
      <c r="AK28">
        <v>1.5E-3</v>
      </c>
      <c r="AL28">
        <v>-1.5E-3</v>
      </c>
      <c r="AM28">
        <v>1.5E-3</v>
      </c>
      <c r="AN28">
        <v>-1.5E-3</v>
      </c>
      <c r="AO28" s="16">
        <v>2.5000000000000001E-2</v>
      </c>
      <c r="AP28" s="16">
        <v>-2.5000000000000001E-2</v>
      </c>
      <c r="AQ28">
        <v>1.4999999999999999E-2</v>
      </c>
      <c r="AR28">
        <v>-1.4999999999999999E-2</v>
      </c>
      <c r="AS28">
        <v>1E-3</v>
      </c>
      <c r="AT28">
        <v>-1E-3</v>
      </c>
      <c r="AU28">
        <v>1E-3</v>
      </c>
      <c r="AV28">
        <v>-1E-3</v>
      </c>
      <c r="AW28" s="16">
        <v>1.4999999999999999E-2</v>
      </c>
      <c r="AX28" s="16">
        <v>-1.4999999999999999E-2</v>
      </c>
    </row>
    <row r="29" spans="1:279" customFormat="1">
      <c r="A29" s="2">
        <v>24</v>
      </c>
      <c r="B29" s="2">
        <v>2.87134</v>
      </c>
      <c r="C29" s="2">
        <v>0.30751800000000001</v>
      </c>
      <c r="D29" s="2">
        <v>0.32153599999999999</v>
      </c>
      <c r="E29" s="2">
        <v>33.257085429999997</v>
      </c>
      <c r="F29" s="17" t="str">
        <f t="shared" si="0"/>
        <v/>
      </c>
      <c r="G29" s="9"/>
      <c r="H29" s="25">
        <v>1</v>
      </c>
      <c r="I29" s="5"/>
      <c r="J29" s="5"/>
      <c r="K29" s="5"/>
      <c r="L29" s="5"/>
      <c r="M29" s="5">
        <v>2</v>
      </c>
      <c r="N29" s="5"/>
      <c r="O29" s="5"/>
      <c r="P29" s="5"/>
      <c r="Q29" s="5"/>
      <c r="R29" s="5">
        <v>3</v>
      </c>
      <c r="S29" s="5"/>
      <c r="T29" s="5"/>
      <c r="U29" s="5"/>
      <c r="V29" s="5"/>
      <c r="W29" s="22">
        <f t="shared" si="1"/>
        <v>-2.8843000000000001</v>
      </c>
      <c r="X29" s="21">
        <f t="shared" si="2"/>
        <v>-0.34159200000000001</v>
      </c>
      <c r="Y29" s="21">
        <f t="shared" si="3"/>
        <v>-0.35375400000000001</v>
      </c>
      <c r="Z29" s="11">
        <f t="shared" si="4"/>
        <v>-1</v>
      </c>
      <c r="AA29" s="22">
        <f t="shared" si="5"/>
        <v>-2.8952800000000001</v>
      </c>
      <c r="AB29" s="21">
        <f t="shared" si="6"/>
        <v>-0.34190500000000001</v>
      </c>
      <c r="AC29" s="21">
        <f t="shared" si="7"/>
        <v>-0.35456300000000002</v>
      </c>
      <c r="AD29" s="11">
        <f t="shared" si="8"/>
        <v>-1</v>
      </c>
      <c r="AE29" s="22">
        <f t="shared" si="9"/>
        <v>-2.8690699999999998</v>
      </c>
      <c r="AF29" s="21">
        <f t="shared" si="10"/>
        <v>-0.341694</v>
      </c>
      <c r="AG29" s="21">
        <f t="shared" si="11"/>
        <v>-0.355713</v>
      </c>
      <c r="AH29" s="11">
        <f t="shared" si="12"/>
        <v>-1</v>
      </c>
      <c r="AI29">
        <v>2.5000000000000001E-2</v>
      </c>
      <c r="AJ29">
        <v>-2.5000000000000001E-2</v>
      </c>
      <c r="AK29">
        <v>1.5E-3</v>
      </c>
      <c r="AL29">
        <v>-1.5E-3</v>
      </c>
      <c r="AM29">
        <v>1.5E-3</v>
      </c>
      <c r="AN29">
        <v>-1.5E-3</v>
      </c>
      <c r="AO29" s="16">
        <v>2.5000000000000001E-2</v>
      </c>
      <c r="AP29" s="16">
        <v>-2.5000000000000001E-2</v>
      </c>
      <c r="AQ29">
        <v>1.4999999999999999E-2</v>
      </c>
      <c r="AR29">
        <v>-1.4999999999999999E-2</v>
      </c>
      <c r="AS29">
        <v>1E-3</v>
      </c>
      <c r="AT29">
        <v>-1E-3</v>
      </c>
      <c r="AU29">
        <v>1E-3</v>
      </c>
      <c r="AV29">
        <v>-1E-3</v>
      </c>
      <c r="AW29" s="16">
        <v>1.4999999999999999E-2</v>
      </c>
      <c r="AX29" s="16">
        <v>-1.4999999999999999E-2</v>
      </c>
    </row>
    <row r="30" spans="1:279" customFormat="1">
      <c r="A30" s="2">
        <v>25</v>
      </c>
      <c r="B30" s="2">
        <v>2.8748399999999998</v>
      </c>
      <c r="C30" s="2">
        <v>0.30780200000000002</v>
      </c>
      <c r="D30" s="2">
        <v>0.32024599999999998</v>
      </c>
      <c r="E30" s="2">
        <v>33.234673370000003</v>
      </c>
      <c r="F30" s="17" t="str">
        <f t="shared" si="0"/>
        <v/>
      </c>
      <c r="G30" s="9"/>
      <c r="H30" s="25">
        <v>1</v>
      </c>
      <c r="I30" s="5"/>
      <c r="J30" s="5"/>
      <c r="K30" s="5"/>
      <c r="L30" s="5"/>
      <c r="M30" s="5">
        <v>2</v>
      </c>
      <c r="N30" s="5"/>
      <c r="O30" s="5"/>
      <c r="P30" s="5"/>
      <c r="Q30" s="5"/>
      <c r="R30" s="5">
        <v>3</v>
      </c>
      <c r="S30" s="5"/>
      <c r="T30" s="5"/>
      <c r="U30" s="5"/>
      <c r="V30" s="5"/>
      <c r="W30" s="22">
        <f t="shared" si="1"/>
        <v>-2.8843000000000001</v>
      </c>
      <c r="X30" s="21">
        <f t="shared" si="2"/>
        <v>-0.34159200000000001</v>
      </c>
      <c r="Y30" s="21">
        <f t="shared" si="3"/>
        <v>-0.35375400000000001</v>
      </c>
      <c r="Z30" s="11">
        <f t="shared" si="4"/>
        <v>-1</v>
      </c>
      <c r="AA30" s="22">
        <f t="shared" si="5"/>
        <v>-2.8952800000000001</v>
      </c>
      <c r="AB30" s="21">
        <f t="shared" si="6"/>
        <v>-0.34190500000000001</v>
      </c>
      <c r="AC30" s="21">
        <f t="shared" si="7"/>
        <v>-0.35456300000000002</v>
      </c>
      <c r="AD30" s="11">
        <f t="shared" si="8"/>
        <v>-1</v>
      </c>
      <c r="AE30" s="22">
        <f t="shared" si="9"/>
        <v>-2.8690699999999998</v>
      </c>
      <c r="AF30" s="21">
        <f t="shared" si="10"/>
        <v>-0.341694</v>
      </c>
      <c r="AG30" s="21">
        <f t="shared" si="11"/>
        <v>-0.355713</v>
      </c>
      <c r="AH30" s="11">
        <f t="shared" si="12"/>
        <v>-1</v>
      </c>
      <c r="AI30">
        <v>2.5000000000000001E-2</v>
      </c>
      <c r="AJ30">
        <v>-2.5000000000000001E-2</v>
      </c>
      <c r="AK30">
        <v>1.5E-3</v>
      </c>
      <c r="AL30">
        <v>-1.5E-3</v>
      </c>
      <c r="AM30">
        <v>1.5E-3</v>
      </c>
      <c r="AN30">
        <v>-1.5E-3</v>
      </c>
      <c r="AO30" s="16">
        <v>2.5000000000000001E-2</v>
      </c>
      <c r="AP30" s="16">
        <v>-2.5000000000000001E-2</v>
      </c>
      <c r="AQ30">
        <v>1.4999999999999999E-2</v>
      </c>
      <c r="AR30">
        <v>-1.4999999999999999E-2</v>
      </c>
      <c r="AS30">
        <v>1E-3</v>
      </c>
      <c r="AT30">
        <v>-1E-3</v>
      </c>
      <c r="AU30">
        <v>1E-3</v>
      </c>
      <c r="AV30">
        <v>-1E-3</v>
      </c>
      <c r="AW30" s="16">
        <v>1.4999999999999999E-2</v>
      </c>
      <c r="AX30" s="16">
        <v>-1.4999999999999999E-2</v>
      </c>
    </row>
    <row r="31" spans="1:279" customFormat="1">
      <c r="A31" s="2">
        <v>26</v>
      </c>
      <c r="B31" s="2">
        <v>2.8803299999999998</v>
      </c>
      <c r="C31" s="2">
        <v>0.388797</v>
      </c>
      <c r="D31" s="2">
        <v>0.38095899999999999</v>
      </c>
      <c r="E31" s="2">
        <v>33.101105529999998</v>
      </c>
      <c r="F31" s="17" t="str">
        <f t="shared" si="0"/>
        <v/>
      </c>
      <c r="G31" s="9"/>
      <c r="H31" s="25">
        <v>1</v>
      </c>
      <c r="I31" s="5"/>
      <c r="J31" s="5"/>
      <c r="K31" s="5"/>
      <c r="L31" s="5"/>
      <c r="M31" s="5">
        <v>2</v>
      </c>
      <c r="N31" s="5"/>
      <c r="O31" s="5"/>
      <c r="P31" s="5"/>
      <c r="Q31" s="5"/>
      <c r="R31" s="5">
        <v>3</v>
      </c>
      <c r="S31" s="5"/>
      <c r="T31" s="5"/>
      <c r="U31" s="5"/>
      <c r="V31" s="5"/>
      <c r="W31" s="22">
        <f t="shared" si="1"/>
        <v>-2.8843000000000001</v>
      </c>
      <c r="X31" s="21">
        <f t="shared" si="2"/>
        <v>-0.34159200000000001</v>
      </c>
      <c r="Y31" s="21">
        <f t="shared" si="3"/>
        <v>-0.35375400000000001</v>
      </c>
      <c r="Z31" s="11">
        <f t="shared" si="4"/>
        <v>-1</v>
      </c>
      <c r="AA31" s="22">
        <f t="shared" si="5"/>
        <v>-2.8952800000000001</v>
      </c>
      <c r="AB31" s="21">
        <f t="shared" si="6"/>
        <v>-0.34190500000000001</v>
      </c>
      <c r="AC31" s="21">
        <f t="shared" si="7"/>
        <v>-0.35456300000000002</v>
      </c>
      <c r="AD31" s="11">
        <f t="shared" si="8"/>
        <v>-1</v>
      </c>
      <c r="AE31" s="22">
        <f t="shared" si="9"/>
        <v>-2.8690699999999998</v>
      </c>
      <c r="AF31" s="21">
        <f t="shared" si="10"/>
        <v>-0.341694</v>
      </c>
      <c r="AG31" s="21">
        <f t="shared" si="11"/>
        <v>-0.355713</v>
      </c>
      <c r="AH31" s="11">
        <f t="shared" si="12"/>
        <v>-1</v>
      </c>
      <c r="AI31">
        <v>2.5000000000000001E-2</v>
      </c>
      <c r="AJ31">
        <v>-2.5000000000000001E-2</v>
      </c>
      <c r="AK31">
        <v>1.5E-3</v>
      </c>
      <c r="AL31">
        <v>-1.5E-3</v>
      </c>
      <c r="AM31">
        <v>1.5E-3</v>
      </c>
      <c r="AN31">
        <v>-1.5E-3</v>
      </c>
      <c r="AO31" s="16">
        <v>2.5000000000000001E-2</v>
      </c>
      <c r="AP31" s="16">
        <v>-2.5000000000000001E-2</v>
      </c>
      <c r="AQ31">
        <v>1.4999999999999999E-2</v>
      </c>
      <c r="AR31">
        <v>-1.4999999999999999E-2</v>
      </c>
      <c r="AS31">
        <v>1E-3</v>
      </c>
      <c r="AT31">
        <v>-1E-3</v>
      </c>
      <c r="AU31">
        <v>1E-3</v>
      </c>
      <c r="AV31">
        <v>-1E-3</v>
      </c>
      <c r="AW31" s="16">
        <v>1.4999999999999999E-2</v>
      </c>
      <c r="AX31" s="16">
        <v>-1.4999999999999999E-2</v>
      </c>
    </row>
    <row r="32" spans="1:279" customFormat="1">
      <c r="A32" s="2">
        <v>27</v>
      </c>
      <c r="B32" s="2">
        <v>2.88639</v>
      </c>
      <c r="C32" s="2">
        <v>0.38931900000000003</v>
      </c>
      <c r="D32" s="2">
        <v>0.38544</v>
      </c>
      <c r="E32" s="2">
        <v>33.209547739999998</v>
      </c>
      <c r="F32" s="17" t="str">
        <f t="shared" si="0"/>
        <v/>
      </c>
      <c r="G32" s="9"/>
      <c r="H32" s="25">
        <v>1</v>
      </c>
      <c r="I32" s="5"/>
      <c r="J32" s="5"/>
      <c r="K32" s="5"/>
      <c r="L32" s="5"/>
      <c r="M32" s="5">
        <v>2</v>
      </c>
      <c r="N32" s="5"/>
      <c r="O32" s="5"/>
      <c r="P32" s="5"/>
      <c r="Q32" s="5"/>
      <c r="R32" s="5">
        <v>3</v>
      </c>
      <c r="S32" s="5"/>
      <c r="T32" s="5"/>
      <c r="U32" s="5"/>
      <c r="V32" s="5"/>
      <c r="W32" s="22">
        <f t="shared" si="1"/>
        <v>-2.8843000000000001</v>
      </c>
      <c r="X32" s="21">
        <f t="shared" si="2"/>
        <v>-0.34159200000000001</v>
      </c>
      <c r="Y32" s="21">
        <f t="shared" si="3"/>
        <v>-0.35375400000000001</v>
      </c>
      <c r="Z32" s="11">
        <f t="shared" si="4"/>
        <v>-1</v>
      </c>
      <c r="AA32" s="22">
        <f t="shared" si="5"/>
        <v>-2.8952800000000001</v>
      </c>
      <c r="AB32" s="21">
        <f t="shared" si="6"/>
        <v>-0.34190500000000001</v>
      </c>
      <c r="AC32" s="21">
        <f t="shared" si="7"/>
        <v>-0.35456300000000002</v>
      </c>
      <c r="AD32" s="11">
        <f t="shared" si="8"/>
        <v>-1</v>
      </c>
      <c r="AE32" s="22">
        <f t="shared" si="9"/>
        <v>-2.8690699999999998</v>
      </c>
      <c r="AF32" s="21">
        <f t="shared" si="10"/>
        <v>-0.341694</v>
      </c>
      <c r="AG32" s="21">
        <f t="shared" si="11"/>
        <v>-0.355713</v>
      </c>
      <c r="AH32" s="11">
        <f t="shared" si="12"/>
        <v>-1</v>
      </c>
      <c r="AI32">
        <v>2.5000000000000001E-2</v>
      </c>
      <c r="AJ32">
        <v>-2.5000000000000001E-2</v>
      </c>
      <c r="AK32">
        <v>1.5E-3</v>
      </c>
      <c r="AL32">
        <v>-1.5E-3</v>
      </c>
      <c r="AM32">
        <v>1.5E-3</v>
      </c>
      <c r="AN32">
        <v>-1.5E-3</v>
      </c>
      <c r="AO32" s="16">
        <v>2.5000000000000001E-2</v>
      </c>
      <c r="AP32" s="16">
        <v>-2.5000000000000001E-2</v>
      </c>
      <c r="AQ32">
        <v>1.4999999999999999E-2</v>
      </c>
      <c r="AR32">
        <v>-1.4999999999999999E-2</v>
      </c>
      <c r="AS32">
        <v>1E-3</v>
      </c>
      <c r="AT32">
        <v>-1E-3</v>
      </c>
      <c r="AU32">
        <v>1E-3</v>
      </c>
      <c r="AV32">
        <v>-1E-3</v>
      </c>
      <c r="AW32" s="16">
        <v>1.4999999999999999E-2</v>
      </c>
      <c r="AX32" s="16">
        <v>-1.4999999999999999E-2</v>
      </c>
    </row>
    <row r="33" spans="1:279" customFormat="1">
      <c r="A33" s="2">
        <v>28</v>
      </c>
      <c r="B33" s="2">
        <v>2.8984000000000001</v>
      </c>
      <c r="C33" s="2">
        <v>0.38879799999999998</v>
      </c>
      <c r="D33" s="2">
        <v>0.38373400000000002</v>
      </c>
      <c r="E33" s="2">
        <v>33.095376880000003</v>
      </c>
      <c r="F33" s="17" t="str">
        <f t="shared" si="0"/>
        <v/>
      </c>
      <c r="G33" s="9"/>
      <c r="H33" s="25">
        <v>1</v>
      </c>
      <c r="I33" s="5"/>
      <c r="J33" s="5"/>
      <c r="K33" s="5"/>
      <c r="L33" s="5"/>
      <c r="M33" s="5">
        <v>2</v>
      </c>
      <c r="N33" s="5"/>
      <c r="O33" s="5"/>
      <c r="P33" s="5"/>
      <c r="Q33" s="5"/>
      <c r="R33" s="5">
        <v>3</v>
      </c>
      <c r="S33" s="5"/>
      <c r="T33" s="5"/>
      <c r="U33" s="5"/>
      <c r="V33" s="5"/>
      <c r="W33" s="22">
        <f t="shared" si="1"/>
        <v>-2.8843000000000001</v>
      </c>
      <c r="X33" s="21">
        <f t="shared" si="2"/>
        <v>-0.34159200000000001</v>
      </c>
      <c r="Y33" s="21">
        <f t="shared" si="3"/>
        <v>-0.35375400000000001</v>
      </c>
      <c r="Z33" s="11">
        <f t="shared" si="4"/>
        <v>-1</v>
      </c>
      <c r="AA33" s="22">
        <f t="shared" si="5"/>
        <v>-2.8952800000000001</v>
      </c>
      <c r="AB33" s="21">
        <f t="shared" si="6"/>
        <v>-0.34190500000000001</v>
      </c>
      <c r="AC33" s="21">
        <f t="shared" si="7"/>
        <v>-0.35456300000000002</v>
      </c>
      <c r="AD33" s="11">
        <f t="shared" si="8"/>
        <v>-1</v>
      </c>
      <c r="AE33" s="22">
        <f t="shared" si="9"/>
        <v>-2.8690699999999998</v>
      </c>
      <c r="AF33" s="21">
        <f t="shared" si="10"/>
        <v>-0.341694</v>
      </c>
      <c r="AG33" s="21">
        <f t="shared" si="11"/>
        <v>-0.355713</v>
      </c>
      <c r="AH33" s="11">
        <f t="shared" si="12"/>
        <v>-1</v>
      </c>
      <c r="AI33">
        <v>2.5000000000000001E-2</v>
      </c>
      <c r="AJ33">
        <v>-2.5000000000000001E-2</v>
      </c>
      <c r="AK33">
        <v>1.5E-3</v>
      </c>
      <c r="AL33">
        <v>-1.5E-3</v>
      </c>
      <c r="AM33">
        <v>1.5E-3</v>
      </c>
      <c r="AN33">
        <v>-1.5E-3</v>
      </c>
      <c r="AO33" s="16">
        <v>2.5000000000000001E-2</v>
      </c>
      <c r="AP33" s="16">
        <v>-2.5000000000000001E-2</v>
      </c>
      <c r="AQ33">
        <v>1.4999999999999999E-2</v>
      </c>
      <c r="AR33">
        <v>-1.4999999999999999E-2</v>
      </c>
      <c r="AS33">
        <v>1E-3</v>
      </c>
      <c r="AT33">
        <v>-1E-3</v>
      </c>
      <c r="AU33">
        <v>1E-3</v>
      </c>
      <c r="AV33">
        <v>-1E-3</v>
      </c>
      <c r="AW33" s="16">
        <v>1.4999999999999999E-2</v>
      </c>
      <c r="AX33" s="16">
        <v>-1.4999999999999999E-2</v>
      </c>
      <c r="JR33">
        <v>12.849506578947368</v>
      </c>
    </row>
    <row r="34" spans="1:279" customFormat="1">
      <c r="A34" s="2">
        <v>29</v>
      </c>
      <c r="B34" s="2">
        <v>2.8527900000000002</v>
      </c>
      <c r="C34" s="2">
        <v>0.38879599999999997</v>
      </c>
      <c r="D34" s="2">
        <v>0.38486900000000002</v>
      </c>
      <c r="E34" s="2">
        <v>32.886633170000003</v>
      </c>
      <c r="F34" s="17" t="str">
        <f t="shared" si="0"/>
        <v/>
      </c>
      <c r="G34" s="9"/>
      <c r="H34" s="25">
        <v>1</v>
      </c>
      <c r="I34" s="5"/>
      <c r="J34" s="5"/>
      <c r="K34" s="5"/>
      <c r="L34" s="5"/>
      <c r="M34" s="5">
        <v>2</v>
      </c>
      <c r="N34" s="5"/>
      <c r="O34" s="5"/>
      <c r="P34" s="5"/>
      <c r="Q34" s="5"/>
      <c r="R34" s="5">
        <v>3</v>
      </c>
      <c r="S34" s="5"/>
      <c r="T34" s="5"/>
      <c r="U34" s="5"/>
      <c r="V34" s="5"/>
      <c r="W34" s="22">
        <f t="shared" si="1"/>
        <v>-2.8843000000000001</v>
      </c>
      <c r="X34" s="21">
        <f t="shared" si="2"/>
        <v>-0.34159200000000001</v>
      </c>
      <c r="Y34" s="21">
        <f t="shared" si="3"/>
        <v>-0.35375400000000001</v>
      </c>
      <c r="Z34" s="11">
        <f t="shared" si="4"/>
        <v>-1</v>
      </c>
      <c r="AA34" s="22">
        <f t="shared" si="5"/>
        <v>-2.8952800000000001</v>
      </c>
      <c r="AB34" s="21">
        <f t="shared" si="6"/>
        <v>-0.34190500000000001</v>
      </c>
      <c r="AC34" s="21">
        <f t="shared" si="7"/>
        <v>-0.35456300000000002</v>
      </c>
      <c r="AD34" s="11">
        <f t="shared" si="8"/>
        <v>-1</v>
      </c>
      <c r="AE34" s="22">
        <f t="shared" si="9"/>
        <v>-2.8690699999999998</v>
      </c>
      <c r="AF34" s="21">
        <f t="shared" si="10"/>
        <v>-0.341694</v>
      </c>
      <c r="AG34" s="21">
        <f t="shared" si="11"/>
        <v>-0.355713</v>
      </c>
      <c r="AH34" s="11">
        <f t="shared" si="12"/>
        <v>-1</v>
      </c>
      <c r="AI34">
        <v>2.5000000000000001E-2</v>
      </c>
      <c r="AJ34">
        <v>-2.5000000000000001E-2</v>
      </c>
      <c r="AK34">
        <v>1.5E-3</v>
      </c>
      <c r="AL34">
        <v>-1.5E-3</v>
      </c>
      <c r="AM34">
        <v>1.5E-3</v>
      </c>
      <c r="AN34">
        <v>-1.5E-3</v>
      </c>
      <c r="AO34" s="16">
        <v>2.5000000000000001E-2</v>
      </c>
      <c r="AP34" s="16">
        <v>-2.5000000000000001E-2</v>
      </c>
      <c r="AQ34">
        <v>1.4999999999999999E-2</v>
      </c>
      <c r="AR34">
        <v>-1.4999999999999999E-2</v>
      </c>
      <c r="AS34">
        <v>1E-3</v>
      </c>
      <c r="AT34">
        <v>-1E-3</v>
      </c>
      <c r="AU34">
        <v>1E-3</v>
      </c>
      <c r="AV34">
        <v>-1E-3</v>
      </c>
      <c r="AW34" s="16">
        <v>1.4999999999999999E-2</v>
      </c>
      <c r="AX34" s="16">
        <v>-1.4999999999999999E-2</v>
      </c>
      <c r="JR34">
        <v>12.849506578947368</v>
      </c>
      <c r="JS34">
        <v>12.849506578947368</v>
      </c>
    </row>
    <row r="35" spans="1:279" customFormat="1">
      <c r="A35" s="2">
        <v>30</v>
      </c>
      <c r="B35" s="2">
        <v>2.86008</v>
      </c>
      <c r="C35" s="2">
        <v>0.38852700000000001</v>
      </c>
      <c r="D35" s="2">
        <v>0.38194299999999998</v>
      </c>
      <c r="E35" s="2">
        <v>32.436482410000004</v>
      </c>
      <c r="F35" s="17" t="str">
        <f t="shared" si="0"/>
        <v/>
      </c>
      <c r="G35" s="9"/>
      <c r="H35" s="25">
        <v>1</v>
      </c>
      <c r="I35" s="5"/>
      <c r="J35" s="5"/>
      <c r="K35" s="5"/>
      <c r="L35" s="5"/>
      <c r="M35" s="5">
        <v>2</v>
      </c>
      <c r="N35" s="5"/>
      <c r="O35" s="5"/>
      <c r="P35" s="5"/>
      <c r="Q35" s="5"/>
      <c r="R35" s="5">
        <v>3</v>
      </c>
      <c r="S35" s="5"/>
      <c r="T35" s="5"/>
      <c r="U35" s="5"/>
      <c r="V35" s="5"/>
      <c r="W35" s="22">
        <f t="shared" si="1"/>
        <v>-2.8843000000000001</v>
      </c>
      <c r="X35" s="21">
        <f t="shared" si="2"/>
        <v>-0.34159200000000001</v>
      </c>
      <c r="Y35" s="21">
        <f t="shared" si="3"/>
        <v>-0.35375400000000001</v>
      </c>
      <c r="Z35" s="11">
        <f t="shared" si="4"/>
        <v>-1</v>
      </c>
      <c r="AA35" s="22">
        <f t="shared" si="5"/>
        <v>-2.8952800000000001</v>
      </c>
      <c r="AB35" s="21">
        <f t="shared" si="6"/>
        <v>-0.34190500000000001</v>
      </c>
      <c r="AC35" s="21">
        <f t="shared" si="7"/>
        <v>-0.35456300000000002</v>
      </c>
      <c r="AD35" s="11">
        <f t="shared" si="8"/>
        <v>-1</v>
      </c>
      <c r="AE35" s="22">
        <f t="shared" si="9"/>
        <v>-2.8690699999999998</v>
      </c>
      <c r="AF35" s="21">
        <f t="shared" si="10"/>
        <v>-0.341694</v>
      </c>
      <c r="AG35" s="21">
        <f t="shared" si="11"/>
        <v>-0.355713</v>
      </c>
      <c r="AH35" s="11">
        <f t="shared" si="12"/>
        <v>-1</v>
      </c>
      <c r="AI35">
        <v>2.5000000000000001E-2</v>
      </c>
      <c r="AJ35">
        <v>-2.5000000000000001E-2</v>
      </c>
      <c r="AK35">
        <v>1.5E-3</v>
      </c>
      <c r="AL35">
        <v>-1.5E-3</v>
      </c>
      <c r="AM35">
        <v>1.5E-3</v>
      </c>
      <c r="AN35">
        <v>-1.5E-3</v>
      </c>
      <c r="AO35" s="16">
        <v>2.5000000000000001E-2</v>
      </c>
      <c r="AP35" s="16">
        <v>-2.5000000000000001E-2</v>
      </c>
      <c r="AQ35">
        <v>1.4999999999999999E-2</v>
      </c>
      <c r="AR35">
        <v>-1.4999999999999999E-2</v>
      </c>
      <c r="AS35">
        <v>1E-3</v>
      </c>
      <c r="AT35">
        <v>-1E-3</v>
      </c>
      <c r="AU35">
        <v>1E-3</v>
      </c>
      <c r="AV35">
        <v>-1E-3</v>
      </c>
      <c r="AW35" s="16">
        <v>1.4999999999999999E-2</v>
      </c>
      <c r="AX35" s="16">
        <v>-1.4999999999999999E-2</v>
      </c>
    </row>
    <row r="36" spans="1:279" customFormat="1">
      <c r="F36" s="17" t="str">
        <f t="shared" si="0"/>
        <v/>
      </c>
      <c r="G36" s="9"/>
      <c r="H36" s="25">
        <v>1</v>
      </c>
      <c r="I36" s="5"/>
      <c r="J36" s="5"/>
      <c r="K36" s="5"/>
      <c r="L36" s="5"/>
      <c r="M36" s="5">
        <v>2</v>
      </c>
      <c r="N36" s="5"/>
      <c r="O36" s="5"/>
      <c r="P36" s="5"/>
      <c r="Q36" s="5"/>
      <c r="R36" s="5">
        <v>3</v>
      </c>
      <c r="S36" s="5"/>
      <c r="T36" s="5"/>
      <c r="U36" s="5"/>
      <c r="V36" s="5"/>
      <c r="W36" s="22">
        <f t="shared" si="1"/>
        <v>-2.8843000000000001</v>
      </c>
      <c r="X36" s="21">
        <f t="shared" si="2"/>
        <v>-0.34159200000000001</v>
      </c>
      <c r="Y36" s="21">
        <f t="shared" si="3"/>
        <v>-0.35375400000000001</v>
      </c>
      <c r="Z36" s="11">
        <f t="shared" si="4"/>
        <v>-1</v>
      </c>
      <c r="AA36" s="22">
        <f t="shared" si="5"/>
        <v>-2.8952800000000001</v>
      </c>
      <c r="AB36" s="21">
        <f t="shared" si="6"/>
        <v>-0.34190500000000001</v>
      </c>
      <c r="AC36" s="21">
        <f t="shared" si="7"/>
        <v>-0.35456300000000002</v>
      </c>
      <c r="AD36" s="11">
        <f t="shared" si="8"/>
        <v>-1</v>
      </c>
      <c r="AE36" s="22">
        <f t="shared" si="9"/>
        <v>-2.8690699999999998</v>
      </c>
      <c r="AF36" s="21">
        <f t="shared" si="10"/>
        <v>-0.341694</v>
      </c>
      <c r="AG36" s="21">
        <f t="shared" si="11"/>
        <v>-0.355713</v>
      </c>
      <c r="AH36" s="11">
        <f t="shared" si="12"/>
        <v>-1</v>
      </c>
      <c r="AI36">
        <v>2.5000000000000001E-2</v>
      </c>
      <c r="AJ36">
        <v>-2.5000000000000001E-2</v>
      </c>
      <c r="AK36">
        <v>1.5E-3</v>
      </c>
      <c r="AL36">
        <v>-1.5E-3</v>
      </c>
      <c r="AM36">
        <v>1.5E-3</v>
      </c>
      <c r="AN36">
        <v>-1.5E-3</v>
      </c>
      <c r="AO36" s="16">
        <v>2.5000000000000001E-2</v>
      </c>
      <c r="AP36" s="16">
        <v>-2.5000000000000001E-2</v>
      </c>
      <c r="AQ36">
        <v>1.4999999999999999E-2</v>
      </c>
      <c r="AR36">
        <v>-1.4999999999999999E-2</v>
      </c>
      <c r="AS36">
        <v>1E-3</v>
      </c>
      <c r="AT36">
        <v>-1E-3</v>
      </c>
      <c r="AU36">
        <v>1E-3</v>
      </c>
      <c r="AV36">
        <v>-1E-3</v>
      </c>
      <c r="AW36" s="16">
        <v>1.4999999999999999E-2</v>
      </c>
      <c r="AX36" s="16">
        <v>-1.4999999999999999E-2</v>
      </c>
    </row>
    <row r="37" spans="1:279" customFormat="1">
      <c r="F37" s="17" t="str">
        <f t="shared" si="0"/>
        <v/>
      </c>
      <c r="G37" s="9"/>
      <c r="H37" s="25">
        <v>1</v>
      </c>
      <c r="I37" s="5"/>
      <c r="J37" s="5"/>
      <c r="K37" s="5"/>
      <c r="L37" s="5"/>
      <c r="M37" s="5">
        <v>2</v>
      </c>
      <c r="N37" s="5"/>
      <c r="O37" s="5"/>
      <c r="P37" s="5"/>
      <c r="Q37" s="5"/>
      <c r="R37" s="5">
        <v>3</v>
      </c>
      <c r="S37" s="5"/>
      <c r="T37" s="5"/>
      <c r="U37" s="5"/>
      <c r="V37" s="5"/>
      <c r="W37" s="22">
        <f t="shared" si="1"/>
        <v>-2.8843000000000001</v>
      </c>
      <c r="X37" s="21">
        <f t="shared" si="2"/>
        <v>-0.34159200000000001</v>
      </c>
      <c r="Y37" s="21">
        <f t="shared" si="3"/>
        <v>-0.35375400000000001</v>
      </c>
      <c r="Z37" s="11">
        <f t="shared" si="4"/>
        <v>-1</v>
      </c>
      <c r="AA37" s="22">
        <f t="shared" si="5"/>
        <v>-2.8952800000000001</v>
      </c>
      <c r="AB37" s="21">
        <f t="shared" si="6"/>
        <v>-0.34190500000000001</v>
      </c>
      <c r="AC37" s="21">
        <f t="shared" si="7"/>
        <v>-0.35456300000000002</v>
      </c>
      <c r="AD37" s="11">
        <f t="shared" si="8"/>
        <v>-1</v>
      </c>
      <c r="AE37" s="22">
        <f t="shared" si="9"/>
        <v>-2.8690699999999998</v>
      </c>
      <c r="AF37" s="21">
        <f t="shared" si="10"/>
        <v>-0.341694</v>
      </c>
      <c r="AG37" s="21">
        <f t="shared" si="11"/>
        <v>-0.355713</v>
      </c>
      <c r="AH37" s="11">
        <f t="shared" si="12"/>
        <v>-1</v>
      </c>
      <c r="AI37">
        <v>2.5000000000000001E-2</v>
      </c>
      <c r="AJ37">
        <v>-2.5000000000000001E-2</v>
      </c>
      <c r="AK37">
        <v>1.5E-3</v>
      </c>
      <c r="AL37">
        <v>-1.5E-3</v>
      </c>
      <c r="AM37">
        <v>1.5E-3</v>
      </c>
      <c r="AN37">
        <v>-1.5E-3</v>
      </c>
      <c r="AO37" s="16">
        <v>2.5000000000000001E-2</v>
      </c>
      <c r="AP37" s="16">
        <v>-2.5000000000000001E-2</v>
      </c>
      <c r="AQ37">
        <v>1.4999999999999999E-2</v>
      </c>
      <c r="AR37">
        <v>-1.4999999999999999E-2</v>
      </c>
      <c r="AS37">
        <v>1E-3</v>
      </c>
      <c r="AT37">
        <v>-1E-3</v>
      </c>
      <c r="AU37">
        <v>1E-3</v>
      </c>
      <c r="AV37">
        <v>-1E-3</v>
      </c>
      <c r="AW37" s="16">
        <v>1.4999999999999999E-2</v>
      </c>
      <c r="AX37" s="16">
        <v>-1.4999999999999999E-2</v>
      </c>
    </row>
    <row r="38" spans="1:279" customFormat="1">
      <c r="F38" s="17" t="str">
        <f t="shared" si="0"/>
        <v/>
      </c>
      <c r="G38" s="9"/>
      <c r="H38" s="25">
        <v>1</v>
      </c>
      <c r="I38" s="5"/>
      <c r="J38" s="5"/>
      <c r="K38" s="5"/>
      <c r="L38" s="5"/>
      <c r="M38" s="5">
        <v>2</v>
      </c>
      <c r="N38" s="5"/>
      <c r="O38" s="5"/>
      <c r="P38" s="5"/>
      <c r="Q38" s="5"/>
      <c r="R38" s="5">
        <v>3</v>
      </c>
      <c r="S38" s="5"/>
      <c r="T38" s="5"/>
      <c r="U38" s="5"/>
      <c r="V38" s="5"/>
      <c r="W38" s="22">
        <f t="shared" si="1"/>
        <v>-2.8843000000000001</v>
      </c>
      <c r="X38" s="21">
        <f t="shared" si="2"/>
        <v>-0.34159200000000001</v>
      </c>
      <c r="Y38" s="21">
        <f t="shared" si="3"/>
        <v>-0.35375400000000001</v>
      </c>
      <c r="Z38" s="11">
        <f t="shared" si="4"/>
        <v>-1</v>
      </c>
      <c r="AA38" s="22">
        <f t="shared" si="5"/>
        <v>-2.8952800000000001</v>
      </c>
      <c r="AB38" s="21">
        <f t="shared" si="6"/>
        <v>-0.34190500000000001</v>
      </c>
      <c r="AC38" s="21">
        <f t="shared" si="7"/>
        <v>-0.35456300000000002</v>
      </c>
      <c r="AD38" s="11">
        <f t="shared" si="8"/>
        <v>-1</v>
      </c>
      <c r="AE38" s="22">
        <f t="shared" si="9"/>
        <v>-2.8690699999999998</v>
      </c>
      <c r="AF38" s="21">
        <f t="shared" si="10"/>
        <v>-0.341694</v>
      </c>
      <c r="AG38" s="21">
        <f t="shared" si="11"/>
        <v>-0.355713</v>
      </c>
      <c r="AH38" s="11">
        <f t="shared" si="12"/>
        <v>-1</v>
      </c>
      <c r="AI38">
        <v>2.5000000000000001E-2</v>
      </c>
      <c r="AJ38">
        <v>-2.5000000000000001E-2</v>
      </c>
      <c r="AK38">
        <v>1.5E-3</v>
      </c>
      <c r="AL38">
        <v>-1.5E-3</v>
      </c>
      <c r="AM38">
        <v>1.5E-3</v>
      </c>
      <c r="AN38">
        <v>-1.5E-3</v>
      </c>
      <c r="AO38" s="16">
        <v>2.5000000000000001E-2</v>
      </c>
      <c r="AP38" s="16">
        <v>-2.5000000000000001E-2</v>
      </c>
      <c r="AQ38">
        <v>1.4999999999999999E-2</v>
      </c>
      <c r="AR38">
        <v>-1.4999999999999999E-2</v>
      </c>
      <c r="AS38">
        <v>1E-3</v>
      </c>
      <c r="AT38">
        <v>-1E-3</v>
      </c>
      <c r="AU38">
        <v>1E-3</v>
      </c>
      <c r="AV38">
        <v>-1E-3</v>
      </c>
      <c r="AW38" s="16">
        <v>1.4999999999999999E-2</v>
      </c>
      <c r="AX38" s="16">
        <v>-1.4999999999999999E-2</v>
      </c>
    </row>
    <row r="39" spans="1:279" customFormat="1">
      <c r="F39" s="17" t="str">
        <f t="shared" si="0"/>
        <v/>
      </c>
      <c r="G39" s="9"/>
      <c r="H39" s="25">
        <v>1</v>
      </c>
      <c r="I39" s="5"/>
      <c r="J39" s="5"/>
      <c r="K39" s="5"/>
      <c r="L39" s="5"/>
      <c r="M39" s="5">
        <v>2</v>
      </c>
      <c r="N39" s="5"/>
      <c r="O39" s="5"/>
      <c r="P39" s="5"/>
      <c r="Q39" s="5"/>
      <c r="R39" s="5">
        <v>3</v>
      </c>
      <c r="S39" s="5"/>
      <c r="T39" s="5"/>
      <c r="U39" s="5"/>
      <c r="V39" s="5"/>
      <c r="W39" s="22">
        <f t="shared" si="1"/>
        <v>-2.8843000000000001</v>
      </c>
      <c r="X39" s="21">
        <f t="shared" si="2"/>
        <v>-0.34159200000000001</v>
      </c>
      <c r="Y39" s="21">
        <f t="shared" si="3"/>
        <v>-0.35375400000000001</v>
      </c>
      <c r="Z39" s="11">
        <f t="shared" si="4"/>
        <v>-1</v>
      </c>
      <c r="AA39" s="22">
        <f t="shared" si="5"/>
        <v>-2.8952800000000001</v>
      </c>
      <c r="AB39" s="21">
        <f t="shared" si="6"/>
        <v>-0.34190500000000001</v>
      </c>
      <c r="AC39" s="21">
        <f t="shared" si="7"/>
        <v>-0.35456300000000002</v>
      </c>
      <c r="AD39" s="11">
        <f t="shared" si="8"/>
        <v>-1</v>
      </c>
      <c r="AE39" s="22">
        <f t="shared" si="9"/>
        <v>-2.8690699999999998</v>
      </c>
      <c r="AF39" s="21">
        <f t="shared" si="10"/>
        <v>-0.341694</v>
      </c>
      <c r="AG39" s="21">
        <f t="shared" si="11"/>
        <v>-0.355713</v>
      </c>
      <c r="AH39" s="11">
        <f t="shared" si="12"/>
        <v>-1</v>
      </c>
      <c r="AI39">
        <v>2.5000000000000001E-2</v>
      </c>
      <c r="AJ39">
        <v>-2.5000000000000001E-2</v>
      </c>
      <c r="AK39">
        <v>1.5E-3</v>
      </c>
      <c r="AL39">
        <v>-1.5E-3</v>
      </c>
      <c r="AM39">
        <v>1.5E-3</v>
      </c>
      <c r="AN39">
        <v>-1.5E-3</v>
      </c>
      <c r="AO39" s="16">
        <v>2.5000000000000001E-2</v>
      </c>
      <c r="AP39" s="16">
        <v>-2.5000000000000001E-2</v>
      </c>
      <c r="AQ39">
        <v>1.4999999999999999E-2</v>
      </c>
      <c r="AR39">
        <v>-1.4999999999999999E-2</v>
      </c>
      <c r="AS39">
        <v>1E-3</v>
      </c>
      <c r="AT39">
        <v>-1E-3</v>
      </c>
      <c r="AU39">
        <v>1E-3</v>
      </c>
      <c r="AV39">
        <v>-1E-3</v>
      </c>
      <c r="AW39" s="16">
        <v>1.4999999999999999E-2</v>
      </c>
      <c r="AX39" s="16">
        <v>-1.4999999999999999E-2</v>
      </c>
    </row>
    <row r="40" spans="1:279" customFormat="1">
      <c r="F40" s="17" t="str">
        <f t="shared" si="0"/>
        <v/>
      </c>
      <c r="G40" s="9"/>
      <c r="H40" s="25">
        <v>1</v>
      </c>
      <c r="I40" s="5"/>
      <c r="J40" s="5"/>
      <c r="K40" s="5"/>
      <c r="L40" s="5"/>
      <c r="M40" s="5">
        <v>2</v>
      </c>
      <c r="N40" s="5"/>
      <c r="O40" s="5"/>
      <c r="P40" s="5"/>
      <c r="Q40" s="5"/>
      <c r="R40" s="5">
        <v>3</v>
      </c>
      <c r="S40" s="5"/>
      <c r="T40" s="5"/>
      <c r="U40" s="5"/>
      <c r="V40" s="5"/>
      <c r="W40" s="22">
        <f t="shared" si="1"/>
        <v>-2.8843000000000001</v>
      </c>
      <c r="X40" s="21">
        <f t="shared" si="2"/>
        <v>-0.34159200000000001</v>
      </c>
      <c r="Y40" s="21">
        <f t="shared" si="3"/>
        <v>-0.35375400000000001</v>
      </c>
      <c r="Z40" s="11">
        <f t="shared" si="4"/>
        <v>-1</v>
      </c>
      <c r="AA40" s="22">
        <f t="shared" si="5"/>
        <v>-2.8952800000000001</v>
      </c>
      <c r="AB40" s="21">
        <f t="shared" si="6"/>
        <v>-0.34190500000000001</v>
      </c>
      <c r="AC40" s="21">
        <f t="shared" si="7"/>
        <v>-0.35456300000000002</v>
      </c>
      <c r="AD40" s="11">
        <f t="shared" si="8"/>
        <v>-1</v>
      </c>
      <c r="AE40" s="22">
        <f t="shared" si="9"/>
        <v>-2.8690699999999998</v>
      </c>
      <c r="AF40" s="21">
        <f t="shared" si="10"/>
        <v>-0.341694</v>
      </c>
      <c r="AG40" s="21">
        <f t="shared" si="11"/>
        <v>-0.355713</v>
      </c>
      <c r="AH40" s="11">
        <f t="shared" si="12"/>
        <v>-1</v>
      </c>
      <c r="AI40">
        <v>2.5000000000000001E-2</v>
      </c>
      <c r="AJ40">
        <v>-2.5000000000000001E-2</v>
      </c>
      <c r="AK40">
        <v>1.5E-3</v>
      </c>
      <c r="AL40">
        <v>-1.5E-3</v>
      </c>
      <c r="AM40">
        <v>1.5E-3</v>
      </c>
      <c r="AN40">
        <v>-1.5E-3</v>
      </c>
      <c r="AO40" s="16">
        <v>2.5000000000000001E-2</v>
      </c>
      <c r="AP40" s="16">
        <v>-2.5000000000000001E-2</v>
      </c>
      <c r="AQ40">
        <v>1.4999999999999999E-2</v>
      </c>
      <c r="AR40">
        <v>-1.4999999999999999E-2</v>
      </c>
      <c r="AS40">
        <v>1E-3</v>
      </c>
      <c r="AT40">
        <v>-1E-3</v>
      </c>
      <c r="AU40">
        <v>1E-3</v>
      </c>
      <c r="AV40">
        <v>-1E-3</v>
      </c>
      <c r="AW40" s="16">
        <v>1.4999999999999999E-2</v>
      </c>
      <c r="AX40" s="16">
        <v>-1.4999999999999999E-2</v>
      </c>
    </row>
    <row r="41" spans="1:279" customFormat="1">
      <c r="F41" s="17" t="str">
        <f t="shared" si="0"/>
        <v/>
      </c>
      <c r="G41" s="9"/>
      <c r="H41" s="25">
        <v>1</v>
      </c>
      <c r="I41" s="5"/>
      <c r="J41" s="5"/>
      <c r="K41" s="5"/>
      <c r="L41" s="5"/>
      <c r="M41" s="5">
        <v>2</v>
      </c>
      <c r="N41" s="5"/>
      <c r="O41" s="5"/>
      <c r="P41" s="5"/>
      <c r="Q41" s="5"/>
      <c r="R41" s="5">
        <v>3</v>
      </c>
      <c r="S41" s="5"/>
      <c r="T41" s="5"/>
      <c r="U41" s="5"/>
      <c r="V41" s="5"/>
      <c r="W41" s="22">
        <f t="shared" si="1"/>
        <v>-2.8843000000000001</v>
      </c>
      <c r="X41" s="21">
        <f t="shared" si="2"/>
        <v>-0.34159200000000001</v>
      </c>
      <c r="Y41" s="21">
        <f t="shared" si="3"/>
        <v>-0.35375400000000001</v>
      </c>
      <c r="Z41" s="11">
        <f t="shared" si="4"/>
        <v>-1</v>
      </c>
      <c r="AA41" s="22">
        <f t="shared" si="5"/>
        <v>-2.8952800000000001</v>
      </c>
      <c r="AB41" s="21">
        <f t="shared" si="6"/>
        <v>-0.34190500000000001</v>
      </c>
      <c r="AC41" s="21">
        <f t="shared" si="7"/>
        <v>-0.35456300000000002</v>
      </c>
      <c r="AD41" s="11">
        <f t="shared" si="8"/>
        <v>-1</v>
      </c>
      <c r="AE41" s="22">
        <f t="shared" si="9"/>
        <v>-2.8690699999999998</v>
      </c>
      <c r="AF41" s="21">
        <f t="shared" si="10"/>
        <v>-0.341694</v>
      </c>
      <c r="AG41" s="21">
        <f t="shared" si="11"/>
        <v>-0.355713</v>
      </c>
      <c r="AH41" s="11">
        <f t="shared" si="12"/>
        <v>-1</v>
      </c>
      <c r="AI41">
        <v>2.5000000000000001E-2</v>
      </c>
      <c r="AJ41">
        <v>-2.5000000000000001E-2</v>
      </c>
      <c r="AK41">
        <v>1.5E-3</v>
      </c>
      <c r="AL41">
        <v>-1.5E-3</v>
      </c>
      <c r="AM41">
        <v>1.5E-3</v>
      </c>
      <c r="AN41">
        <v>-1.5E-3</v>
      </c>
      <c r="AO41" s="16">
        <v>2.5000000000000001E-2</v>
      </c>
      <c r="AP41" s="16">
        <v>-2.5000000000000001E-2</v>
      </c>
      <c r="AQ41">
        <v>1.4999999999999999E-2</v>
      </c>
      <c r="AR41">
        <v>-1.4999999999999999E-2</v>
      </c>
      <c r="AS41">
        <v>1E-3</v>
      </c>
      <c r="AT41">
        <v>-1E-3</v>
      </c>
      <c r="AU41">
        <v>1E-3</v>
      </c>
      <c r="AV41">
        <v>-1E-3</v>
      </c>
      <c r="AW41" s="16">
        <v>1.4999999999999999E-2</v>
      </c>
      <c r="AX41" s="16">
        <v>-1.4999999999999999E-2</v>
      </c>
    </row>
    <row r="42" spans="1:279" customFormat="1">
      <c r="F42" s="17" t="str">
        <f t="shared" si="0"/>
        <v/>
      </c>
      <c r="G42" s="9"/>
      <c r="H42" s="25">
        <v>1</v>
      </c>
      <c r="I42" s="5"/>
      <c r="J42" s="5"/>
      <c r="K42" s="5"/>
      <c r="L42" s="5"/>
      <c r="M42" s="5">
        <v>2</v>
      </c>
      <c r="N42" s="5"/>
      <c r="O42" s="5"/>
      <c r="P42" s="5"/>
      <c r="Q42" s="5"/>
      <c r="R42" s="5">
        <v>3</v>
      </c>
      <c r="S42" s="5"/>
      <c r="T42" s="5"/>
      <c r="U42" s="5"/>
      <c r="V42" s="5"/>
      <c r="W42" s="22">
        <f t="shared" si="1"/>
        <v>-2.8843000000000001</v>
      </c>
      <c r="X42" s="21">
        <f t="shared" si="2"/>
        <v>-0.34159200000000001</v>
      </c>
      <c r="Y42" s="21">
        <f t="shared" si="3"/>
        <v>-0.35375400000000001</v>
      </c>
      <c r="Z42" s="11">
        <f t="shared" si="4"/>
        <v>-1</v>
      </c>
      <c r="AA42" s="22">
        <f t="shared" si="5"/>
        <v>-2.8952800000000001</v>
      </c>
      <c r="AB42" s="21">
        <f t="shared" si="6"/>
        <v>-0.34190500000000001</v>
      </c>
      <c r="AC42" s="21">
        <f t="shared" si="7"/>
        <v>-0.35456300000000002</v>
      </c>
      <c r="AD42" s="11">
        <f t="shared" si="8"/>
        <v>-1</v>
      </c>
      <c r="AE42" s="22">
        <f t="shared" si="9"/>
        <v>-2.8690699999999998</v>
      </c>
      <c r="AF42" s="21">
        <f t="shared" si="10"/>
        <v>-0.341694</v>
      </c>
      <c r="AG42" s="21">
        <f t="shared" si="11"/>
        <v>-0.355713</v>
      </c>
      <c r="AH42" s="11">
        <f t="shared" si="12"/>
        <v>-1</v>
      </c>
      <c r="AI42">
        <v>2.5000000000000001E-2</v>
      </c>
      <c r="AJ42">
        <v>-2.5000000000000001E-2</v>
      </c>
      <c r="AK42">
        <v>1.5E-3</v>
      </c>
      <c r="AL42">
        <v>-1.5E-3</v>
      </c>
      <c r="AM42">
        <v>1.5E-3</v>
      </c>
      <c r="AN42">
        <v>-1.5E-3</v>
      </c>
      <c r="AO42" s="16">
        <v>2.5000000000000001E-2</v>
      </c>
      <c r="AP42" s="16">
        <v>-2.5000000000000001E-2</v>
      </c>
      <c r="AQ42">
        <v>1.4999999999999999E-2</v>
      </c>
      <c r="AR42">
        <v>-1.4999999999999999E-2</v>
      </c>
      <c r="AS42">
        <v>1E-3</v>
      </c>
      <c r="AT42">
        <v>-1E-3</v>
      </c>
      <c r="AU42">
        <v>1E-3</v>
      </c>
      <c r="AV42">
        <v>-1E-3</v>
      </c>
      <c r="AW42" s="16">
        <v>1.4999999999999999E-2</v>
      </c>
      <c r="AX42" s="16">
        <v>-1.4999999999999999E-2</v>
      </c>
    </row>
    <row r="43" spans="1:279" customFormat="1">
      <c r="F43" s="17" t="str">
        <f t="shared" si="0"/>
        <v/>
      </c>
      <c r="G43" s="9"/>
      <c r="H43" s="25">
        <v>1</v>
      </c>
      <c r="I43" s="5"/>
      <c r="J43" s="5"/>
      <c r="K43" s="5"/>
      <c r="L43" s="5"/>
      <c r="M43" s="5">
        <v>2</v>
      </c>
      <c r="N43" s="5"/>
      <c r="O43" s="5"/>
      <c r="P43" s="5"/>
      <c r="Q43" s="5"/>
      <c r="R43" s="5">
        <v>3</v>
      </c>
      <c r="S43" s="5"/>
      <c r="T43" s="5"/>
      <c r="U43" s="5"/>
      <c r="V43" s="5"/>
      <c r="W43" s="22">
        <f t="shared" si="1"/>
        <v>-2.8843000000000001</v>
      </c>
      <c r="X43" s="21">
        <f t="shared" si="2"/>
        <v>-0.34159200000000001</v>
      </c>
      <c r="Y43" s="21">
        <f t="shared" si="3"/>
        <v>-0.35375400000000001</v>
      </c>
      <c r="Z43" s="11">
        <f t="shared" si="4"/>
        <v>-1</v>
      </c>
      <c r="AA43" s="22">
        <f t="shared" si="5"/>
        <v>-2.8952800000000001</v>
      </c>
      <c r="AB43" s="21">
        <f t="shared" si="6"/>
        <v>-0.34190500000000001</v>
      </c>
      <c r="AC43" s="21">
        <f t="shared" si="7"/>
        <v>-0.35456300000000002</v>
      </c>
      <c r="AD43" s="11">
        <f t="shared" si="8"/>
        <v>-1</v>
      </c>
      <c r="AE43" s="22">
        <f t="shared" si="9"/>
        <v>-2.8690699999999998</v>
      </c>
      <c r="AF43" s="21">
        <f t="shared" si="10"/>
        <v>-0.341694</v>
      </c>
      <c r="AG43" s="21">
        <f t="shared" si="11"/>
        <v>-0.355713</v>
      </c>
      <c r="AH43" s="11">
        <f t="shared" si="12"/>
        <v>-1</v>
      </c>
      <c r="AI43">
        <v>2.5000000000000001E-2</v>
      </c>
      <c r="AJ43">
        <v>-2.5000000000000001E-2</v>
      </c>
      <c r="AK43">
        <v>1.5E-3</v>
      </c>
      <c r="AL43">
        <v>-1.5E-3</v>
      </c>
      <c r="AM43">
        <v>1.5E-3</v>
      </c>
      <c r="AN43">
        <v>-1.5E-3</v>
      </c>
      <c r="AO43" s="16">
        <v>2.5000000000000001E-2</v>
      </c>
      <c r="AP43" s="16">
        <v>-2.5000000000000001E-2</v>
      </c>
      <c r="AQ43">
        <v>1.4999999999999999E-2</v>
      </c>
      <c r="AR43">
        <v>-1.4999999999999999E-2</v>
      </c>
      <c r="AS43">
        <v>1E-3</v>
      </c>
      <c r="AT43">
        <v>-1E-3</v>
      </c>
      <c r="AU43">
        <v>1E-3</v>
      </c>
      <c r="AV43">
        <v>-1E-3</v>
      </c>
      <c r="AW43" s="16">
        <v>1.4999999999999999E-2</v>
      </c>
      <c r="AX43" s="16">
        <v>-1.4999999999999999E-2</v>
      </c>
    </row>
    <row r="44" spans="1:279" customFormat="1">
      <c r="F44" s="17" t="str">
        <f t="shared" si="0"/>
        <v/>
      </c>
      <c r="G44" s="9"/>
      <c r="H44" s="25">
        <v>1</v>
      </c>
      <c r="I44" s="5"/>
      <c r="J44" s="5"/>
      <c r="K44" s="5"/>
      <c r="L44" s="5"/>
      <c r="M44" s="5">
        <v>2</v>
      </c>
      <c r="N44" s="5"/>
      <c r="O44" s="5"/>
      <c r="P44" s="5"/>
      <c r="Q44" s="5"/>
      <c r="R44" s="5">
        <v>3</v>
      </c>
      <c r="S44" s="5"/>
      <c r="T44" s="5"/>
      <c r="U44" s="5"/>
      <c r="V44" s="5"/>
      <c r="W44" s="22">
        <f t="shared" si="1"/>
        <v>-2.8843000000000001</v>
      </c>
      <c r="X44" s="21">
        <f t="shared" si="2"/>
        <v>-0.34159200000000001</v>
      </c>
      <c r="Y44" s="21">
        <f t="shared" si="3"/>
        <v>-0.35375400000000001</v>
      </c>
      <c r="Z44" s="11">
        <f t="shared" si="4"/>
        <v>-1</v>
      </c>
      <c r="AA44" s="22">
        <f t="shared" si="5"/>
        <v>-2.8952800000000001</v>
      </c>
      <c r="AB44" s="21">
        <f t="shared" si="6"/>
        <v>-0.34190500000000001</v>
      </c>
      <c r="AC44" s="21">
        <f t="shared" si="7"/>
        <v>-0.35456300000000002</v>
      </c>
      <c r="AD44" s="11">
        <f t="shared" si="8"/>
        <v>-1</v>
      </c>
      <c r="AE44" s="22">
        <f t="shared" si="9"/>
        <v>-2.8690699999999998</v>
      </c>
      <c r="AF44" s="21">
        <f t="shared" si="10"/>
        <v>-0.341694</v>
      </c>
      <c r="AG44" s="21">
        <f t="shared" si="11"/>
        <v>-0.355713</v>
      </c>
      <c r="AH44" s="11">
        <f t="shared" si="12"/>
        <v>-1</v>
      </c>
      <c r="AI44">
        <v>2.5000000000000001E-2</v>
      </c>
      <c r="AJ44">
        <v>-2.5000000000000001E-2</v>
      </c>
      <c r="AK44">
        <v>1.5E-3</v>
      </c>
      <c r="AL44">
        <v>-1.5E-3</v>
      </c>
      <c r="AM44">
        <v>1.5E-3</v>
      </c>
      <c r="AN44">
        <v>-1.5E-3</v>
      </c>
      <c r="AO44" s="16">
        <v>2.5000000000000001E-2</v>
      </c>
      <c r="AP44" s="16">
        <v>-2.5000000000000001E-2</v>
      </c>
      <c r="AQ44">
        <v>1.4999999999999999E-2</v>
      </c>
      <c r="AR44">
        <v>-1.4999999999999999E-2</v>
      </c>
      <c r="AS44">
        <v>1E-3</v>
      </c>
      <c r="AT44">
        <v>-1E-3</v>
      </c>
      <c r="AU44">
        <v>1E-3</v>
      </c>
      <c r="AV44">
        <v>-1E-3</v>
      </c>
      <c r="AW44" s="16">
        <v>1.4999999999999999E-2</v>
      </c>
      <c r="AX44" s="16">
        <v>-1.4999999999999999E-2</v>
      </c>
    </row>
    <row r="45" spans="1:279" customFormat="1">
      <c r="F45" s="17" t="str">
        <f t="shared" si="0"/>
        <v/>
      </c>
      <c r="G45" s="9"/>
      <c r="H45" s="25">
        <v>1</v>
      </c>
      <c r="I45" s="5"/>
      <c r="J45" s="5"/>
      <c r="K45" s="5"/>
      <c r="L45" s="5"/>
      <c r="M45" s="5">
        <v>2</v>
      </c>
      <c r="N45" s="5"/>
      <c r="O45" s="5"/>
      <c r="P45" s="5"/>
      <c r="Q45" s="5"/>
      <c r="R45" s="5">
        <v>3</v>
      </c>
      <c r="S45" s="5"/>
      <c r="T45" s="5"/>
      <c r="U45" s="5"/>
      <c r="V45" s="5"/>
      <c r="W45" s="22">
        <f t="shared" si="1"/>
        <v>-2.8843000000000001</v>
      </c>
      <c r="X45" s="21">
        <f t="shared" si="2"/>
        <v>-0.34159200000000001</v>
      </c>
      <c r="Y45" s="21">
        <f t="shared" si="3"/>
        <v>-0.35375400000000001</v>
      </c>
      <c r="Z45" s="11">
        <f t="shared" si="4"/>
        <v>-1</v>
      </c>
      <c r="AA45" s="22">
        <f t="shared" si="5"/>
        <v>-2.8952800000000001</v>
      </c>
      <c r="AB45" s="21">
        <f t="shared" si="6"/>
        <v>-0.34190500000000001</v>
      </c>
      <c r="AC45" s="21">
        <f t="shared" si="7"/>
        <v>-0.35456300000000002</v>
      </c>
      <c r="AD45" s="11">
        <f t="shared" si="8"/>
        <v>-1</v>
      </c>
      <c r="AE45" s="22">
        <f t="shared" si="9"/>
        <v>-2.8690699999999998</v>
      </c>
      <c r="AF45" s="21">
        <f t="shared" si="10"/>
        <v>-0.341694</v>
      </c>
      <c r="AG45" s="21">
        <f t="shared" si="11"/>
        <v>-0.355713</v>
      </c>
      <c r="AH45" s="11">
        <f t="shared" si="12"/>
        <v>-1</v>
      </c>
      <c r="AI45">
        <v>2.5000000000000001E-2</v>
      </c>
      <c r="AJ45">
        <v>-2.5000000000000001E-2</v>
      </c>
      <c r="AK45">
        <v>1.5E-3</v>
      </c>
      <c r="AL45">
        <v>-1.5E-3</v>
      </c>
      <c r="AM45">
        <v>1.5E-3</v>
      </c>
      <c r="AN45">
        <v>-1.5E-3</v>
      </c>
      <c r="AO45" s="16">
        <v>2.5000000000000001E-2</v>
      </c>
      <c r="AP45" s="16">
        <v>-2.5000000000000001E-2</v>
      </c>
      <c r="AQ45">
        <v>1.4999999999999999E-2</v>
      </c>
      <c r="AR45">
        <v>-1.4999999999999999E-2</v>
      </c>
      <c r="AS45">
        <v>1E-3</v>
      </c>
      <c r="AT45">
        <v>-1E-3</v>
      </c>
      <c r="AU45">
        <v>1E-3</v>
      </c>
      <c r="AV45">
        <v>-1E-3</v>
      </c>
      <c r="AW45" s="16">
        <v>1.4999999999999999E-2</v>
      </c>
      <c r="AX45" s="16">
        <v>-1.4999999999999999E-2</v>
      </c>
    </row>
    <row r="46" spans="1:279" customFormat="1">
      <c r="F46" s="17" t="str">
        <f t="shared" si="0"/>
        <v/>
      </c>
      <c r="G46" s="9"/>
      <c r="H46" s="25">
        <v>1</v>
      </c>
      <c r="I46" s="5"/>
      <c r="J46" s="5"/>
      <c r="K46" s="5"/>
      <c r="L46" s="5"/>
      <c r="M46" s="5">
        <v>2</v>
      </c>
      <c r="N46" s="5"/>
      <c r="O46" s="5"/>
      <c r="P46" s="5"/>
      <c r="Q46" s="5"/>
      <c r="R46" s="5">
        <v>3</v>
      </c>
      <c r="S46" s="5"/>
      <c r="T46" s="5"/>
      <c r="U46" s="5"/>
      <c r="V46" s="5"/>
      <c r="W46" s="22">
        <f t="shared" si="1"/>
        <v>-2.8843000000000001</v>
      </c>
      <c r="X46" s="21">
        <f t="shared" si="2"/>
        <v>-0.34159200000000001</v>
      </c>
      <c r="Y46" s="21">
        <f t="shared" si="3"/>
        <v>-0.35375400000000001</v>
      </c>
      <c r="Z46" s="11">
        <f t="shared" si="4"/>
        <v>-1</v>
      </c>
      <c r="AA46" s="22">
        <f t="shared" si="5"/>
        <v>-2.8952800000000001</v>
      </c>
      <c r="AB46" s="21">
        <f t="shared" si="6"/>
        <v>-0.34190500000000001</v>
      </c>
      <c r="AC46" s="21">
        <f t="shared" si="7"/>
        <v>-0.35456300000000002</v>
      </c>
      <c r="AD46" s="11">
        <f t="shared" si="8"/>
        <v>-1</v>
      </c>
      <c r="AE46" s="22">
        <f t="shared" si="9"/>
        <v>-2.8690699999999998</v>
      </c>
      <c r="AF46" s="21">
        <f t="shared" si="10"/>
        <v>-0.341694</v>
      </c>
      <c r="AG46" s="21">
        <f t="shared" si="11"/>
        <v>-0.355713</v>
      </c>
      <c r="AH46" s="11">
        <f t="shared" si="12"/>
        <v>-1</v>
      </c>
      <c r="AI46">
        <v>2.5000000000000001E-2</v>
      </c>
      <c r="AJ46">
        <v>-2.5000000000000001E-2</v>
      </c>
      <c r="AK46">
        <v>1.5E-3</v>
      </c>
      <c r="AL46">
        <v>-1.5E-3</v>
      </c>
      <c r="AM46">
        <v>1.5E-3</v>
      </c>
      <c r="AN46">
        <v>-1.5E-3</v>
      </c>
      <c r="AO46" s="16">
        <v>2.5000000000000001E-2</v>
      </c>
      <c r="AP46" s="16">
        <v>-2.5000000000000001E-2</v>
      </c>
      <c r="AQ46">
        <v>1.4999999999999999E-2</v>
      </c>
      <c r="AR46">
        <v>-1.4999999999999999E-2</v>
      </c>
      <c r="AS46">
        <v>1E-3</v>
      </c>
      <c r="AT46">
        <v>-1E-3</v>
      </c>
      <c r="AU46">
        <v>1E-3</v>
      </c>
      <c r="AV46">
        <v>-1E-3</v>
      </c>
      <c r="AW46" s="16">
        <v>1.4999999999999999E-2</v>
      </c>
      <c r="AX46" s="16">
        <v>-1.4999999999999999E-2</v>
      </c>
      <c r="JR46">
        <v>12.849506578947368</v>
      </c>
      <c r="JS46">
        <v>25.699013157894736</v>
      </c>
    </row>
    <row r="47" spans="1:279" customFormat="1">
      <c r="F47" s="17" t="str">
        <f t="shared" si="0"/>
        <v/>
      </c>
      <c r="G47" s="9"/>
      <c r="H47" s="2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22" t="e">
        <f t="shared" si="1"/>
        <v>#N/A</v>
      </c>
      <c r="X47" s="21" t="e">
        <f t="shared" si="2"/>
        <v>#N/A</v>
      </c>
      <c r="Y47" s="21" t="e">
        <f t="shared" si="3"/>
        <v>#N/A</v>
      </c>
      <c r="Z47" s="11" t="e">
        <f t="shared" si="4"/>
        <v>#N/A</v>
      </c>
      <c r="AA47" s="22" t="e">
        <f t="shared" si="5"/>
        <v>#N/A</v>
      </c>
      <c r="AB47" s="21" t="e">
        <f t="shared" si="6"/>
        <v>#N/A</v>
      </c>
      <c r="AC47" s="21" t="e">
        <f t="shared" si="7"/>
        <v>#N/A</v>
      </c>
      <c r="AD47" s="11" t="e">
        <f t="shared" si="8"/>
        <v>#N/A</v>
      </c>
      <c r="AE47" s="22" t="e">
        <f t="shared" si="9"/>
        <v>#N/A</v>
      </c>
      <c r="AF47" s="21" t="e">
        <f t="shared" si="10"/>
        <v>#N/A</v>
      </c>
      <c r="AG47" s="21" t="e">
        <f t="shared" si="11"/>
        <v>#N/A</v>
      </c>
      <c r="AH47" s="11" t="e">
        <f t="shared" si="12"/>
        <v>#N/A</v>
      </c>
      <c r="AI47">
        <v>2.5000000000000001E-2</v>
      </c>
      <c r="AJ47">
        <v>-2.5000000000000001E-2</v>
      </c>
      <c r="AK47">
        <v>1.5E-3</v>
      </c>
      <c r="AL47">
        <v>-1.5E-3</v>
      </c>
      <c r="AM47">
        <v>1.5E-3</v>
      </c>
      <c r="AN47">
        <v>-1.5E-3</v>
      </c>
      <c r="AO47" s="16">
        <v>2.5000000000000001E-2</v>
      </c>
      <c r="AP47" s="16">
        <v>-2.5000000000000001E-2</v>
      </c>
      <c r="AQ47">
        <v>1.4999999999999999E-2</v>
      </c>
      <c r="AR47">
        <v>-1.4999999999999999E-2</v>
      </c>
      <c r="AS47">
        <v>1E-3</v>
      </c>
      <c r="AT47">
        <v>-1E-3</v>
      </c>
      <c r="AU47">
        <v>1E-3</v>
      </c>
      <c r="AV47">
        <v>-1E-3</v>
      </c>
      <c r="AW47" s="16">
        <v>1.4999999999999999E-2</v>
      </c>
      <c r="AX47" s="16">
        <v>-1.4999999999999999E-2</v>
      </c>
    </row>
    <row r="48" spans="1:279" customFormat="1">
      <c r="F48" s="17" t="str">
        <f t="shared" si="0"/>
        <v/>
      </c>
      <c r="G48" s="9"/>
      <c r="H48" s="2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22" t="e">
        <f t="shared" si="1"/>
        <v>#N/A</v>
      </c>
      <c r="X48" s="21" t="e">
        <f t="shared" si="2"/>
        <v>#N/A</v>
      </c>
      <c r="Y48" s="21" t="e">
        <f t="shared" si="3"/>
        <v>#N/A</v>
      </c>
      <c r="Z48" s="11" t="e">
        <f t="shared" si="4"/>
        <v>#N/A</v>
      </c>
      <c r="AA48" s="22" t="e">
        <f t="shared" si="5"/>
        <v>#N/A</v>
      </c>
      <c r="AB48" s="21" t="e">
        <f t="shared" si="6"/>
        <v>#N/A</v>
      </c>
      <c r="AC48" s="21" t="e">
        <f t="shared" si="7"/>
        <v>#N/A</v>
      </c>
      <c r="AD48" s="11" t="e">
        <f t="shared" si="8"/>
        <v>#N/A</v>
      </c>
      <c r="AE48" s="22" t="e">
        <f t="shared" si="9"/>
        <v>#N/A</v>
      </c>
      <c r="AF48" s="21" t="e">
        <f t="shared" si="10"/>
        <v>#N/A</v>
      </c>
      <c r="AG48" s="21" t="e">
        <f t="shared" si="11"/>
        <v>#N/A</v>
      </c>
      <c r="AH48" s="11" t="e">
        <f t="shared" si="12"/>
        <v>#N/A</v>
      </c>
      <c r="AI48">
        <v>2.5000000000000001E-2</v>
      </c>
      <c r="AJ48">
        <v>-2.5000000000000001E-2</v>
      </c>
      <c r="AK48">
        <v>1.5E-3</v>
      </c>
      <c r="AL48">
        <v>-1.5E-3</v>
      </c>
      <c r="AM48">
        <v>1.5E-3</v>
      </c>
      <c r="AN48">
        <v>-1.5E-3</v>
      </c>
      <c r="AO48" s="16">
        <v>2.5000000000000001E-2</v>
      </c>
      <c r="AP48" s="16">
        <v>-2.5000000000000001E-2</v>
      </c>
      <c r="AQ48">
        <v>1.4999999999999999E-2</v>
      </c>
      <c r="AR48">
        <v>-1.4999999999999999E-2</v>
      </c>
      <c r="AS48">
        <v>1E-3</v>
      </c>
      <c r="AT48">
        <v>-1E-3</v>
      </c>
      <c r="AU48">
        <v>1E-3</v>
      </c>
      <c r="AV48">
        <v>-1E-3</v>
      </c>
      <c r="AW48" s="16">
        <v>1.4999999999999999E-2</v>
      </c>
      <c r="AX48" s="16">
        <v>-1.4999999999999999E-2</v>
      </c>
      <c r="JQ48">
        <v>12.849506578947368</v>
      </c>
      <c r="JR48">
        <v>12.849506578947368</v>
      </c>
      <c r="JS48">
        <v>12.849506578947368</v>
      </c>
    </row>
    <row r="49" spans="6:279" customFormat="1">
      <c r="F49" s="17" t="str">
        <f t="shared" si="0"/>
        <v/>
      </c>
      <c r="G49" s="9"/>
      <c r="H49" s="2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22" t="e">
        <f t="shared" si="1"/>
        <v>#N/A</v>
      </c>
      <c r="X49" s="21" t="e">
        <f t="shared" si="2"/>
        <v>#N/A</v>
      </c>
      <c r="Y49" s="21" t="e">
        <f t="shared" si="3"/>
        <v>#N/A</v>
      </c>
      <c r="Z49" s="11" t="e">
        <f t="shared" si="4"/>
        <v>#N/A</v>
      </c>
      <c r="AA49" s="22" t="e">
        <f t="shared" si="5"/>
        <v>#N/A</v>
      </c>
      <c r="AB49" s="21" t="e">
        <f t="shared" si="6"/>
        <v>#N/A</v>
      </c>
      <c r="AC49" s="21" t="e">
        <f t="shared" si="7"/>
        <v>#N/A</v>
      </c>
      <c r="AD49" s="11" t="e">
        <f t="shared" si="8"/>
        <v>#N/A</v>
      </c>
      <c r="AE49" s="22" t="e">
        <f t="shared" si="9"/>
        <v>#N/A</v>
      </c>
      <c r="AF49" s="21" t="e">
        <f t="shared" si="10"/>
        <v>#N/A</v>
      </c>
      <c r="AG49" s="21" t="e">
        <f t="shared" si="11"/>
        <v>#N/A</v>
      </c>
      <c r="AH49" s="11" t="e">
        <f t="shared" si="12"/>
        <v>#N/A</v>
      </c>
      <c r="AI49">
        <v>2.5000000000000001E-2</v>
      </c>
      <c r="AJ49">
        <v>-2.5000000000000001E-2</v>
      </c>
      <c r="AK49">
        <v>1.5E-3</v>
      </c>
      <c r="AL49">
        <v>-1.5E-3</v>
      </c>
      <c r="AM49">
        <v>1.5E-3</v>
      </c>
      <c r="AN49">
        <v>-1.5E-3</v>
      </c>
      <c r="AO49" s="16">
        <v>2.5000000000000001E-2</v>
      </c>
      <c r="AP49" s="16">
        <v>-2.5000000000000001E-2</v>
      </c>
      <c r="AQ49">
        <v>1.4999999999999999E-2</v>
      </c>
      <c r="AR49">
        <v>-1.4999999999999999E-2</v>
      </c>
      <c r="AS49">
        <v>1E-3</v>
      </c>
      <c r="AT49">
        <v>-1E-3</v>
      </c>
      <c r="AU49">
        <v>1E-3</v>
      </c>
      <c r="AV49">
        <v>-1E-3</v>
      </c>
      <c r="AW49" s="16">
        <v>1.4999999999999999E-2</v>
      </c>
      <c r="AX49" s="16">
        <v>-1.4999999999999999E-2</v>
      </c>
    </row>
    <row r="50" spans="6:279" customFormat="1">
      <c r="F50" s="17" t="str">
        <f t="shared" si="0"/>
        <v/>
      </c>
      <c r="G50" s="9"/>
      <c r="H50" s="2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22" t="e">
        <f t="shared" si="1"/>
        <v>#N/A</v>
      </c>
      <c r="X50" s="21" t="e">
        <f t="shared" si="2"/>
        <v>#N/A</v>
      </c>
      <c r="Y50" s="21" t="e">
        <f t="shared" si="3"/>
        <v>#N/A</v>
      </c>
      <c r="Z50" s="11" t="e">
        <f t="shared" si="4"/>
        <v>#N/A</v>
      </c>
      <c r="AA50" s="22" t="e">
        <f t="shared" si="5"/>
        <v>#N/A</v>
      </c>
      <c r="AB50" s="21" t="e">
        <f t="shared" si="6"/>
        <v>#N/A</v>
      </c>
      <c r="AC50" s="21" t="e">
        <f t="shared" si="7"/>
        <v>#N/A</v>
      </c>
      <c r="AD50" s="11" t="e">
        <f t="shared" si="8"/>
        <v>#N/A</v>
      </c>
      <c r="AE50" s="22" t="e">
        <f t="shared" si="9"/>
        <v>#N/A</v>
      </c>
      <c r="AF50" s="21" t="e">
        <f t="shared" si="10"/>
        <v>#N/A</v>
      </c>
      <c r="AG50" s="21" t="e">
        <f t="shared" si="11"/>
        <v>#N/A</v>
      </c>
      <c r="AH50" s="11" t="e">
        <f t="shared" si="12"/>
        <v>#N/A</v>
      </c>
      <c r="AI50">
        <v>2.5000000000000001E-2</v>
      </c>
      <c r="AJ50">
        <v>-2.5000000000000001E-2</v>
      </c>
      <c r="AK50">
        <v>1.5E-3</v>
      </c>
      <c r="AL50">
        <v>-1.5E-3</v>
      </c>
      <c r="AM50">
        <v>1.5E-3</v>
      </c>
      <c r="AN50">
        <v>-1.5E-3</v>
      </c>
      <c r="AO50" s="16">
        <v>2.5000000000000001E-2</v>
      </c>
      <c r="AP50" s="16">
        <v>-2.5000000000000001E-2</v>
      </c>
      <c r="AQ50">
        <v>1.4999999999999999E-2</v>
      </c>
      <c r="AR50">
        <v>-1.4999999999999999E-2</v>
      </c>
      <c r="AS50">
        <v>1E-3</v>
      </c>
      <c r="AT50">
        <v>-1E-3</v>
      </c>
      <c r="AU50">
        <v>1E-3</v>
      </c>
      <c r="AV50">
        <v>-1E-3</v>
      </c>
      <c r="AW50" s="16">
        <v>1.4999999999999999E-2</v>
      </c>
      <c r="AX50" s="16">
        <v>-1.4999999999999999E-2</v>
      </c>
    </row>
    <row r="51" spans="6:279" customFormat="1">
      <c r="F51" s="17" t="str">
        <f t="shared" si="0"/>
        <v/>
      </c>
      <c r="G51" s="9"/>
      <c r="H51" s="2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22" t="e">
        <f t="shared" si="1"/>
        <v>#N/A</v>
      </c>
      <c r="X51" s="21" t="e">
        <f t="shared" si="2"/>
        <v>#N/A</v>
      </c>
      <c r="Y51" s="21" t="e">
        <f t="shared" si="3"/>
        <v>#N/A</v>
      </c>
      <c r="Z51" s="11" t="e">
        <f t="shared" si="4"/>
        <v>#N/A</v>
      </c>
      <c r="AA51" s="22" t="e">
        <f t="shared" si="5"/>
        <v>#N/A</v>
      </c>
      <c r="AB51" s="21" t="e">
        <f t="shared" si="6"/>
        <v>#N/A</v>
      </c>
      <c r="AC51" s="21" t="e">
        <f t="shared" si="7"/>
        <v>#N/A</v>
      </c>
      <c r="AD51" s="11" t="e">
        <f t="shared" si="8"/>
        <v>#N/A</v>
      </c>
      <c r="AE51" s="22" t="e">
        <f t="shared" si="9"/>
        <v>#N/A</v>
      </c>
      <c r="AF51" s="21" t="e">
        <f t="shared" si="10"/>
        <v>#N/A</v>
      </c>
      <c r="AG51" s="21" t="e">
        <f t="shared" si="11"/>
        <v>#N/A</v>
      </c>
      <c r="AH51" s="11" t="e">
        <f t="shared" si="12"/>
        <v>#N/A</v>
      </c>
      <c r="AI51">
        <v>2.5000000000000001E-2</v>
      </c>
      <c r="AJ51">
        <v>-2.5000000000000001E-2</v>
      </c>
      <c r="AK51">
        <v>1.5E-3</v>
      </c>
      <c r="AL51">
        <v>-1.5E-3</v>
      </c>
      <c r="AM51">
        <v>1.5E-3</v>
      </c>
      <c r="AN51">
        <v>-1.5E-3</v>
      </c>
      <c r="AO51" s="16">
        <v>2.5000000000000001E-2</v>
      </c>
      <c r="AP51" s="16">
        <v>-2.5000000000000001E-2</v>
      </c>
      <c r="AQ51">
        <v>1.4999999999999999E-2</v>
      </c>
      <c r="AR51">
        <v>-1.4999999999999999E-2</v>
      </c>
      <c r="AS51">
        <v>1E-3</v>
      </c>
      <c r="AT51">
        <v>-1E-3</v>
      </c>
      <c r="AU51">
        <v>1E-3</v>
      </c>
      <c r="AV51">
        <v>-1E-3</v>
      </c>
      <c r="AW51" s="16">
        <v>1.4999999999999999E-2</v>
      </c>
      <c r="AX51" s="16">
        <v>-1.4999999999999999E-2</v>
      </c>
    </row>
    <row r="52" spans="6:279" customFormat="1">
      <c r="F52" s="17" t="str">
        <f t="shared" si="0"/>
        <v/>
      </c>
      <c r="G52" s="9"/>
      <c r="H52" s="2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22" t="e">
        <f t="shared" si="1"/>
        <v>#N/A</v>
      </c>
      <c r="X52" s="21" t="e">
        <f t="shared" si="2"/>
        <v>#N/A</v>
      </c>
      <c r="Y52" s="21" t="e">
        <f t="shared" si="3"/>
        <v>#N/A</v>
      </c>
      <c r="Z52" s="11" t="e">
        <f t="shared" si="4"/>
        <v>#N/A</v>
      </c>
      <c r="AA52" s="22" t="e">
        <f t="shared" si="5"/>
        <v>#N/A</v>
      </c>
      <c r="AB52" s="21" t="e">
        <f t="shared" si="6"/>
        <v>#N/A</v>
      </c>
      <c r="AC52" s="21" t="e">
        <f t="shared" si="7"/>
        <v>#N/A</v>
      </c>
      <c r="AD52" s="11" t="e">
        <f t="shared" si="8"/>
        <v>#N/A</v>
      </c>
      <c r="AE52" s="22" t="e">
        <f t="shared" si="9"/>
        <v>#N/A</v>
      </c>
      <c r="AF52" s="21" t="e">
        <f t="shared" si="10"/>
        <v>#N/A</v>
      </c>
      <c r="AG52" s="21" t="e">
        <f t="shared" si="11"/>
        <v>#N/A</v>
      </c>
      <c r="AH52" s="11" t="e">
        <f t="shared" si="12"/>
        <v>#N/A</v>
      </c>
      <c r="AI52">
        <v>2.5000000000000001E-2</v>
      </c>
      <c r="AJ52">
        <v>-2.5000000000000001E-2</v>
      </c>
      <c r="AK52">
        <v>1.5E-3</v>
      </c>
      <c r="AL52">
        <v>-1.5E-3</v>
      </c>
      <c r="AM52">
        <v>1.5E-3</v>
      </c>
      <c r="AN52">
        <v>-1.5E-3</v>
      </c>
      <c r="AO52" s="16">
        <v>2.5000000000000001E-2</v>
      </c>
      <c r="AP52" s="16">
        <v>-2.5000000000000001E-2</v>
      </c>
      <c r="AQ52">
        <v>1.4999999999999999E-2</v>
      </c>
      <c r="AR52">
        <v>-1.4999999999999999E-2</v>
      </c>
      <c r="AS52">
        <v>1E-3</v>
      </c>
      <c r="AT52">
        <v>-1E-3</v>
      </c>
      <c r="AU52">
        <v>1E-3</v>
      </c>
      <c r="AV52">
        <v>-1E-3</v>
      </c>
      <c r="AW52" s="16">
        <v>1.4999999999999999E-2</v>
      </c>
      <c r="AX52" s="16">
        <v>-1.4999999999999999E-2</v>
      </c>
    </row>
    <row r="53" spans="6:279" customFormat="1">
      <c r="F53" s="17" t="str">
        <f t="shared" si="0"/>
        <v/>
      </c>
      <c r="G53" s="9"/>
      <c r="H53" s="2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22" t="e">
        <f t="shared" si="1"/>
        <v>#N/A</v>
      </c>
      <c r="X53" s="21" t="e">
        <f t="shared" si="2"/>
        <v>#N/A</v>
      </c>
      <c r="Y53" s="21" t="e">
        <f t="shared" si="3"/>
        <v>#N/A</v>
      </c>
      <c r="Z53" s="11" t="e">
        <f t="shared" si="4"/>
        <v>#N/A</v>
      </c>
      <c r="AA53" s="22" t="e">
        <f t="shared" si="5"/>
        <v>#N/A</v>
      </c>
      <c r="AB53" s="21" t="e">
        <f t="shared" si="6"/>
        <v>#N/A</v>
      </c>
      <c r="AC53" s="21" t="e">
        <f t="shared" si="7"/>
        <v>#N/A</v>
      </c>
      <c r="AD53" s="11" t="e">
        <f t="shared" si="8"/>
        <v>#N/A</v>
      </c>
      <c r="AE53" s="22" t="e">
        <f t="shared" si="9"/>
        <v>#N/A</v>
      </c>
      <c r="AF53" s="21" t="e">
        <f t="shared" si="10"/>
        <v>#N/A</v>
      </c>
      <c r="AG53" s="21" t="e">
        <f t="shared" si="11"/>
        <v>#N/A</v>
      </c>
      <c r="AH53" s="11" t="e">
        <f t="shared" si="12"/>
        <v>#N/A</v>
      </c>
      <c r="AI53">
        <v>2.5000000000000001E-2</v>
      </c>
      <c r="AJ53">
        <v>-2.5000000000000001E-2</v>
      </c>
      <c r="AK53">
        <v>1.5E-3</v>
      </c>
      <c r="AL53">
        <v>-1.5E-3</v>
      </c>
      <c r="AM53">
        <v>1.5E-3</v>
      </c>
      <c r="AN53">
        <v>-1.5E-3</v>
      </c>
      <c r="AO53" s="16">
        <v>2.5000000000000001E-2</v>
      </c>
      <c r="AP53" s="16">
        <v>-2.5000000000000001E-2</v>
      </c>
      <c r="AQ53">
        <v>1.4999999999999999E-2</v>
      </c>
      <c r="AR53">
        <v>-1.4999999999999999E-2</v>
      </c>
      <c r="AS53">
        <v>1E-3</v>
      </c>
      <c r="AT53">
        <v>-1E-3</v>
      </c>
      <c r="AU53">
        <v>1E-3</v>
      </c>
      <c r="AV53">
        <v>-1E-3</v>
      </c>
      <c r="AW53" s="16">
        <v>1.4999999999999999E-2</v>
      </c>
      <c r="AX53" s="16">
        <v>-1.4999999999999999E-2</v>
      </c>
      <c r="JR53">
        <v>12.849506578947368</v>
      </c>
    </row>
    <row r="54" spans="6:279" customFormat="1">
      <c r="F54" s="17" t="str">
        <f t="shared" si="0"/>
        <v/>
      </c>
      <c r="G54" s="9"/>
      <c r="H54" s="2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22" t="e">
        <f t="shared" si="1"/>
        <v>#N/A</v>
      </c>
      <c r="X54" s="21" t="e">
        <f t="shared" si="2"/>
        <v>#N/A</v>
      </c>
      <c r="Y54" s="21" t="e">
        <f t="shared" si="3"/>
        <v>#N/A</v>
      </c>
      <c r="Z54" s="11" t="e">
        <f t="shared" si="4"/>
        <v>#N/A</v>
      </c>
      <c r="AA54" s="22" t="e">
        <f t="shared" si="5"/>
        <v>#N/A</v>
      </c>
      <c r="AB54" s="21" t="e">
        <f t="shared" si="6"/>
        <v>#N/A</v>
      </c>
      <c r="AC54" s="21" t="e">
        <f t="shared" si="7"/>
        <v>#N/A</v>
      </c>
      <c r="AD54" s="11" t="e">
        <f t="shared" si="8"/>
        <v>#N/A</v>
      </c>
      <c r="AE54" s="22" t="e">
        <f t="shared" si="9"/>
        <v>#N/A</v>
      </c>
      <c r="AF54" s="21" t="e">
        <f t="shared" si="10"/>
        <v>#N/A</v>
      </c>
      <c r="AG54" s="21" t="e">
        <f t="shared" si="11"/>
        <v>#N/A</v>
      </c>
      <c r="AH54" s="11" t="e">
        <f t="shared" si="12"/>
        <v>#N/A</v>
      </c>
      <c r="AI54">
        <v>2.5000000000000001E-2</v>
      </c>
      <c r="AJ54">
        <v>-2.5000000000000001E-2</v>
      </c>
      <c r="AK54">
        <v>1.5E-3</v>
      </c>
      <c r="AL54">
        <v>-1.5E-3</v>
      </c>
      <c r="AM54">
        <v>1.5E-3</v>
      </c>
      <c r="AN54">
        <v>-1.5E-3</v>
      </c>
      <c r="AO54" s="16">
        <v>2.5000000000000001E-2</v>
      </c>
      <c r="AP54" s="16">
        <v>-2.5000000000000001E-2</v>
      </c>
      <c r="AQ54">
        <v>1.4999999999999999E-2</v>
      </c>
      <c r="AR54">
        <v>-1.4999999999999999E-2</v>
      </c>
      <c r="AS54">
        <v>1E-3</v>
      </c>
      <c r="AT54">
        <v>-1E-3</v>
      </c>
      <c r="AU54">
        <v>1E-3</v>
      </c>
      <c r="AV54">
        <v>-1E-3</v>
      </c>
      <c r="AW54" s="16">
        <v>1.4999999999999999E-2</v>
      </c>
      <c r="AX54" s="16">
        <v>-1.4999999999999999E-2</v>
      </c>
    </row>
    <row r="55" spans="6:279" customFormat="1">
      <c r="F55" s="17" t="str">
        <f t="shared" si="0"/>
        <v/>
      </c>
      <c r="G55" s="9"/>
      <c r="H55" s="2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22" t="e">
        <f t="shared" si="1"/>
        <v>#N/A</v>
      </c>
      <c r="X55" s="21" t="e">
        <f t="shared" si="2"/>
        <v>#N/A</v>
      </c>
      <c r="Y55" s="21" t="e">
        <f t="shared" si="3"/>
        <v>#N/A</v>
      </c>
      <c r="Z55" s="11" t="e">
        <f t="shared" si="4"/>
        <v>#N/A</v>
      </c>
      <c r="AA55" s="22" t="e">
        <f t="shared" si="5"/>
        <v>#N/A</v>
      </c>
      <c r="AB55" s="21" t="e">
        <f t="shared" si="6"/>
        <v>#N/A</v>
      </c>
      <c r="AC55" s="21" t="e">
        <f t="shared" si="7"/>
        <v>#N/A</v>
      </c>
      <c r="AD55" s="11" t="e">
        <f t="shared" si="8"/>
        <v>#N/A</v>
      </c>
      <c r="AE55" s="22" t="e">
        <f t="shared" si="9"/>
        <v>#N/A</v>
      </c>
      <c r="AF55" s="21" t="e">
        <f t="shared" si="10"/>
        <v>#N/A</v>
      </c>
      <c r="AG55" s="21" t="e">
        <f t="shared" si="11"/>
        <v>#N/A</v>
      </c>
      <c r="AH55" s="11" t="e">
        <f t="shared" si="12"/>
        <v>#N/A</v>
      </c>
      <c r="AI55">
        <v>2.5000000000000001E-2</v>
      </c>
      <c r="AJ55">
        <v>-2.5000000000000001E-2</v>
      </c>
      <c r="AK55">
        <v>1.5E-3</v>
      </c>
      <c r="AL55">
        <v>-1.5E-3</v>
      </c>
      <c r="AM55">
        <v>1.5E-3</v>
      </c>
      <c r="AN55">
        <v>-1.5E-3</v>
      </c>
      <c r="AO55" s="16">
        <v>2.5000000000000001E-2</v>
      </c>
      <c r="AP55" s="16">
        <v>-2.5000000000000001E-2</v>
      </c>
      <c r="AQ55">
        <v>1.4999999999999999E-2</v>
      </c>
      <c r="AR55">
        <v>-1.4999999999999999E-2</v>
      </c>
      <c r="AS55">
        <v>1E-3</v>
      </c>
      <c r="AT55">
        <v>-1E-3</v>
      </c>
      <c r="AU55">
        <v>1E-3</v>
      </c>
      <c r="AV55">
        <v>-1E-3</v>
      </c>
      <c r="AW55" s="16">
        <v>1.4999999999999999E-2</v>
      </c>
      <c r="AX55" s="16">
        <v>-1.4999999999999999E-2</v>
      </c>
      <c r="JR55">
        <v>12.849506578947368</v>
      </c>
      <c r="JS55">
        <v>12.849506578947368</v>
      </c>
    </row>
    <row r="56" spans="6:279" customFormat="1">
      <c r="F56" s="17" t="str">
        <f t="shared" si="0"/>
        <v/>
      </c>
      <c r="G56" s="9"/>
      <c r="H56" s="2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22" t="e">
        <f t="shared" si="1"/>
        <v>#N/A</v>
      </c>
      <c r="X56" s="21" t="e">
        <f t="shared" si="2"/>
        <v>#N/A</v>
      </c>
      <c r="Y56" s="21" t="e">
        <f t="shared" si="3"/>
        <v>#N/A</v>
      </c>
      <c r="Z56" s="11" t="e">
        <f t="shared" si="4"/>
        <v>#N/A</v>
      </c>
      <c r="AA56" s="22" t="e">
        <f t="shared" si="5"/>
        <v>#N/A</v>
      </c>
      <c r="AB56" s="21" t="e">
        <f t="shared" si="6"/>
        <v>#N/A</v>
      </c>
      <c r="AC56" s="21" t="e">
        <f t="shared" si="7"/>
        <v>#N/A</v>
      </c>
      <c r="AD56" s="11" t="e">
        <f t="shared" si="8"/>
        <v>#N/A</v>
      </c>
      <c r="AE56" s="22" t="e">
        <f t="shared" si="9"/>
        <v>#N/A</v>
      </c>
      <c r="AF56" s="21" t="e">
        <f t="shared" si="10"/>
        <v>#N/A</v>
      </c>
      <c r="AG56" s="21" t="e">
        <f t="shared" si="11"/>
        <v>#N/A</v>
      </c>
      <c r="AH56" s="11" t="e">
        <f t="shared" si="12"/>
        <v>#N/A</v>
      </c>
      <c r="AI56">
        <v>2.5000000000000001E-2</v>
      </c>
      <c r="AJ56">
        <v>-2.5000000000000001E-2</v>
      </c>
      <c r="AK56">
        <v>1.5E-3</v>
      </c>
      <c r="AL56">
        <v>-1.5E-3</v>
      </c>
      <c r="AM56">
        <v>1.5E-3</v>
      </c>
      <c r="AN56">
        <v>-1.5E-3</v>
      </c>
      <c r="AO56" s="16">
        <v>2.5000000000000001E-2</v>
      </c>
      <c r="AP56" s="16">
        <v>-2.5000000000000001E-2</v>
      </c>
      <c r="AQ56">
        <v>1.4999999999999999E-2</v>
      </c>
      <c r="AR56">
        <v>-1.4999999999999999E-2</v>
      </c>
      <c r="AS56">
        <v>1E-3</v>
      </c>
      <c r="AT56">
        <v>-1E-3</v>
      </c>
      <c r="AU56">
        <v>1E-3</v>
      </c>
      <c r="AV56">
        <v>-1E-3</v>
      </c>
      <c r="AW56" s="16">
        <v>1.4999999999999999E-2</v>
      </c>
      <c r="AX56" s="16">
        <v>-1.4999999999999999E-2</v>
      </c>
      <c r="JP56">
        <v>12.849506578947368</v>
      </c>
    </row>
    <row r="57" spans="6:279" customFormat="1">
      <c r="F57" s="17" t="str">
        <f t="shared" si="0"/>
        <v/>
      </c>
      <c r="G57" s="9"/>
      <c r="H57" s="2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22" t="e">
        <f t="shared" si="1"/>
        <v>#N/A</v>
      </c>
      <c r="X57" s="21" t="e">
        <f t="shared" si="2"/>
        <v>#N/A</v>
      </c>
      <c r="Y57" s="21" t="e">
        <f t="shared" si="3"/>
        <v>#N/A</v>
      </c>
      <c r="Z57" s="11" t="e">
        <f t="shared" si="4"/>
        <v>#N/A</v>
      </c>
      <c r="AA57" s="22" t="e">
        <f t="shared" si="5"/>
        <v>#N/A</v>
      </c>
      <c r="AB57" s="21" t="e">
        <f t="shared" si="6"/>
        <v>#N/A</v>
      </c>
      <c r="AC57" s="21" t="e">
        <f t="shared" si="7"/>
        <v>#N/A</v>
      </c>
      <c r="AD57" s="11" t="e">
        <f t="shared" si="8"/>
        <v>#N/A</v>
      </c>
      <c r="AE57" s="22" t="e">
        <f t="shared" si="9"/>
        <v>#N/A</v>
      </c>
      <c r="AF57" s="21" t="e">
        <f t="shared" si="10"/>
        <v>#N/A</v>
      </c>
      <c r="AG57" s="21" t="e">
        <f t="shared" si="11"/>
        <v>#N/A</v>
      </c>
      <c r="AH57" s="11" t="e">
        <f t="shared" si="12"/>
        <v>#N/A</v>
      </c>
      <c r="AI57">
        <v>2.5000000000000001E-2</v>
      </c>
      <c r="AJ57">
        <v>-2.5000000000000001E-2</v>
      </c>
      <c r="AK57">
        <v>1.5E-3</v>
      </c>
      <c r="AL57">
        <v>-1.5E-3</v>
      </c>
      <c r="AM57">
        <v>1.5E-3</v>
      </c>
      <c r="AN57">
        <v>-1.5E-3</v>
      </c>
      <c r="AO57" s="16">
        <v>2.5000000000000001E-2</v>
      </c>
      <c r="AP57" s="16">
        <v>-2.5000000000000001E-2</v>
      </c>
      <c r="AQ57">
        <v>1.4999999999999999E-2</v>
      </c>
      <c r="AR57">
        <v>-1.4999999999999999E-2</v>
      </c>
      <c r="AS57">
        <v>1E-3</v>
      </c>
      <c r="AT57">
        <v>-1E-3</v>
      </c>
      <c r="AU57">
        <v>1E-3</v>
      </c>
      <c r="AV57">
        <v>-1E-3</v>
      </c>
      <c r="AW57" s="16">
        <v>1.4999999999999999E-2</v>
      </c>
      <c r="AX57" s="16">
        <v>-1.4999999999999999E-2</v>
      </c>
      <c r="JP57">
        <v>38.548519736842103</v>
      </c>
      <c r="JR57">
        <v>12.849506578947368</v>
      </c>
      <c r="JS57">
        <v>12.849506578947368</v>
      </c>
    </row>
    <row r="58" spans="6:279" customFormat="1">
      <c r="F58" s="17" t="str">
        <f t="shared" si="0"/>
        <v/>
      </c>
      <c r="G58" s="9"/>
      <c r="H58" s="2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22" t="e">
        <f t="shared" si="1"/>
        <v>#N/A</v>
      </c>
      <c r="X58" s="21" t="e">
        <f t="shared" si="2"/>
        <v>#N/A</v>
      </c>
      <c r="Y58" s="21" t="e">
        <f t="shared" si="3"/>
        <v>#N/A</v>
      </c>
      <c r="Z58" s="11" t="e">
        <f t="shared" si="4"/>
        <v>#N/A</v>
      </c>
      <c r="AA58" s="22" t="e">
        <f t="shared" si="5"/>
        <v>#N/A</v>
      </c>
      <c r="AB58" s="21" t="e">
        <f t="shared" si="6"/>
        <v>#N/A</v>
      </c>
      <c r="AC58" s="21" t="e">
        <f t="shared" si="7"/>
        <v>#N/A</v>
      </c>
      <c r="AD58" s="11" t="e">
        <f t="shared" si="8"/>
        <v>#N/A</v>
      </c>
      <c r="AE58" s="22" t="e">
        <f t="shared" si="9"/>
        <v>#N/A</v>
      </c>
      <c r="AF58" s="21" t="e">
        <f t="shared" si="10"/>
        <v>#N/A</v>
      </c>
      <c r="AG58" s="21" t="e">
        <f t="shared" si="11"/>
        <v>#N/A</v>
      </c>
      <c r="AH58" s="11" t="e">
        <f t="shared" si="12"/>
        <v>#N/A</v>
      </c>
      <c r="AI58">
        <v>2.5000000000000001E-2</v>
      </c>
      <c r="AJ58">
        <v>-2.5000000000000001E-2</v>
      </c>
      <c r="AK58">
        <v>1.5E-3</v>
      </c>
      <c r="AL58">
        <v>-1.5E-3</v>
      </c>
      <c r="AM58">
        <v>1.5E-3</v>
      </c>
      <c r="AN58">
        <v>-1.5E-3</v>
      </c>
      <c r="AO58" s="16">
        <v>2.5000000000000001E-2</v>
      </c>
      <c r="AP58" s="16">
        <v>-2.5000000000000001E-2</v>
      </c>
      <c r="AQ58">
        <v>1.4999999999999999E-2</v>
      </c>
      <c r="AR58">
        <v>-1.4999999999999999E-2</v>
      </c>
      <c r="AS58">
        <v>1E-3</v>
      </c>
      <c r="AT58">
        <v>-1E-3</v>
      </c>
      <c r="AU58">
        <v>1E-3</v>
      </c>
      <c r="AV58">
        <v>-1E-3</v>
      </c>
      <c r="AW58" s="16">
        <v>1.4999999999999999E-2</v>
      </c>
      <c r="AX58" s="16">
        <v>-1.4999999999999999E-2</v>
      </c>
    </row>
    <row r="59" spans="6:279" customFormat="1">
      <c r="F59" s="17" t="str">
        <f t="shared" si="0"/>
        <v/>
      </c>
      <c r="G59" s="9"/>
      <c r="H59" s="2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22" t="e">
        <f t="shared" si="1"/>
        <v>#N/A</v>
      </c>
      <c r="X59" s="21" t="e">
        <f t="shared" si="2"/>
        <v>#N/A</v>
      </c>
      <c r="Y59" s="21" t="e">
        <f t="shared" si="3"/>
        <v>#N/A</v>
      </c>
      <c r="Z59" s="11" t="e">
        <f t="shared" si="4"/>
        <v>#N/A</v>
      </c>
      <c r="AA59" s="22" t="e">
        <f t="shared" si="5"/>
        <v>#N/A</v>
      </c>
      <c r="AB59" s="21" t="e">
        <f t="shared" si="6"/>
        <v>#N/A</v>
      </c>
      <c r="AC59" s="21" t="e">
        <f t="shared" si="7"/>
        <v>#N/A</v>
      </c>
      <c r="AD59" s="11" t="e">
        <f t="shared" si="8"/>
        <v>#N/A</v>
      </c>
      <c r="AE59" s="22" t="e">
        <f t="shared" si="9"/>
        <v>#N/A</v>
      </c>
      <c r="AF59" s="21" t="e">
        <f t="shared" si="10"/>
        <v>#N/A</v>
      </c>
      <c r="AG59" s="21" t="e">
        <f t="shared" si="11"/>
        <v>#N/A</v>
      </c>
      <c r="AH59" s="11" t="e">
        <f t="shared" si="12"/>
        <v>#N/A</v>
      </c>
      <c r="AI59">
        <v>2.5000000000000001E-2</v>
      </c>
      <c r="AJ59">
        <v>-2.5000000000000001E-2</v>
      </c>
      <c r="AK59">
        <v>1.5E-3</v>
      </c>
      <c r="AL59">
        <v>-1.5E-3</v>
      </c>
      <c r="AM59">
        <v>1.5E-3</v>
      </c>
      <c r="AN59">
        <v>-1.5E-3</v>
      </c>
      <c r="AO59" s="16">
        <v>2.5000000000000001E-2</v>
      </c>
      <c r="AP59" s="16">
        <v>-2.5000000000000001E-2</v>
      </c>
      <c r="AQ59">
        <v>1.4999999999999999E-2</v>
      </c>
      <c r="AR59">
        <v>-1.4999999999999999E-2</v>
      </c>
      <c r="AS59">
        <v>1E-3</v>
      </c>
      <c r="AT59">
        <v>-1E-3</v>
      </c>
      <c r="AU59">
        <v>1E-3</v>
      </c>
      <c r="AV59">
        <v>-1E-3</v>
      </c>
      <c r="AW59" s="16">
        <v>1.4999999999999999E-2</v>
      </c>
      <c r="AX59" s="16">
        <v>-1.4999999999999999E-2</v>
      </c>
      <c r="JQ59">
        <v>12.849506578947368</v>
      </c>
      <c r="JR59">
        <v>12.849506578947368</v>
      </c>
      <c r="JS59">
        <v>38.548519736842103</v>
      </c>
    </row>
    <row r="60" spans="6:279" customFormat="1">
      <c r="F60" s="17" t="str">
        <f t="shared" si="0"/>
        <v/>
      </c>
      <c r="G60" s="9"/>
      <c r="H60" s="2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22" t="e">
        <f t="shared" si="1"/>
        <v>#N/A</v>
      </c>
      <c r="X60" s="21" t="e">
        <f t="shared" si="2"/>
        <v>#N/A</v>
      </c>
      <c r="Y60" s="21" t="e">
        <f t="shared" si="3"/>
        <v>#N/A</v>
      </c>
      <c r="Z60" s="11" t="e">
        <f t="shared" si="4"/>
        <v>#N/A</v>
      </c>
      <c r="AA60" s="22" t="e">
        <f t="shared" si="5"/>
        <v>#N/A</v>
      </c>
      <c r="AB60" s="21" t="e">
        <f t="shared" si="6"/>
        <v>#N/A</v>
      </c>
      <c r="AC60" s="21" t="e">
        <f t="shared" si="7"/>
        <v>#N/A</v>
      </c>
      <c r="AD60" s="11" t="e">
        <f t="shared" si="8"/>
        <v>#N/A</v>
      </c>
      <c r="AE60" s="22" t="e">
        <f t="shared" si="9"/>
        <v>#N/A</v>
      </c>
      <c r="AF60" s="21" t="e">
        <f t="shared" si="10"/>
        <v>#N/A</v>
      </c>
      <c r="AG60" s="21" t="e">
        <f t="shared" si="11"/>
        <v>#N/A</v>
      </c>
      <c r="AH60" s="11" t="e">
        <f t="shared" si="12"/>
        <v>#N/A</v>
      </c>
      <c r="AI60">
        <v>2.5000000000000001E-2</v>
      </c>
      <c r="AJ60">
        <v>-2.5000000000000001E-2</v>
      </c>
      <c r="AK60">
        <v>1.5E-3</v>
      </c>
      <c r="AL60">
        <v>-1.5E-3</v>
      </c>
      <c r="AM60">
        <v>1.5E-3</v>
      </c>
      <c r="AN60">
        <v>-1.5E-3</v>
      </c>
      <c r="AO60" s="16">
        <v>2.5000000000000001E-2</v>
      </c>
      <c r="AP60" s="16">
        <v>-2.5000000000000001E-2</v>
      </c>
      <c r="AQ60">
        <v>1.4999999999999999E-2</v>
      </c>
      <c r="AR60">
        <v>-1.4999999999999999E-2</v>
      </c>
      <c r="AS60">
        <v>1E-3</v>
      </c>
      <c r="AT60">
        <v>-1E-3</v>
      </c>
      <c r="AU60">
        <v>1E-3</v>
      </c>
      <c r="AV60">
        <v>-1E-3</v>
      </c>
      <c r="AW60" s="16">
        <v>1.4999999999999999E-2</v>
      </c>
      <c r="AX60" s="16">
        <v>-1.4999999999999999E-2</v>
      </c>
    </row>
    <row r="61" spans="6:279" customFormat="1">
      <c r="F61" s="17" t="str">
        <f t="shared" si="0"/>
        <v/>
      </c>
      <c r="G61" s="9"/>
      <c r="H61" s="2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22" t="e">
        <f t="shared" si="1"/>
        <v>#N/A</v>
      </c>
      <c r="X61" s="21" t="e">
        <f t="shared" si="2"/>
        <v>#N/A</v>
      </c>
      <c r="Y61" s="21" t="e">
        <f t="shared" si="3"/>
        <v>#N/A</v>
      </c>
      <c r="Z61" s="11" t="e">
        <f t="shared" si="4"/>
        <v>#N/A</v>
      </c>
      <c r="AA61" s="22" t="e">
        <f t="shared" si="5"/>
        <v>#N/A</v>
      </c>
      <c r="AB61" s="21" t="e">
        <f t="shared" si="6"/>
        <v>#N/A</v>
      </c>
      <c r="AC61" s="21" t="e">
        <f t="shared" si="7"/>
        <v>#N/A</v>
      </c>
      <c r="AD61" s="11" t="e">
        <f t="shared" si="8"/>
        <v>#N/A</v>
      </c>
      <c r="AE61" s="22" t="e">
        <f t="shared" si="9"/>
        <v>#N/A</v>
      </c>
      <c r="AF61" s="21" t="e">
        <f t="shared" si="10"/>
        <v>#N/A</v>
      </c>
      <c r="AG61" s="21" t="e">
        <f t="shared" si="11"/>
        <v>#N/A</v>
      </c>
      <c r="AH61" s="11" t="e">
        <f t="shared" si="12"/>
        <v>#N/A</v>
      </c>
      <c r="AI61">
        <v>2.5000000000000001E-2</v>
      </c>
      <c r="AJ61">
        <v>-2.5000000000000001E-2</v>
      </c>
      <c r="AK61">
        <v>1.5E-3</v>
      </c>
      <c r="AL61">
        <v>-1.5E-3</v>
      </c>
      <c r="AM61">
        <v>1.5E-3</v>
      </c>
      <c r="AN61">
        <v>-1.5E-3</v>
      </c>
      <c r="AO61" s="16">
        <v>2.5000000000000001E-2</v>
      </c>
      <c r="AP61" s="16">
        <v>-2.5000000000000001E-2</v>
      </c>
      <c r="AQ61">
        <v>1.4999999999999999E-2</v>
      </c>
      <c r="AR61">
        <v>-1.4999999999999999E-2</v>
      </c>
      <c r="AS61">
        <v>1E-3</v>
      </c>
      <c r="AT61">
        <v>-1E-3</v>
      </c>
      <c r="AU61">
        <v>1E-3</v>
      </c>
      <c r="AV61">
        <v>-1E-3</v>
      </c>
      <c r="AW61" s="16">
        <v>1.4999999999999999E-2</v>
      </c>
      <c r="AX61" s="16">
        <v>-1.4999999999999999E-2</v>
      </c>
      <c r="JS61">
        <v>12.849506578947368</v>
      </c>
    </row>
    <row r="62" spans="6:279" customFormat="1">
      <c r="F62" s="17" t="str">
        <f t="shared" si="0"/>
        <v/>
      </c>
      <c r="G62" s="9"/>
      <c r="H62" s="2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22" t="e">
        <f t="shared" si="1"/>
        <v>#N/A</v>
      </c>
      <c r="X62" s="21" t="e">
        <f t="shared" si="2"/>
        <v>#N/A</v>
      </c>
      <c r="Y62" s="21" t="e">
        <f t="shared" si="3"/>
        <v>#N/A</v>
      </c>
      <c r="Z62" s="11" t="e">
        <f t="shared" si="4"/>
        <v>#N/A</v>
      </c>
      <c r="AA62" s="22" t="e">
        <f t="shared" si="5"/>
        <v>#N/A</v>
      </c>
      <c r="AB62" s="21" t="e">
        <f t="shared" si="6"/>
        <v>#N/A</v>
      </c>
      <c r="AC62" s="21" t="e">
        <f t="shared" si="7"/>
        <v>#N/A</v>
      </c>
      <c r="AD62" s="11" t="e">
        <f t="shared" si="8"/>
        <v>#N/A</v>
      </c>
      <c r="AE62" s="22" t="e">
        <f t="shared" si="9"/>
        <v>#N/A</v>
      </c>
      <c r="AF62" s="21" t="e">
        <f t="shared" si="10"/>
        <v>#N/A</v>
      </c>
      <c r="AG62" s="21" t="e">
        <f t="shared" si="11"/>
        <v>#N/A</v>
      </c>
      <c r="AH62" s="11" t="e">
        <f t="shared" si="12"/>
        <v>#N/A</v>
      </c>
      <c r="AI62">
        <v>2.5000000000000001E-2</v>
      </c>
      <c r="AJ62">
        <v>-2.5000000000000001E-2</v>
      </c>
      <c r="AK62">
        <v>1.5E-3</v>
      </c>
      <c r="AL62">
        <v>-1.5E-3</v>
      </c>
      <c r="AM62">
        <v>1.5E-3</v>
      </c>
      <c r="AN62">
        <v>-1.5E-3</v>
      </c>
      <c r="AO62" s="16">
        <v>2.5000000000000001E-2</v>
      </c>
      <c r="AP62" s="16">
        <v>-2.5000000000000001E-2</v>
      </c>
      <c r="AQ62">
        <v>1.4999999999999999E-2</v>
      </c>
      <c r="AR62">
        <v>-1.4999999999999999E-2</v>
      </c>
      <c r="AS62">
        <v>1E-3</v>
      </c>
      <c r="AT62">
        <v>-1E-3</v>
      </c>
      <c r="AU62">
        <v>1E-3</v>
      </c>
      <c r="AV62">
        <v>-1E-3</v>
      </c>
      <c r="AW62" s="16">
        <v>1.4999999999999999E-2</v>
      </c>
      <c r="AX62" s="16">
        <v>-1.4999999999999999E-2</v>
      </c>
      <c r="JS62">
        <v>12.849506578947368</v>
      </c>
    </row>
    <row r="63" spans="6:279" customFormat="1">
      <c r="F63" s="17" t="str">
        <f t="shared" si="0"/>
        <v/>
      </c>
      <c r="G63" s="9"/>
      <c r="H63" s="2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22" t="e">
        <f t="shared" si="1"/>
        <v>#N/A</v>
      </c>
      <c r="X63" s="21" t="e">
        <f t="shared" si="2"/>
        <v>#N/A</v>
      </c>
      <c r="Y63" s="21" t="e">
        <f t="shared" si="3"/>
        <v>#N/A</v>
      </c>
      <c r="Z63" s="11" t="e">
        <f t="shared" si="4"/>
        <v>#N/A</v>
      </c>
      <c r="AA63" s="22" t="e">
        <f t="shared" si="5"/>
        <v>#N/A</v>
      </c>
      <c r="AB63" s="21" t="e">
        <f t="shared" si="6"/>
        <v>#N/A</v>
      </c>
      <c r="AC63" s="21" t="e">
        <f t="shared" si="7"/>
        <v>#N/A</v>
      </c>
      <c r="AD63" s="11" t="e">
        <f t="shared" si="8"/>
        <v>#N/A</v>
      </c>
      <c r="AE63" s="22" t="e">
        <f t="shared" si="9"/>
        <v>#N/A</v>
      </c>
      <c r="AF63" s="21" t="e">
        <f t="shared" si="10"/>
        <v>#N/A</v>
      </c>
      <c r="AG63" s="21" t="e">
        <f t="shared" si="11"/>
        <v>#N/A</v>
      </c>
      <c r="AH63" s="11" t="e">
        <f t="shared" si="12"/>
        <v>#N/A</v>
      </c>
      <c r="AI63">
        <v>2.5000000000000001E-2</v>
      </c>
      <c r="AJ63">
        <v>-2.5000000000000001E-2</v>
      </c>
      <c r="AK63">
        <v>1.5E-3</v>
      </c>
      <c r="AL63">
        <v>-1.5E-3</v>
      </c>
      <c r="AM63">
        <v>1.5E-3</v>
      </c>
      <c r="AN63">
        <v>-1.5E-3</v>
      </c>
      <c r="AO63" s="16">
        <v>2.5000000000000001E-2</v>
      </c>
      <c r="AP63" s="16">
        <v>-2.5000000000000001E-2</v>
      </c>
      <c r="AQ63">
        <v>1.4999999999999999E-2</v>
      </c>
      <c r="AR63">
        <v>-1.4999999999999999E-2</v>
      </c>
      <c r="AS63">
        <v>1E-3</v>
      </c>
      <c r="AT63">
        <v>-1E-3</v>
      </c>
      <c r="AU63">
        <v>1E-3</v>
      </c>
      <c r="AV63">
        <v>-1E-3</v>
      </c>
      <c r="AW63" s="16">
        <v>1.4999999999999999E-2</v>
      </c>
      <c r="AX63" s="16">
        <v>-1.4999999999999999E-2</v>
      </c>
      <c r="JR63">
        <v>12.849506578947368</v>
      </c>
    </row>
    <row r="64" spans="6:279" customFormat="1">
      <c r="F64" s="17" t="str">
        <f t="shared" si="0"/>
        <v/>
      </c>
      <c r="G64" s="9"/>
      <c r="H64" s="2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22" t="e">
        <f t="shared" si="1"/>
        <v>#N/A</v>
      </c>
      <c r="X64" s="21" t="e">
        <f t="shared" si="2"/>
        <v>#N/A</v>
      </c>
      <c r="Y64" s="21" t="e">
        <f t="shared" si="3"/>
        <v>#N/A</v>
      </c>
      <c r="Z64" s="11" t="e">
        <f t="shared" si="4"/>
        <v>#N/A</v>
      </c>
      <c r="AA64" s="22" t="e">
        <f t="shared" si="5"/>
        <v>#N/A</v>
      </c>
      <c r="AB64" s="21" t="e">
        <f t="shared" si="6"/>
        <v>#N/A</v>
      </c>
      <c r="AC64" s="21" t="e">
        <f t="shared" si="7"/>
        <v>#N/A</v>
      </c>
      <c r="AD64" s="11" t="e">
        <f t="shared" si="8"/>
        <v>#N/A</v>
      </c>
      <c r="AE64" s="22" t="e">
        <f t="shared" si="9"/>
        <v>#N/A</v>
      </c>
      <c r="AF64" s="21" t="e">
        <f t="shared" si="10"/>
        <v>#N/A</v>
      </c>
      <c r="AG64" s="21" t="e">
        <f t="shared" si="11"/>
        <v>#N/A</v>
      </c>
      <c r="AH64" s="11" t="e">
        <f t="shared" si="12"/>
        <v>#N/A</v>
      </c>
      <c r="AI64">
        <v>2.5000000000000001E-2</v>
      </c>
      <c r="AJ64">
        <v>-2.5000000000000001E-2</v>
      </c>
      <c r="AK64">
        <v>1.5E-3</v>
      </c>
      <c r="AL64">
        <v>-1.5E-3</v>
      </c>
      <c r="AM64">
        <v>1.5E-3</v>
      </c>
      <c r="AN64">
        <v>-1.5E-3</v>
      </c>
      <c r="AO64" s="16">
        <v>2.5000000000000001E-2</v>
      </c>
      <c r="AP64" s="16">
        <v>-2.5000000000000001E-2</v>
      </c>
      <c r="AQ64">
        <v>1.4999999999999999E-2</v>
      </c>
      <c r="AR64">
        <v>-1.4999999999999999E-2</v>
      </c>
      <c r="AS64">
        <v>1E-3</v>
      </c>
      <c r="AT64">
        <v>-1E-3</v>
      </c>
      <c r="AU64">
        <v>1E-3</v>
      </c>
      <c r="AV64">
        <v>-1E-3</v>
      </c>
      <c r="AW64" s="16">
        <v>1.4999999999999999E-2</v>
      </c>
      <c r="AX64" s="16">
        <v>-1.4999999999999999E-2</v>
      </c>
    </row>
    <row r="65" spans="6:278" customFormat="1">
      <c r="F65" s="17" t="str">
        <f t="shared" si="0"/>
        <v/>
      </c>
      <c r="G65" s="9"/>
      <c r="H65" s="2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22" t="e">
        <f t="shared" si="1"/>
        <v>#N/A</v>
      </c>
      <c r="X65" s="21" t="e">
        <f t="shared" si="2"/>
        <v>#N/A</v>
      </c>
      <c r="Y65" s="21" t="e">
        <f t="shared" si="3"/>
        <v>#N/A</v>
      </c>
      <c r="Z65" s="11" t="e">
        <f t="shared" si="4"/>
        <v>#N/A</v>
      </c>
      <c r="AA65" s="22" t="e">
        <f t="shared" si="5"/>
        <v>#N/A</v>
      </c>
      <c r="AB65" s="21" t="e">
        <f t="shared" si="6"/>
        <v>#N/A</v>
      </c>
      <c r="AC65" s="21" t="e">
        <f t="shared" si="7"/>
        <v>#N/A</v>
      </c>
      <c r="AD65" s="11" t="e">
        <f t="shared" si="8"/>
        <v>#N/A</v>
      </c>
      <c r="AE65" s="22" t="e">
        <f t="shared" si="9"/>
        <v>#N/A</v>
      </c>
      <c r="AF65" s="21" t="e">
        <f t="shared" si="10"/>
        <v>#N/A</v>
      </c>
      <c r="AG65" s="21" t="e">
        <f t="shared" si="11"/>
        <v>#N/A</v>
      </c>
      <c r="AH65" s="11" t="e">
        <f t="shared" si="12"/>
        <v>#N/A</v>
      </c>
      <c r="AI65">
        <v>2.5000000000000001E-2</v>
      </c>
      <c r="AJ65">
        <v>-2.5000000000000001E-2</v>
      </c>
      <c r="AK65">
        <v>1.5E-3</v>
      </c>
      <c r="AL65">
        <v>-1.5E-3</v>
      </c>
      <c r="AM65">
        <v>1.5E-3</v>
      </c>
      <c r="AN65">
        <v>-1.5E-3</v>
      </c>
      <c r="AO65" s="16">
        <v>2.5000000000000001E-2</v>
      </c>
      <c r="AP65" s="16">
        <v>-2.5000000000000001E-2</v>
      </c>
      <c r="AQ65">
        <v>1.4999999999999999E-2</v>
      </c>
      <c r="AR65">
        <v>-1.4999999999999999E-2</v>
      </c>
      <c r="AS65">
        <v>1E-3</v>
      </c>
      <c r="AT65">
        <v>-1E-3</v>
      </c>
      <c r="AU65">
        <v>1E-3</v>
      </c>
      <c r="AV65">
        <v>-1E-3</v>
      </c>
      <c r="AW65" s="16">
        <v>1.4999999999999999E-2</v>
      </c>
      <c r="AX65" s="16">
        <v>-1.4999999999999999E-2</v>
      </c>
      <c r="JR65">
        <v>12.849506578947368</v>
      </c>
    </row>
    <row r="66" spans="6:278" customFormat="1">
      <c r="F66" s="17" t="str">
        <f t="shared" si="0"/>
        <v/>
      </c>
      <c r="G66" s="9"/>
      <c r="H66" s="2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22" t="e">
        <f t="shared" si="1"/>
        <v>#N/A</v>
      </c>
      <c r="X66" s="21" t="e">
        <f t="shared" si="2"/>
        <v>#N/A</v>
      </c>
      <c r="Y66" s="21" t="e">
        <f t="shared" si="3"/>
        <v>#N/A</v>
      </c>
      <c r="Z66" s="11" t="e">
        <f t="shared" si="4"/>
        <v>#N/A</v>
      </c>
      <c r="AA66" s="22" t="e">
        <f t="shared" si="5"/>
        <v>#N/A</v>
      </c>
      <c r="AB66" s="21" t="e">
        <f t="shared" si="6"/>
        <v>#N/A</v>
      </c>
      <c r="AC66" s="21" t="e">
        <f t="shared" si="7"/>
        <v>#N/A</v>
      </c>
      <c r="AD66" s="11" t="e">
        <f t="shared" si="8"/>
        <v>#N/A</v>
      </c>
      <c r="AE66" s="22" t="e">
        <f t="shared" si="9"/>
        <v>#N/A</v>
      </c>
      <c r="AF66" s="21" t="e">
        <f t="shared" si="10"/>
        <v>#N/A</v>
      </c>
      <c r="AG66" s="21" t="e">
        <f t="shared" si="11"/>
        <v>#N/A</v>
      </c>
      <c r="AH66" s="11" t="e">
        <f t="shared" si="12"/>
        <v>#N/A</v>
      </c>
      <c r="AI66">
        <v>2.5000000000000001E-2</v>
      </c>
      <c r="AJ66">
        <v>-2.5000000000000001E-2</v>
      </c>
      <c r="AK66">
        <v>1.5E-3</v>
      </c>
      <c r="AL66">
        <v>-1.5E-3</v>
      </c>
      <c r="AM66">
        <v>1.5E-3</v>
      </c>
      <c r="AN66">
        <v>-1.5E-3</v>
      </c>
      <c r="AO66" s="16">
        <v>2.5000000000000001E-2</v>
      </c>
      <c r="AP66" s="16">
        <v>-2.5000000000000001E-2</v>
      </c>
      <c r="AQ66">
        <v>1.4999999999999999E-2</v>
      </c>
      <c r="AR66">
        <v>-1.4999999999999999E-2</v>
      </c>
      <c r="AS66">
        <v>1E-3</v>
      </c>
      <c r="AT66">
        <v>-1E-3</v>
      </c>
      <c r="AU66">
        <v>1E-3</v>
      </c>
      <c r="AV66">
        <v>-1E-3</v>
      </c>
      <c r="AW66" s="16">
        <v>1.4999999999999999E-2</v>
      </c>
      <c r="AX66" s="16">
        <v>-1.4999999999999999E-2</v>
      </c>
      <c r="JR66">
        <v>24.187306501547987</v>
      </c>
    </row>
    <row r="67" spans="6:278" customFormat="1">
      <c r="F67" s="17" t="str">
        <f t="shared" si="0"/>
        <v/>
      </c>
      <c r="G67" s="9"/>
      <c r="H67" s="2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22" t="e">
        <f t="shared" si="1"/>
        <v>#N/A</v>
      </c>
      <c r="X67" s="21" t="e">
        <f t="shared" si="2"/>
        <v>#N/A</v>
      </c>
      <c r="Y67" s="21" t="e">
        <f t="shared" si="3"/>
        <v>#N/A</v>
      </c>
      <c r="Z67" s="11" t="e">
        <f t="shared" si="4"/>
        <v>#N/A</v>
      </c>
      <c r="AA67" s="22" t="e">
        <f t="shared" si="5"/>
        <v>#N/A</v>
      </c>
      <c r="AB67" s="21" t="e">
        <f t="shared" si="6"/>
        <v>#N/A</v>
      </c>
      <c r="AC67" s="21" t="e">
        <f t="shared" si="7"/>
        <v>#N/A</v>
      </c>
      <c r="AD67" s="11" t="e">
        <f t="shared" si="8"/>
        <v>#N/A</v>
      </c>
      <c r="AE67" s="22" t="e">
        <f t="shared" si="9"/>
        <v>#N/A</v>
      </c>
      <c r="AF67" s="21" t="e">
        <f t="shared" si="10"/>
        <v>#N/A</v>
      </c>
      <c r="AG67" s="21" t="e">
        <f t="shared" si="11"/>
        <v>#N/A</v>
      </c>
      <c r="AH67" s="11" t="e">
        <f t="shared" si="12"/>
        <v>#N/A</v>
      </c>
      <c r="AI67">
        <v>2.5000000000000001E-2</v>
      </c>
      <c r="AJ67">
        <v>-2.5000000000000001E-2</v>
      </c>
      <c r="AK67">
        <v>1.5E-3</v>
      </c>
      <c r="AL67">
        <v>-1.5E-3</v>
      </c>
      <c r="AM67">
        <v>1.5E-3</v>
      </c>
      <c r="AN67">
        <v>-1.5E-3</v>
      </c>
      <c r="AO67" s="16">
        <v>2.5000000000000001E-2</v>
      </c>
      <c r="AP67" s="16">
        <v>-2.5000000000000001E-2</v>
      </c>
      <c r="AQ67">
        <v>1.4999999999999999E-2</v>
      </c>
      <c r="AR67">
        <v>-1.4999999999999999E-2</v>
      </c>
      <c r="AS67">
        <v>1E-3</v>
      </c>
      <c r="AT67">
        <v>-1E-3</v>
      </c>
      <c r="AU67">
        <v>1E-3</v>
      </c>
      <c r="AV67">
        <v>-1E-3</v>
      </c>
      <c r="AW67" s="16">
        <v>1.4999999999999999E-2</v>
      </c>
      <c r="AX67" s="16">
        <v>-1.4999999999999999E-2</v>
      </c>
    </row>
    <row r="68" spans="6:278" customFormat="1">
      <c r="F68" s="17" t="str">
        <f t="shared" si="0"/>
        <v/>
      </c>
      <c r="G68" s="9"/>
      <c r="H68" s="2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22" t="e">
        <f t="shared" si="1"/>
        <v>#N/A</v>
      </c>
      <c r="X68" s="21" t="e">
        <f t="shared" si="2"/>
        <v>#N/A</v>
      </c>
      <c r="Y68" s="21" t="e">
        <f t="shared" si="3"/>
        <v>#N/A</v>
      </c>
      <c r="Z68" s="11" t="e">
        <f t="shared" si="4"/>
        <v>#N/A</v>
      </c>
      <c r="AA68" s="22" t="e">
        <f t="shared" si="5"/>
        <v>#N/A</v>
      </c>
      <c r="AB68" s="21" t="e">
        <f t="shared" si="6"/>
        <v>#N/A</v>
      </c>
      <c r="AC68" s="21" t="e">
        <f t="shared" si="7"/>
        <v>#N/A</v>
      </c>
      <c r="AD68" s="11" t="e">
        <f t="shared" si="8"/>
        <v>#N/A</v>
      </c>
      <c r="AE68" s="22" t="e">
        <f t="shared" si="9"/>
        <v>#N/A</v>
      </c>
      <c r="AF68" s="21" t="e">
        <f t="shared" si="10"/>
        <v>#N/A</v>
      </c>
      <c r="AG68" s="21" t="e">
        <f t="shared" si="11"/>
        <v>#N/A</v>
      </c>
      <c r="AH68" s="11" t="e">
        <f t="shared" si="12"/>
        <v>#N/A</v>
      </c>
      <c r="AI68">
        <v>2.5000000000000001E-2</v>
      </c>
      <c r="AJ68">
        <v>-2.5000000000000001E-2</v>
      </c>
      <c r="AK68">
        <v>1.5E-3</v>
      </c>
      <c r="AL68">
        <v>-1.5E-3</v>
      </c>
      <c r="AM68">
        <v>1.5E-3</v>
      </c>
      <c r="AN68">
        <v>-1.5E-3</v>
      </c>
      <c r="AO68" s="16">
        <v>2.5000000000000001E-2</v>
      </c>
      <c r="AP68" s="16">
        <v>-2.5000000000000001E-2</v>
      </c>
      <c r="AQ68">
        <v>1.4999999999999999E-2</v>
      </c>
      <c r="AR68">
        <v>-1.4999999999999999E-2</v>
      </c>
      <c r="AS68">
        <v>1E-3</v>
      </c>
      <c r="AT68">
        <v>-1E-3</v>
      </c>
      <c r="AU68">
        <v>1E-3</v>
      </c>
      <c r="AV68">
        <v>-1E-3</v>
      </c>
      <c r="AW68" s="16">
        <v>1.4999999999999999E-2</v>
      </c>
      <c r="AX68" s="16">
        <v>-1.4999999999999999E-2</v>
      </c>
    </row>
    <row r="69" spans="6:278" customFormat="1">
      <c r="F69" s="17" t="str">
        <f t="shared" si="0"/>
        <v/>
      </c>
      <c r="G69" s="9"/>
      <c r="H69" s="2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22" t="e">
        <f t="shared" si="1"/>
        <v>#N/A</v>
      </c>
      <c r="X69" s="21" t="e">
        <f t="shared" si="2"/>
        <v>#N/A</v>
      </c>
      <c r="Y69" s="21" t="e">
        <f t="shared" si="3"/>
        <v>#N/A</v>
      </c>
      <c r="Z69" s="11" t="e">
        <f t="shared" si="4"/>
        <v>#N/A</v>
      </c>
      <c r="AA69" s="22" t="e">
        <f t="shared" si="5"/>
        <v>#N/A</v>
      </c>
      <c r="AB69" s="21" t="e">
        <f t="shared" si="6"/>
        <v>#N/A</v>
      </c>
      <c r="AC69" s="21" t="e">
        <f t="shared" si="7"/>
        <v>#N/A</v>
      </c>
      <c r="AD69" s="11" t="e">
        <f t="shared" si="8"/>
        <v>#N/A</v>
      </c>
      <c r="AE69" s="22" t="e">
        <f t="shared" si="9"/>
        <v>#N/A</v>
      </c>
      <c r="AF69" s="21" t="e">
        <f t="shared" si="10"/>
        <v>#N/A</v>
      </c>
      <c r="AG69" s="21" t="e">
        <f t="shared" si="11"/>
        <v>#N/A</v>
      </c>
      <c r="AH69" s="11" t="e">
        <f t="shared" si="12"/>
        <v>#N/A</v>
      </c>
      <c r="AI69">
        <v>2.5000000000000001E-2</v>
      </c>
      <c r="AJ69">
        <v>-2.5000000000000001E-2</v>
      </c>
      <c r="AK69">
        <v>1.5E-3</v>
      </c>
      <c r="AL69">
        <v>-1.5E-3</v>
      </c>
      <c r="AM69">
        <v>1.5E-3</v>
      </c>
      <c r="AN69">
        <v>-1.5E-3</v>
      </c>
      <c r="AO69" s="16">
        <v>2.5000000000000001E-2</v>
      </c>
      <c r="AP69" s="16">
        <v>-2.5000000000000001E-2</v>
      </c>
      <c r="AQ69">
        <v>1.4999999999999999E-2</v>
      </c>
      <c r="AR69">
        <v>-1.4999999999999999E-2</v>
      </c>
      <c r="AS69">
        <v>1E-3</v>
      </c>
      <c r="AT69">
        <v>-1E-3</v>
      </c>
      <c r="AU69">
        <v>1E-3</v>
      </c>
      <c r="AV69">
        <v>-1E-3</v>
      </c>
      <c r="AW69" s="16">
        <v>1.4999999999999999E-2</v>
      </c>
      <c r="AX69" s="16">
        <v>-1.4999999999999999E-2</v>
      </c>
    </row>
    <row r="70" spans="6:278" customFormat="1">
      <c r="F70" s="17" t="str">
        <f t="shared" si="0"/>
        <v/>
      </c>
      <c r="G70" s="9"/>
      <c r="H70" s="2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22" t="e">
        <f t="shared" si="1"/>
        <v>#N/A</v>
      </c>
      <c r="X70" s="21" t="e">
        <f t="shared" si="2"/>
        <v>#N/A</v>
      </c>
      <c r="Y70" s="21" t="e">
        <f t="shared" si="3"/>
        <v>#N/A</v>
      </c>
      <c r="Z70" s="11" t="e">
        <f t="shared" si="4"/>
        <v>#N/A</v>
      </c>
      <c r="AA70" s="22" t="e">
        <f t="shared" si="5"/>
        <v>#N/A</v>
      </c>
      <c r="AB70" s="21" t="e">
        <f t="shared" si="6"/>
        <v>#N/A</v>
      </c>
      <c r="AC70" s="21" t="e">
        <f t="shared" si="7"/>
        <v>#N/A</v>
      </c>
      <c r="AD70" s="11" t="e">
        <f t="shared" si="8"/>
        <v>#N/A</v>
      </c>
      <c r="AE70" s="22" t="e">
        <f t="shared" si="9"/>
        <v>#N/A</v>
      </c>
      <c r="AF70" s="21" t="e">
        <f t="shared" si="10"/>
        <v>#N/A</v>
      </c>
      <c r="AG70" s="21" t="e">
        <f t="shared" si="11"/>
        <v>#N/A</v>
      </c>
      <c r="AH70" s="11" t="e">
        <f t="shared" si="12"/>
        <v>#N/A</v>
      </c>
      <c r="AI70">
        <v>2.5000000000000001E-2</v>
      </c>
      <c r="AJ70">
        <v>-2.5000000000000001E-2</v>
      </c>
      <c r="AK70">
        <v>1.5E-3</v>
      </c>
      <c r="AL70">
        <v>-1.5E-3</v>
      </c>
      <c r="AM70">
        <v>1.5E-3</v>
      </c>
      <c r="AN70">
        <v>-1.5E-3</v>
      </c>
      <c r="AO70" s="16">
        <v>2.5000000000000001E-2</v>
      </c>
      <c r="AP70" s="16">
        <v>-2.5000000000000001E-2</v>
      </c>
      <c r="AQ70">
        <v>1.4999999999999999E-2</v>
      </c>
      <c r="AR70">
        <v>-1.4999999999999999E-2</v>
      </c>
      <c r="AS70">
        <v>1E-3</v>
      </c>
      <c r="AT70">
        <v>-1E-3</v>
      </c>
      <c r="AU70">
        <v>1E-3</v>
      </c>
      <c r="AV70">
        <v>-1E-3</v>
      </c>
      <c r="AW70" s="16">
        <v>1.4999999999999999E-2</v>
      </c>
      <c r="AX70" s="16">
        <v>-1.4999999999999999E-2</v>
      </c>
    </row>
    <row r="71" spans="6:278" customFormat="1">
      <c r="F71" s="17" t="str">
        <f t="shared" ref="F71:F100" si="13">IF(G71="","",G71)</f>
        <v/>
      </c>
      <c r="G71" s="9"/>
      <c r="H71" s="2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22" t="e">
        <f t="shared" ref="W71:W100" si="14">IF(H71="",NA(),I71-VLOOKUP(H71,$A$6:$E$35,2,FALSE))</f>
        <v>#N/A</v>
      </c>
      <c r="X71" s="21" t="e">
        <f t="shared" ref="X71:X100" si="15">IF(H71="",NA(),J71-VLOOKUP(H71,$A$6:$E$35,3,FALSE))</f>
        <v>#N/A</v>
      </c>
      <c r="Y71" s="21" t="e">
        <f t="shared" ref="Y71:Y100" si="16">IF(H71="",NA(),K71-VLOOKUP(H71,$A$6:$E$35,4,FALSE))</f>
        <v>#N/A</v>
      </c>
      <c r="Z71" s="11" t="e">
        <f t="shared" ref="Z71:Z100" si="17">IF(H71="",NA(),L71/VLOOKUP(H71,$A$6:$E$35,5,FALSE)-1)</f>
        <v>#N/A</v>
      </c>
      <c r="AA71" s="22" t="e">
        <f t="shared" ref="AA71:AA100" si="18">IF(M71="",NA(),N71-VLOOKUP(M71,$A$6:$E$35,2,FALSE))</f>
        <v>#N/A</v>
      </c>
      <c r="AB71" s="21" t="e">
        <f t="shared" ref="AB71:AB100" si="19">IF(M71="",NA(),O71-VLOOKUP(M71,$A$6:$E$35,3,FALSE))</f>
        <v>#N/A</v>
      </c>
      <c r="AC71" s="21" t="e">
        <f t="shared" ref="AC71:AC100" si="20">IF(M71="",NA(),P71-VLOOKUP(M71,$A$6:$E$35,4,FALSE))</f>
        <v>#N/A</v>
      </c>
      <c r="AD71" s="11" t="e">
        <f t="shared" ref="AD71:AD100" si="21">IF(M71="",NA(),Q71/VLOOKUP(M71,$A$6:$E$35,5,FALSE)-1)</f>
        <v>#N/A</v>
      </c>
      <c r="AE71" s="22" t="e">
        <f t="shared" ref="AE71:AE100" si="22">IF(R71="",NA(),S71-VLOOKUP(R71,$A$6:$E$35,2,FALSE))</f>
        <v>#N/A</v>
      </c>
      <c r="AF71" s="21" t="e">
        <f t="shared" ref="AF71:AF100" si="23">IF(R71="",NA(),T71-VLOOKUP(R71,$A$6:$E$35,3,FALSE))</f>
        <v>#N/A</v>
      </c>
      <c r="AG71" s="21" t="e">
        <f t="shared" ref="AG71:AG100" si="24">IF(R71="",NA(),U71-VLOOKUP(R71,$A$6:$E$35,4,FALSE))</f>
        <v>#N/A</v>
      </c>
      <c r="AH71" s="11" t="e">
        <f t="shared" ref="AH71:AH100" si="25">IF(R71="",NA(),V71/VLOOKUP(R71,$A$6:$E$35,5,FALSE)-1)</f>
        <v>#N/A</v>
      </c>
      <c r="AI71">
        <v>2.5000000000000001E-2</v>
      </c>
      <c r="AJ71">
        <v>-2.5000000000000001E-2</v>
      </c>
      <c r="AK71">
        <v>1.5E-3</v>
      </c>
      <c r="AL71">
        <v>-1.5E-3</v>
      </c>
      <c r="AM71">
        <v>1.5E-3</v>
      </c>
      <c r="AN71">
        <v>-1.5E-3</v>
      </c>
      <c r="AO71" s="16">
        <v>2.5000000000000001E-2</v>
      </c>
      <c r="AP71" s="16">
        <v>-2.5000000000000001E-2</v>
      </c>
      <c r="AQ71">
        <v>1.4999999999999999E-2</v>
      </c>
      <c r="AR71">
        <v>-1.4999999999999999E-2</v>
      </c>
      <c r="AS71">
        <v>1E-3</v>
      </c>
      <c r="AT71">
        <v>-1E-3</v>
      </c>
      <c r="AU71">
        <v>1E-3</v>
      </c>
      <c r="AV71">
        <v>-1E-3</v>
      </c>
      <c r="AW71" s="16">
        <v>1.4999999999999999E-2</v>
      </c>
      <c r="AX71" s="16">
        <v>-1.4999999999999999E-2</v>
      </c>
    </row>
    <row r="72" spans="6:278" customFormat="1">
      <c r="F72" s="17" t="str">
        <f t="shared" si="13"/>
        <v/>
      </c>
      <c r="G72" s="9"/>
      <c r="H72" s="2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22" t="e">
        <f t="shared" si="14"/>
        <v>#N/A</v>
      </c>
      <c r="X72" s="21" t="e">
        <f t="shared" si="15"/>
        <v>#N/A</v>
      </c>
      <c r="Y72" s="21" t="e">
        <f t="shared" si="16"/>
        <v>#N/A</v>
      </c>
      <c r="Z72" s="11" t="e">
        <f t="shared" si="17"/>
        <v>#N/A</v>
      </c>
      <c r="AA72" s="22" t="e">
        <f t="shared" si="18"/>
        <v>#N/A</v>
      </c>
      <c r="AB72" s="21" t="e">
        <f t="shared" si="19"/>
        <v>#N/A</v>
      </c>
      <c r="AC72" s="21" t="e">
        <f t="shared" si="20"/>
        <v>#N/A</v>
      </c>
      <c r="AD72" s="11" t="e">
        <f t="shared" si="21"/>
        <v>#N/A</v>
      </c>
      <c r="AE72" s="22" t="e">
        <f t="shared" si="22"/>
        <v>#N/A</v>
      </c>
      <c r="AF72" s="21" t="e">
        <f t="shared" si="23"/>
        <v>#N/A</v>
      </c>
      <c r="AG72" s="21" t="e">
        <f t="shared" si="24"/>
        <v>#N/A</v>
      </c>
      <c r="AH72" s="11" t="e">
        <f t="shared" si="25"/>
        <v>#N/A</v>
      </c>
      <c r="AI72">
        <v>2.5000000000000001E-2</v>
      </c>
      <c r="AJ72">
        <v>-2.5000000000000001E-2</v>
      </c>
      <c r="AK72">
        <v>1.5E-3</v>
      </c>
      <c r="AL72">
        <v>-1.5E-3</v>
      </c>
      <c r="AM72">
        <v>1.5E-3</v>
      </c>
      <c r="AN72">
        <v>-1.5E-3</v>
      </c>
      <c r="AO72" s="16">
        <v>2.5000000000000001E-2</v>
      </c>
      <c r="AP72" s="16">
        <v>-2.5000000000000001E-2</v>
      </c>
      <c r="AQ72">
        <v>1.4999999999999999E-2</v>
      </c>
      <c r="AR72">
        <v>-1.4999999999999999E-2</v>
      </c>
      <c r="AS72">
        <v>1E-3</v>
      </c>
      <c r="AT72">
        <v>-1E-3</v>
      </c>
      <c r="AU72">
        <v>1E-3</v>
      </c>
      <c r="AV72">
        <v>-1E-3</v>
      </c>
      <c r="AW72" s="16">
        <v>1.4999999999999999E-2</v>
      </c>
      <c r="AX72" s="16">
        <v>-1.4999999999999999E-2</v>
      </c>
    </row>
    <row r="73" spans="6:278" customFormat="1">
      <c r="F73" s="17" t="str">
        <f t="shared" si="13"/>
        <v/>
      </c>
      <c r="G73" s="9"/>
      <c r="H73" s="2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22" t="e">
        <f t="shared" si="14"/>
        <v>#N/A</v>
      </c>
      <c r="X73" s="21" t="e">
        <f t="shared" si="15"/>
        <v>#N/A</v>
      </c>
      <c r="Y73" s="21" t="e">
        <f t="shared" si="16"/>
        <v>#N/A</v>
      </c>
      <c r="Z73" s="11" t="e">
        <f t="shared" si="17"/>
        <v>#N/A</v>
      </c>
      <c r="AA73" s="22" t="e">
        <f t="shared" si="18"/>
        <v>#N/A</v>
      </c>
      <c r="AB73" s="21" t="e">
        <f t="shared" si="19"/>
        <v>#N/A</v>
      </c>
      <c r="AC73" s="21" t="e">
        <f t="shared" si="20"/>
        <v>#N/A</v>
      </c>
      <c r="AD73" s="11" t="e">
        <f t="shared" si="21"/>
        <v>#N/A</v>
      </c>
      <c r="AE73" s="22" t="e">
        <f t="shared" si="22"/>
        <v>#N/A</v>
      </c>
      <c r="AF73" s="21" t="e">
        <f t="shared" si="23"/>
        <v>#N/A</v>
      </c>
      <c r="AG73" s="21" t="e">
        <f t="shared" si="24"/>
        <v>#N/A</v>
      </c>
      <c r="AH73" s="11" t="e">
        <f t="shared" si="25"/>
        <v>#N/A</v>
      </c>
      <c r="AI73">
        <v>2.5000000000000001E-2</v>
      </c>
      <c r="AJ73">
        <v>-2.5000000000000001E-2</v>
      </c>
      <c r="AK73">
        <v>1.5E-3</v>
      </c>
      <c r="AL73">
        <v>-1.5E-3</v>
      </c>
      <c r="AM73">
        <v>1.5E-3</v>
      </c>
      <c r="AN73">
        <v>-1.5E-3</v>
      </c>
      <c r="AO73" s="16">
        <v>2.5000000000000001E-2</v>
      </c>
      <c r="AP73" s="16">
        <v>-2.5000000000000001E-2</v>
      </c>
      <c r="AQ73">
        <v>1.4999999999999999E-2</v>
      </c>
      <c r="AR73">
        <v>-1.4999999999999999E-2</v>
      </c>
      <c r="AS73">
        <v>1E-3</v>
      </c>
      <c r="AT73">
        <v>-1E-3</v>
      </c>
      <c r="AU73">
        <v>1E-3</v>
      </c>
      <c r="AV73">
        <v>-1E-3</v>
      </c>
      <c r="AW73" s="16">
        <v>1.4999999999999999E-2</v>
      </c>
      <c r="AX73" s="16">
        <v>-1.4999999999999999E-2</v>
      </c>
    </row>
    <row r="74" spans="6:278" customFormat="1">
      <c r="F74" s="17" t="str">
        <f t="shared" si="13"/>
        <v/>
      </c>
      <c r="G74" s="9"/>
      <c r="H74" s="2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22" t="e">
        <f t="shared" si="14"/>
        <v>#N/A</v>
      </c>
      <c r="X74" s="21" t="e">
        <f t="shared" si="15"/>
        <v>#N/A</v>
      </c>
      <c r="Y74" s="21" t="e">
        <f t="shared" si="16"/>
        <v>#N/A</v>
      </c>
      <c r="Z74" s="11" t="e">
        <f t="shared" si="17"/>
        <v>#N/A</v>
      </c>
      <c r="AA74" s="22" t="e">
        <f t="shared" si="18"/>
        <v>#N/A</v>
      </c>
      <c r="AB74" s="21" t="e">
        <f t="shared" si="19"/>
        <v>#N/A</v>
      </c>
      <c r="AC74" s="21" t="e">
        <f t="shared" si="20"/>
        <v>#N/A</v>
      </c>
      <c r="AD74" s="11" t="e">
        <f t="shared" si="21"/>
        <v>#N/A</v>
      </c>
      <c r="AE74" s="22" t="e">
        <f t="shared" si="22"/>
        <v>#N/A</v>
      </c>
      <c r="AF74" s="21" t="e">
        <f t="shared" si="23"/>
        <v>#N/A</v>
      </c>
      <c r="AG74" s="21" t="e">
        <f t="shared" si="24"/>
        <v>#N/A</v>
      </c>
      <c r="AH74" s="11" t="e">
        <f t="shared" si="25"/>
        <v>#N/A</v>
      </c>
      <c r="AI74">
        <v>2.5000000000000001E-2</v>
      </c>
      <c r="AJ74">
        <v>-2.5000000000000001E-2</v>
      </c>
      <c r="AK74">
        <v>1.5E-3</v>
      </c>
      <c r="AL74">
        <v>-1.5E-3</v>
      </c>
      <c r="AM74">
        <v>1.5E-3</v>
      </c>
      <c r="AN74">
        <v>-1.5E-3</v>
      </c>
      <c r="AO74" s="16">
        <v>2.5000000000000001E-2</v>
      </c>
      <c r="AP74" s="16">
        <v>-2.5000000000000001E-2</v>
      </c>
      <c r="AQ74">
        <v>1.4999999999999999E-2</v>
      </c>
      <c r="AR74">
        <v>-1.4999999999999999E-2</v>
      </c>
      <c r="AS74">
        <v>1E-3</v>
      </c>
      <c r="AT74">
        <v>-1E-3</v>
      </c>
      <c r="AU74">
        <v>1E-3</v>
      </c>
      <c r="AV74">
        <v>-1E-3</v>
      </c>
      <c r="AW74" s="16">
        <v>1.4999999999999999E-2</v>
      </c>
      <c r="AX74" s="16">
        <v>-1.4999999999999999E-2</v>
      </c>
    </row>
    <row r="75" spans="6:278" customFormat="1">
      <c r="F75" s="17" t="str">
        <f t="shared" si="13"/>
        <v/>
      </c>
      <c r="G75" s="9"/>
      <c r="H75" s="2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22" t="e">
        <f t="shared" si="14"/>
        <v>#N/A</v>
      </c>
      <c r="X75" s="21" t="e">
        <f t="shared" si="15"/>
        <v>#N/A</v>
      </c>
      <c r="Y75" s="21" t="e">
        <f t="shared" si="16"/>
        <v>#N/A</v>
      </c>
      <c r="Z75" s="11" t="e">
        <f t="shared" si="17"/>
        <v>#N/A</v>
      </c>
      <c r="AA75" s="22" t="e">
        <f t="shared" si="18"/>
        <v>#N/A</v>
      </c>
      <c r="AB75" s="21" t="e">
        <f t="shared" si="19"/>
        <v>#N/A</v>
      </c>
      <c r="AC75" s="21" t="e">
        <f t="shared" si="20"/>
        <v>#N/A</v>
      </c>
      <c r="AD75" s="11" t="e">
        <f t="shared" si="21"/>
        <v>#N/A</v>
      </c>
      <c r="AE75" s="22" t="e">
        <f t="shared" si="22"/>
        <v>#N/A</v>
      </c>
      <c r="AF75" s="21" t="e">
        <f t="shared" si="23"/>
        <v>#N/A</v>
      </c>
      <c r="AG75" s="21" t="e">
        <f t="shared" si="24"/>
        <v>#N/A</v>
      </c>
      <c r="AH75" s="11" t="e">
        <f t="shared" si="25"/>
        <v>#N/A</v>
      </c>
      <c r="AI75">
        <v>2.5000000000000001E-2</v>
      </c>
      <c r="AJ75">
        <v>-2.5000000000000001E-2</v>
      </c>
      <c r="AK75">
        <v>1.5E-3</v>
      </c>
      <c r="AL75">
        <v>-1.5E-3</v>
      </c>
      <c r="AM75">
        <v>1.5E-3</v>
      </c>
      <c r="AN75">
        <v>-1.5E-3</v>
      </c>
      <c r="AO75" s="16">
        <v>2.5000000000000001E-2</v>
      </c>
      <c r="AP75" s="16">
        <v>-2.5000000000000001E-2</v>
      </c>
      <c r="AQ75">
        <v>1.4999999999999999E-2</v>
      </c>
      <c r="AR75">
        <v>-1.4999999999999999E-2</v>
      </c>
      <c r="AS75">
        <v>1E-3</v>
      </c>
      <c r="AT75">
        <v>-1E-3</v>
      </c>
      <c r="AU75">
        <v>1E-3</v>
      </c>
      <c r="AV75">
        <v>-1E-3</v>
      </c>
      <c r="AW75" s="16">
        <v>1.4999999999999999E-2</v>
      </c>
      <c r="AX75" s="16">
        <v>-1.4999999999999999E-2</v>
      </c>
    </row>
    <row r="76" spans="6:278" customFormat="1">
      <c r="F76" s="17" t="str">
        <f t="shared" si="13"/>
        <v/>
      </c>
      <c r="G76" s="9"/>
      <c r="H76" s="2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22" t="e">
        <f t="shared" si="14"/>
        <v>#N/A</v>
      </c>
      <c r="X76" s="21" t="e">
        <f t="shared" si="15"/>
        <v>#N/A</v>
      </c>
      <c r="Y76" s="21" t="e">
        <f t="shared" si="16"/>
        <v>#N/A</v>
      </c>
      <c r="Z76" s="11" t="e">
        <f t="shared" si="17"/>
        <v>#N/A</v>
      </c>
      <c r="AA76" s="22" t="e">
        <f t="shared" si="18"/>
        <v>#N/A</v>
      </c>
      <c r="AB76" s="21" t="e">
        <f t="shared" si="19"/>
        <v>#N/A</v>
      </c>
      <c r="AC76" s="21" t="e">
        <f t="shared" si="20"/>
        <v>#N/A</v>
      </c>
      <c r="AD76" s="11" t="e">
        <f t="shared" si="21"/>
        <v>#N/A</v>
      </c>
      <c r="AE76" s="22" t="e">
        <f t="shared" si="22"/>
        <v>#N/A</v>
      </c>
      <c r="AF76" s="21" t="e">
        <f t="shared" si="23"/>
        <v>#N/A</v>
      </c>
      <c r="AG76" s="21" t="e">
        <f t="shared" si="24"/>
        <v>#N/A</v>
      </c>
      <c r="AH76" s="11" t="e">
        <f t="shared" si="25"/>
        <v>#N/A</v>
      </c>
      <c r="AI76">
        <v>2.5000000000000001E-2</v>
      </c>
      <c r="AJ76">
        <v>-2.5000000000000001E-2</v>
      </c>
      <c r="AK76">
        <v>1.5E-3</v>
      </c>
      <c r="AL76">
        <v>-1.5E-3</v>
      </c>
      <c r="AM76">
        <v>1.5E-3</v>
      </c>
      <c r="AN76">
        <v>-1.5E-3</v>
      </c>
      <c r="AO76" s="16">
        <v>2.5000000000000001E-2</v>
      </c>
      <c r="AP76" s="16">
        <v>-2.5000000000000001E-2</v>
      </c>
      <c r="AQ76">
        <v>1.4999999999999999E-2</v>
      </c>
      <c r="AR76">
        <v>-1.4999999999999999E-2</v>
      </c>
      <c r="AS76">
        <v>1E-3</v>
      </c>
      <c r="AT76">
        <v>-1E-3</v>
      </c>
      <c r="AU76">
        <v>1E-3</v>
      </c>
      <c r="AV76">
        <v>-1E-3</v>
      </c>
      <c r="AW76" s="16">
        <v>1.4999999999999999E-2</v>
      </c>
      <c r="AX76" s="16">
        <v>-1.4999999999999999E-2</v>
      </c>
    </row>
    <row r="77" spans="6:278" customFormat="1">
      <c r="F77" s="17" t="str">
        <f t="shared" si="13"/>
        <v/>
      </c>
      <c r="G77" s="9"/>
      <c r="H77" s="2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22" t="e">
        <f t="shared" si="14"/>
        <v>#N/A</v>
      </c>
      <c r="X77" s="21" t="e">
        <f t="shared" si="15"/>
        <v>#N/A</v>
      </c>
      <c r="Y77" s="21" t="e">
        <f t="shared" si="16"/>
        <v>#N/A</v>
      </c>
      <c r="Z77" s="11" t="e">
        <f t="shared" si="17"/>
        <v>#N/A</v>
      </c>
      <c r="AA77" s="22" t="e">
        <f t="shared" si="18"/>
        <v>#N/A</v>
      </c>
      <c r="AB77" s="21" t="e">
        <f t="shared" si="19"/>
        <v>#N/A</v>
      </c>
      <c r="AC77" s="21" t="e">
        <f t="shared" si="20"/>
        <v>#N/A</v>
      </c>
      <c r="AD77" s="11" t="e">
        <f t="shared" si="21"/>
        <v>#N/A</v>
      </c>
      <c r="AE77" s="22" t="e">
        <f t="shared" si="22"/>
        <v>#N/A</v>
      </c>
      <c r="AF77" s="21" t="e">
        <f t="shared" si="23"/>
        <v>#N/A</v>
      </c>
      <c r="AG77" s="21" t="e">
        <f t="shared" si="24"/>
        <v>#N/A</v>
      </c>
      <c r="AH77" s="11" t="e">
        <f t="shared" si="25"/>
        <v>#N/A</v>
      </c>
      <c r="AI77">
        <v>2.5000000000000001E-2</v>
      </c>
      <c r="AJ77">
        <v>-2.5000000000000001E-2</v>
      </c>
      <c r="AK77">
        <v>1.5E-3</v>
      </c>
      <c r="AL77">
        <v>-1.5E-3</v>
      </c>
      <c r="AM77">
        <v>1.5E-3</v>
      </c>
      <c r="AN77">
        <v>-1.5E-3</v>
      </c>
      <c r="AO77" s="16">
        <v>2.5000000000000001E-2</v>
      </c>
      <c r="AP77" s="16">
        <v>-2.5000000000000001E-2</v>
      </c>
      <c r="AQ77">
        <v>1.4999999999999999E-2</v>
      </c>
      <c r="AR77">
        <v>-1.4999999999999999E-2</v>
      </c>
      <c r="AS77">
        <v>1E-3</v>
      </c>
      <c r="AT77">
        <v>-1E-3</v>
      </c>
      <c r="AU77">
        <v>1E-3</v>
      </c>
      <c r="AV77">
        <v>-1E-3</v>
      </c>
      <c r="AW77" s="16">
        <v>1.4999999999999999E-2</v>
      </c>
      <c r="AX77" s="16">
        <v>-1.4999999999999999E-2</v>
      </c>
    </row>
    <row r="78" spans="6:278" customFormat="1">
      <c r="F78" s="17" t="str">
        <f t="shared" si="13"/>
        <v/>
      </c>
      <c r="G78" s="9"/>
      <c r="H78" s="2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22" t="e">
        <f t="shared" si="14"/>
        <v>#N/A</v>
      </c>
      <c r="X78" s="21" t="e">
        <f t="shared" si="15"/>
        <v>#N/A</v>
      </c>
      <c r="Y78" s="21" t="e">
        <f t="shared" si="16"/>
        <v>#N/A</v>
      </c>
      <c r="Z78" s="11" t="e">
        <f t="shared" si="17"/>
        <v>#N/A</v>
      </c>
      <c r="AA78" s="22" t="e">
        <f t="shared" si="18"/>
        <v>#N/A</v>
      </c>
      <c r="AB78" s="21" t="e">
        <f t="shared" si="19"/>
        <v>#N/A</v>
      </c>
      <c r="AC78" s="21" t="e">
        <f t="shared" si="20"/>
        <v>#N/A</v>
      </c>
      <c r="AD78" s="11" t="e">
        <f t="shared" si="21"/>
        <v>#N/A</v>
      </c>
      <c r="AE78" s="22" t="e">
        <f t="shared" si="22"/>
        <v>#N/A</v>
      </c>
      <c r="AF78" s="21" t="e">
        <f t="shared" si="23"/>
        <v>#N/A</v>
      </c>
      <c r="AG78" s="21" t="e">
        <f t="shared" si="24"/>
        <v>#N/A</v>
      </c>
      <c r="AH78" s="11" t="e">
        <f t="shared" si="25"/>
        <v>#N/A</v>
      </c>
      <c r="AI78">
        <v>2.5000000000000001E-2</v>
      </c>
      <c r="AJ78">
        <v>-2.5000000000000001E-2</v>
      </c>
      <c r="AK78">
        <v>1.5E-3</v>
      </c>
      <c r="AL78">
        <v>-1.5E-3</v>
      </c>
      <c r="AM78">
        <v>1.5E-3</v>
      </c>
      <c r="AN78">
        <v>-1.5E-3</v>
      </c>
      <c r="AO78" s="16">
        <v>2.5000000000000001E-2</v>
      </c>
      <c r="AP78" s="16">
        <v>-2.5000000000000001E-2</v>
      </c>
      <c r="AQ78">
        <v>1.4999999999999999E-2</v>
      </c>
      <c r="AR78">
        <v>-1.4999999999999999E-2</v>
      </c>
      <c r="AS78">
        <v>1E-3</v>
      </c>
      <c r="AT78">
        <v>-1E-3</v>
      </c>
      <c r="AU78">
        <v>1E-3</v>
      </c>
      <c r="AV78">
        <v>-1E-3</v>
      </c>
      <c r="AW78" s="16">
        <v>1.4999999999999999E-2</v>
      </c>
      <c r="AX78" s="16">
        <v>-1.4999999999999999E-2</v>
      </c>
    </row>
    <row r="79" spans="6:278" customFormat="1">
      <c r="F79" s="17" t="str">
        <f t="shared" si="13"/>
        <v/>
      </c>
      <c r="G79" s="9"/>
      <c r="H79" s="2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22" t="e">
        <f t="shared" si="14"/>
        <v>#N/A</v>
      </c>
      <c r="X79" s="21" t="e">
        <f t="shared" si="15"/>
        <v>#N/A</v>
      </c>
      <c r="Y79" s="21" t="e">
        <f t="shared" si="16"/>
        <v>#N/A</v>
      </c>
      <c r="Z79" s="11" t="e">
        <f t="shared" si="17"/>
        <v>#N/A</v>
      </c>
      <c r="AA79" s="22" t="e">
        <f t="shared" si="18"/>
        <v>#N/A</v>
      </c>
      <c r="AB79" s="21" t="e">
        <f t="shared" si="19"/>
        <v>#N/A</v>
      </c>
      <c r="AC79" s="21" t="e">
        <f t="shared" si="20"/>
        <v>#N/A</v>
      </c>
      <c r="AD79" s="11" t="e">
        <f t="shared" si="21"/>
        <v>#N/A</v>
      </c>
      <c r="AE79" s="22" t="e">
        <f t="shared" si="22"/>
        <v>#N/A</v>
      </c>
      <c r="AF79" s="21" t="e">
        <f t="shared" si="23"/>
        <v>#N/A</v>
      </c>
      <c r="AG79" s="21" t="e">
        <f t="shared" si="24"/>
        <v>#N/A</v>
      </c>
      <c r="AH79" s="11" t="e">
        <f t="shared" si="25"/>
        <v>#N/A</v>
      </c>
      <c r="AI79">
        <v>2.5000000000000001E-2</v>
      </c>
      <c r="AJ79">
        <v>-2.5000000000000001E-2</v>
      </c>
      <c r="AK79">
        <v>1.5E-3</v>
      </c>
      <c r="AL79">
        <v>-1.5E-3</v>
      </c>
      <c r="AM79">
        <v>1.5E-3</v>
      </c>
      <c r="AN79">
        <v>-1.5E-3</v>
      </c>
      <c r="AO79" s="16">
        <v>2.5000000000000001E-2</v>
      </c>
      <c r="AP79" s="16">
        <v>-2.5000000000000001E-2</v>
      </c>
      <c r="AQ79">
        <v>1.4999999999999999E-2</v>
      </c>
      <c r="AR79">
        <v>-1.4999999999999999E-2</v>
      </c>
      <c r="AS79">
        <v>1E-3</v>
      </c>
      <c r="AT79">
        <v>-1E-3</v>
      </c>
      <c r="AU79">
        <v>1E-3</v>
      </c>
      <c r="AV79">
        <v>-1E-3</v>
      </c>
      <c r="AW79" s="16">
        <v>1.4999999999999999E-2</v>
      </c>
      <c r="AX79" s="16">
        <v>-1.4999999999999999E-2</v>
      </c>
    </row>
    <row r="80" spans="6:278" customFormat="1">
      <c r="F80" s="17" t="str">
        <f t="shared" si="13"/>
        <v/>
      </c>
      <c r="G80" s="9"/>
      <c r="H80" s="2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22" t="e">
        <f t="shared" si="14"/>
        <v>#N/A</v>
      </c>
      <c r="X80" s="21" t="e">
        <f t="shared" si="15"/>
        <v>#N/A</v>
      </c>
      <c r="Y80" s="21" t="e">
        <f t="shared" si="16"/>
        <v>#N/A</v>
      </c>
      <c r="Z80" s="11" t="e">
        <f t="shared" si="17"/>
        <v>#N/A</v>
      </c>
      <c r="AA80" s="22" t="e">
        <f t="shared" si="18"/>
        <v>#N/A</v>
      </c>
      <c r="AB80" s="21" t="e">
        <f t="shared" si="19"/>
        <v>#N/A</v>
      </c>
      <c r="AC80" s="21" t="e">
        <f t="shared" si="20"/>
        <v>#N/A</v>
      </c>
      <c r="AD80" s="11" t="e">
        <f t="shared" si="21"/>
        <v>#N/A</v>
      </c>
      <c r="AE80" s="22" t="e">
        <f t="shared" si="22"/>
        <v>#N/A</v>
      </c>
      <c r="AF80" s="21" t="e">
        <f t="shared" si="23"/>
        <v>#N/A</v>
      </c>
      <c r="AG80" s="21" t="e">
        <f t="shared" si="24"/>
        <v>#N/A</v>
      </c>
      <c r="AH80" s="11" t="e">
        <f t="shared" si="25"/>
        <v>#N/A</v>
      </c>
      <c r="AI80">
        <v>2.5000000000000001E-2</v>
      </c>
      <c r="AJ80">
        <v>-2.5000000000000001E-2</v>
      </c>
      <c r="AK80">
        <v>1.5E-3</v>
      </c>
      <c r="AL80">
        <v>-1.5E-3</v>
      </c>
      <c r="AM80">
        <v>1.5E-3</v>
      </c>
      <c r="AN80">
        <v>-1.5E-3</v>
      </c>
      <c r="AO80" s="16">
        <v>2.5000000000000001E-2</v>
      </c>
      <c r="AP80" s="16">
        <v>-2.5000000000000001E-2</v>
      </c>
      <c r="AQ80">
        <v>1.4999999999999999E-2</v>
      </c>
      <c r="AR80">
        <v>-1.4999999999999999E-2</v>
      </c>
      <c r="AS80">
        <v>1E-3</v>
      </c>
      <c r="AT80">
        <v>-1E-3</v>
      </c>
      <c r="AU80">
        <v>1E-3</v>
      </c>
      <c r="AV80">
        <v>-1E-3</v>
      </c>
      <c r="AW80" s="16">
        <v>1.4999999999999999E-2</v>
      </c>
      <c r="AX80" s="16">
        <v>-1.4999999999999999E-2</v>
      </c>
    </row>
    <row r="81" spans="6:50">
      <c r="F81" s="17" t="str">
        <f t="shared" si="13"/>
        <v/>
      </c>
      <c r="G81" s="9"/>
      <c r="H81" s="2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22" t="e">
        <f t="shared" si="14"/>
        <v>#N/A</v>
      </c>
      <c r="X81" s="21" t="e">
        <f t="shared" si="15"/>
        <v>#N/A</v>
      </c>
      <c r="Y81" s="21" t="e">
        <f t="shared" si="16"/>
        <v>#N/A</v>
      </c>
      <c r="Z81" s="11" t="e">
        <f t="shared" si="17"/>
        <v>#N/A</v>
      </c>
      <c r="AA81" s="22" t="e">
        <f t="shared" si="18"/>
        <v>#N/A</v>
      </c>
      <c r="AB81" s="21" t="e">
        <f t="shared" si="19"/>
        <v>#N/A</v>
      </c>
      <c r="AC81" s="21" t="e">
        <f t="shared" si="20"/>
        <v>#N/A</v>
      </c>
      <c r="AD81" s="11" t="e">
        <f t="shared" si="21"/>
        <v>#N/A</v>
      </c>
      <c r="AE81" s="22" t="e">
        <f t="shared" si="22"/>
        <v>#N/A</v>
      </c>
      <c r="AF81" s="21" t="e">
        <f t="shared" si="23"/>
        <v>#N/A</v>
      </c>
      <c r="AG81" s="21" t="e">
        <f t="shared" si="24"/>
        <v>#N/A</v>
      </c>
      <c r="AH81" s="11" t="e">
        <f t="shared" si="25"/>
        <v>#N/A</v>
      </c>
      <c r="AI81">
        <v>2.5000000000000001E-2</v>
      </c>
      <c r="AJ81">
        <v>-2.5000000000000001E-2</v>
      </c>
      <c r="AK81">
        <v>1.5E-3</v>
      </c>
      <c r="AL81">
        <v>-1.5E-3</v>
      </c>
      <c r="AM81">
        <v>1.5E-3</v>
      </c>
      <c r="AN81">
        <v>-1.5E-3</v>
      </c>
      <c r="AO81" s="16">
        <v>2.5000000000000001E-2</v>
      </c>
      <c r="AP81" s="16">
        <v>-2.5000000000000001E-2</v>
      </c>
      <c r="AQ81">
        <v>1.4999999999999999E-2</v>
      </c>
      <c r="AR81">
        <v>-1.4999999999999999E-2</v>
      </c>
      <c r="AS81">
        <v>1E-3</v>
      </c>
      <c r="AT81">
        <v>-1E-3</v>
      </c>
      <c r="AU81">
        <v>1E-3</v>
      </c>
      <c r="AV81">
        <v>-1E-3</v>
      </c>
      <c r="AW81" s="16">
        <v>1.4999999999999999E-2</v>
      </c>
      <c r="AX81" s="16">
        <v>-1.4999999999999999E-2</v>
      </c>
    </row>
    <row r="82" spans="6:50">
      <c r="F82" s="17" t="str">
        <f t="shared" si="13"/>
        <v/>
      </c>
      <c r="G82" s="9"/>
      <c r="H82" s="2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22" t="e">
        <f t="shared" si="14"/>
        <v>#N/A</v>
      </c>
      <c r="X82" s="21" t="e">
        <f t="shared" si="15"/>
        <v>#N/A</v>
      </c>
      <c r="Y82" s="21" t="e">
        <f t="shared" si="16"/>
        <v>#N/A</v>
      </c>
      <c r="Z82" s="11" t="e">
        <f t="shared" si="17"/>
        <v>#N/A</v>
      </c>
      <c r="AA82" s="22" t="e">
        <f t="shared" si="18"/>
        <v>#N/A</v>
      </c>
      <c r="AB82" s="21" t="e">
        <f t="shared" si="19"/>
        <v>#N/A</v>
      </c>
      <c r="AC82" s="21" t="e">
        <f t="shared" si="20"/>
        <v>#N/A</v>
      </c>
      <c r="AD82" s="11" t="e">
        <f t="shared" si="21"/>
        <v>#N/A</v>
      </c>
      <c r="AE82" s="22" t="e">
        <f t="shared" si="22"/>
        <v>#N/A</v>
      </c>
      <c r="AF82" s="21" t="e">
        <f t="shared" si="23"/>
        <v>#N/A</v>
      </c>
      <c r="AG82" s="21" t="e">
        <f t="shared" si="24"/>
        <v>#N/A</v>
      </c>
      <c r="AH82" s="11" t="e">
        <f t="shared" si="25"/>
        <v>#N/A</v>
      </c>
      <c r="AI82">
        <v>2.5000000000000001E-2</v>
      </c>
      <c r="AJ82">
        <v>-2.5000000000000001E-2</v>
      </c>
      <c r="AK82">
        <v>1.5E-3</v>
      </c>
      <c r="AL82">
        <v>-1.5E-3</v>
      </c>
      <c r="AM82">
        <v>1.5E-3</v>
      </c>
      <c r="AN82">
        <v>-1.5E-3</v>
      </c>
      <c r="AO82" s="16">
        <v>2.5000000000000001E-2</v>
      </c>
      <c r="AP82" s="16">
        <v>-2.5000000000000001E-2</v>
      </c>
      <c r="AQ82">
        <v>1.4999999999999999E-2</v>
      </c>
      <c r="AR82">
        <v>-1.4999999999999999E-2</v>
      </c>
      <c r="AS82">
        <v>1E-3</v>
      </c>
      <c r="AT82">
        <v>-1E-3</v>
      </c>
      <c r="AU82">
        <v>1E-3</v>
      </c>
      <c r="AV82">
        <v>-1E-3</v>
      </c>
      <c r="AW82" s="16">
        <v>1.4999999999999999E-2</v>
      </c>
      <c r="AX82" s="16">
        <v>-1.4999999999999999E-2</v>
      </c>
    </row>
    <row r="83" spans="6:50">
      <c r="F83" s="17" t="str">
        <f t="shared" si="13"/>
        <v/>
      </c>
      <c r="G83" s="9"/>
      <c r="H83" s="2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22" t="e">
        <f t="shared" si="14"/>
        <v>#N/A</v>
      </c>
      <c r="X83" s="21" t="e">
        <f t="shared" si="15"/>
        <v>#N/A</v>
      </c>
      <c r="Y83" s="21" t="e">
        <f t="shared" si="16"/>
        <v>#N/A</v>
      </c>
      <c r="Z83" s="11" t="e">
        <f t="shared" si="17"/>
        <v>#N/A</v>
      </c>
      <c r="AA83" s="22" t="e">
        <f t="shared" si="18"/>
        <v>#N/A</v>
      </c>
      <c r="AB83" s="21" t="e">
        <f t="shared" si="19"/>
        <v>#N/A</v>
      </c>
      <c r="AC83" s="21" t="e">
        <f t="shared" si="20"/>
        <v>#N/A</v>
      </c>
      <c r="AD83" s="11" t="e">
        <f t="shared" si="21"/>
        <v>#N/A</v>
      </c>
      <c r="AE83" s="22" t="e">
        <f t="shared" si="22"/>
        <v>#N/A</v>
      </c>
      <c r="AF83" s="21" t="e">
        <f t="shared" si="23"/>
        <v>#N/A</v>
      </c>
      <c r="AG83" s="21" t="e">
        <f t="shared" si="24"/>
        <v>#N/A</v>
      </c>
      <c r="AH83" s="11" t="e">
        <f t="shared" si="25"/>
        <v>#N/A</v>
      </c>
      <c r="AI83">
        <v>2.5000000000000001E-2</v>
      </c>
      <c r="AJ83">
        <v>-2.5000000000000001E-2</v>
      </c>
      <c r="AK83">
        <v>1.5E-3</v>
      </c>
      <c r="AL83">
        <v>-1.5E-3</v>
      </c>
      <c r="AM83">
        <v>1.5E-3</v>
      </c>
      <c r="AN83">
        <v>-1.5E-3</v>
      </c>
      <c r="AO83" s="16">
        <v>2.5000000000000001E-2</v>
      </c>
      <c r="AP83" s="16">
        <v>-2.5000000000000001E-2</v>
      </c>
      <c r="AQ83">
        <v>1.4999999999999999E-2</v>
      </c>
      <c r="AR83">
        <v>-1.4999999999999999E-2</v>
      </c>
      <c r="AS83">
        <v>1E-3</v>
      </c>
      <c r="AT83">
        <v>-1E-3</v>
      </c>
      <c r="AU83">
        <v>1E-3</v>
      </c>
      <c r="AV83">
        <v>-1E-3</v>
      </c>
      <c r="AW83" s="16">
        <v>1.4999999999999999E-2</v>
      </c>
      <c r="AX83" s="16">
        <v>-1.4999999999999999E-2</v>
      </c>
    </row>
    <row r="84" spans="6:50">
      <c r="F84" s="17" t="str">
        <f t="shared" si="13"/>
        <v/>
      </c>
      <c r="G84" s="9"/>
      <c r="H84" s="2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22" t="e">
        <f t="shared" si="14"/>
        <v>#N/A</v>
      </c>
      <c r="X84" s="21" t="e">
        <f t="shared" si="15"/>
        <v>#N/A</v>
      </c>
      <c r="Y84" s="21" t="e">
        <f t="shared" si="16"/>
        <v>#N/A</v>
      </c>
      <c r="Z84" s="11" t="e">
        <f t="shared" si="17"/>
        <v>#N/A</v>
      </c>
      <c r="AA84" s="22" t="e">
        <f t="shared" si="18"/>
        <v>#N/A</v>
      </c>
      <c r="AB84" s="21" t="e">
        <f t="shared" si="19"/>
        <v>#N/A</v>
      </c>
      <c r="AC84" s="21" t="e">
        <f t="shared" si="20"/>
        <v>#N/A</v>
      </c>
      <c r="AD84" s="11" t="e">
        <f t="shared" si="21"/>
        <v>#N/A</v>
      </c>
      <c r="AE84" s="22" t="e">
        <f t="shared" si="22"/>
        <v>#N/A</v>
      </c>
      <c r="AF84" s="21" t="e">
        <f t="shared" si="23"/>
        <v>#N/A</v>
      </c>
      <c r="AG84" s="21" t="e">
        <f t="shared" si="24"/>
        <v>#N/A</v>
      </c>
      <c r="AH84" s="11" t="e">
        <f t="shared" si="25"/>
        <v>#N/A</v>
      </c>
      <c r="AI84">
        <v>2.5000000000000001E-2</v>
      </c>
      <c r="AJ84">
        <v>-2.5000000000000001E-2</v>
      </c>
      <c r="AK84">
        <v>1.5E-3</v>
      </c>
      <c r="AL84">
        <v>-1.5E-3</v>
      </c>
      <c r="AM84">
        <v>1.5E-3</v>
      </c>
      <c r="AN84">
        <v>-1.5E-3</v>
      </c>
      <c r="AO84" s="16">
        <v>2.5000000000000001E-2</v>
      </c>
      <c r="AP84" s="16">
        <v>-2.5000000000000001E-2</v>
      </c>
      <c r="AQ84">
        <v>1.4999999999999999E-2</v>
      </c>
      <c r="AR84">
        <v>-1.4999999999999999E-2</v>
      </c>
      <c r="AS84">
        <v>1E-3</v>
      </c>
      <c r="AT84">
        <v>-1E-3</v>
      </c>
      <c r="AU84">
        <v>1E-3</v>
      </c>
      <c r="AV84">
        <v>-1E-3</v>
      </c>
      <c r="AW84" s="16">
        <v>1.4999999999999999E-2</v>
      </c>
      <c r="AX84" s="16">
        <v>-1.4999999999999999E-2</v>
      </c>
    </row>
    <row r="85" spans="6:50">
      <c r="F85" s="17" t="str">
        <f t="shared" si="13"/>
        <v/>
      </c>
      <c r="G85" s="9"/>
      <c r="H85" s="2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22" t="e">
        <f t="shared" si="14"/>
        <v>#N/A</v>
      </c>
      <c r="X85" s="21" t="e">
        <f t="shared" si="15"/>
        <v>#N/A</v>
      </c>
      <c r="Y85" s="21" t="e">
        <f t="shared" si="16"/>
        <v>#N/A</v>
      </c>
      <c r="Z85" s="11" t="e">
        <f t="shared" si="17"/>
        <v>#N/A</v>
      </c>
      <c r="AA85" s="22" t="e">
        <f t="shared" si="18"/>
        <v>#N/A</v>
      </c>
      <c r="AB85" s="21" t="e">
        <f t="shared" si="19"/>
        <v>#N/A</v>
      </c>
      <c r="AC85" s="21" t="e">
        <f t="shared" si="20"/>
        <v>#N/A</v>
      </c>
      <c r="AD85" s="11" t="e">
        <f t="shared" si="21"/>
        <v>#N/A</v>
      </c>
      <c r="AE85" s="22" t="e">
        <f t="shared" si="22"/>
        <v>#N/A</v>
      </c>
      <c r="AF85" s="21" t="e">
        <f t="shared" si="23"/>
        <v>#N/A</v>
      </c>
      <c r="AG85" s="21" t="e">
        <f t="shared" si="24"/>
        <v>#N/A</v>
      </c>
      <c r="AH85" s="11" t="e">
        <f t="shared" si="25"/>
        <v>#N/A</v>
      </c>
      <c r="AI85">
        <v>2.5000000000000001E-2</v>
      </c>
      <c r="AJ85">
        <v>-2.5000000000000001E-2</v>
      </c>
      <c r="AK85">
        <v>1.5E-3</v>
      </c>
      <c r="AL85">
        <v>-1.5E-3</v>
      </c>
      <c r="AM85">
        <v>1.5E-3</v>
      </c>
      <c r="AN85">
        <v>-1.5E-3</v>
      </c>
      <c r="AO85" s="16">
        <v>2.5000000000000001E-2</v>
      </c>
      <c r="AP85" s="16">
        <v>-2.5000000000000001E-2</v>
      </c>
      <c r="AQ85">
        <v>1.4999999999999999E-2</v>
      </c>
      <c r="AR85">
        <v>-1.4999999999999999E-2</v>
      </c>
      <c r="AS85">
        <v>1E-3</v>
      </c>
      <c r="AT85">
        <v>-1E-3</v>
      </c>
      <c r="AU85">
        <v>1E-3</v>
      </c>
      <c r="AV85">
        <v>-1E-3</v>
      </c>
      <c r="AW85" s="16">
        <v>1.4999999999999999E-2</v>
      </c>
      <c r="AX85" s="16">
        <v>-1.4999999999999999E-2</v>
      </c>
    </row>
    <row r="86" spans="6:50">
      <c r="F86" s="17" t="str">
        <f t="shared" si="13"/>
        <v/>
      </c>
      <c r="G86" s="9"/>
      <c r="H86" s="2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22" t="e">
        <f t="shared" si="14"/>
        <v>#N/A</v>
      </c>
      <c r="X86" s="21" t="e">
        <f t="shared" si="15"/>
        <v>#N/A</v>
      </c>
      <c r="Y86" s="21" t="e">
        <f t="shared" si="16"/>
        <v>#N/A</v>
      </c>
      <c r="Z86" s="11" t="e">
        <f t="shared" si="17"/>
        <v>#N/A</v>
      </c>
      <c r="AA86" s="22" t="e">
        <f t="shared" si="18"/>
        <v>#N/A</v>
      </c>
      <c r="AB86" s="21" t="e">
        <f t="shared" si="19"/>
        <v>#N/A</v>
      </c>
      <c r="AC86" s="21" t="e">
        <f t="shared" si="20"/>
        <v>#N/A</v>
      </c>
      <c r="AD86" s="11" t="e">
        <f t="shared" si="21"/>
        <v>#N/A</v>
      </c>
      <c r="AE86" s="22" t="e">
        <f t="shared" si="22"/>
        <v>#N/A</v>
      </c>
      <c r="AF86" s="21" t="e">
        <f t="shared" si="23"/>
        <v>#N/A</v>
      </c>
      <c r="AG86" s="21" t="e">
        <f t="shared" si="24"/>
        <v>#N/A</v>
      </c>
      <c r="AH86" s="11" t="e">
        <f t="shared" si="25"/>
        <v>#N/A</v>
      </c>
      <c r="AI86">
        <v>2.5000000000000001E-2</v>
      </c>
      <c r="AJ86">
        <v>-2.5000000000000001E-2</v>
      </c>
      <c r="AK86">
        <v>1.5E-3</v>
      </c>
      <c r="AL86">
        <v>-1.5E-3</v>
      </c>
      <c r="AM86">
        <v>1.5E-3</v>
      </c>
      <c r="AN86">
        <v>-1.5E-3</v>
      </c>
      <c r="AO86" s="16">
        <v>2.5000000000000001E-2</v>
      </c>
      <c r="AP86" s="16">
        <v>-2.5000000000000001E-2</v>
      </c>
      <c r="AQ86">
        <v>1.4999999999999999E-2</v>
      </c>
      <c r="AR86">
        <v>-1.4999999999999999E-2</v>
      </c>
      <c r="AS86">
        <v>1E-3</v>
      </c>
      <c r="AT86">
        <v>-1E-3</v>
      </c>
      <c r="AU86">
        <v>1E-3</v>
      </c>
      <c r="AV86">
        <v>-1E-3</v>
      </c>
      <c r="AW86" s="16">
        <v>1.4999999999999999E-2</v>
      </c>
      <c r="AX86" s="16">
        <v>-1.4999999999999999E-2</v>
      </c>
    </row>
    <row r="87" spans="6:50">
      <c r="F87" s="17" t="str">
        <f t="shared" si="13"/>
        <v/>
      </c>
      <c r="G87" s="9"/>
      <c r="H87" s="2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22" t="e">
        <f t="shared" si="14"/>
        <v>#N/A</v>
      </c>
      <c r="X87" s="21" t="e">
        <f t="shared" si="15"/>
        <v>#N/A</v>
      </c>
      <c r="Y87" s="21" t="e">
        <f t="shared" si="16"/>
        <v>#N/A</v>
      </c>
      <c r="Z87" s="11" t="e">
        <f t="shared" si="17"/>
        <v>#N/A</v>
      </c>
      <c r="AA87" s="22" t="e">
        <f t="shared" si="18"/>
        <v>#N/A</v>
      </c>
      <c r="AB87" s="21" t="e">
        <f t="shared" si="19"/>
        <v>#N/A</v>
      </c>
      <c r="AC87" s="21" t="e">
        <f t="shared" si="20"/>
        <v>#N/A</v>
      </c>
      <c r="AD87" s="11" t="e">
        <f t="shared" si="21"/>
        <v>#N/A</v>
      </c>
      <c r="AE87" s="22" t="e">
        <f t="shared" si="22"/>
        <v>#N/A</v>
      </c>
      <c r="AF87" s="21" t="e">
        <f t="shared" si="23"/>
        <v>#N/A</v>
      </c>
      <c r="AG87" s="21" t="e">
        <f t="shared" si="24"/>
        <v>#N/A</v>
      </c>
      <c r="AH87" s="11" t="e">
        <f t="shared" si="25"/>
        <v>#N/A</v>
      </c>
      <c r="AI87">
        <v>2.5000000000000001E-2</v>
      </c>
      <c r="AJ87">
        <v>-2.5000000000000001E-2</v>
      </c>
      <c r="AK87">
        <v>1.5E-3</v>
      </c>
      <c r="AL87">
        <v>-1.5E-3</v>
      </c>
      <c r="AM87">
        <v>1.5E-3</v>
      </c>
      <c r="AN87">
        <v>-1.5E-3</v>
      </c>
      <c r="AO87" s="16">
        <v>2.5000000000000001E-2</v>
      </c>
      <c r="AP87" s="16">
        <v>-2.5000000000000001E-2</v>
      </c>
      <c r="AQ87">
        <v>1.4999999999999999E-2</v>
      </c>
      <c r="AR87">
        <v>-1.4999999999999999E-2</v>
      </c>
      <c r="AS87">
        <v>1E-3</v>
      </c>
      <c r="AT87">
        <v>-1E-3</v>
      </c>
      <c r="AU87">
        <v>1E-3</v>
      </c>
      <c r="AV87">
        <v>-1E-3</v>
      </c>
      <c r="AW87" s="16">
        <v>1.4999999999999999E-2</v>
      </c>
      <c r="AX87" s="16">
        <v>-1.4999999999999999E-2</v>
      </c>
    </row>
    <row r="88" spans="6:50">
      <c r="F88" s="17" t="str">
        <f t="shared" si="13"/>
        <v/>
      </c>
      <c r="G88" s="4"/>
      <c r="H88" s="2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22" t="e">
        <f t="shared" si="14"/>
        <v>#N/A</v>
      </c>
      <c r="X88" s="21" t="e">
        <f t="shared" si="15"/>
        <v>#N/A</v>
      </c>
      <c r="Y88" s="21" t="e">
        <f t="shared" si="16"/>
        <v>#N/A</v>
      </c>
      <c r="Z88" s="11" t="e">
        <f t="shared" si="17"/>
        <v>#N/A</v>
      </c>
      <c r="AA88" s="22" t="e">
        <f t="shared" si="18"/>
        <v>#N/A</v>
      </c>
      <c r="AB88" s="21" t="e">
        <f t="shared" si="19"/>
        <v>#N/A</v>
      </c>
      <c r="AC88" s="21" t="e">
        <f t="shared" si="20"/>
        <v>#N/A</v>
      </c>
      <c r="AD88" s="11" t="e">
        <f t="shared" si="21"/>
        <v>#N/A</v>
      </c>
      <c r="AE88" s="22" t="e">
        <f t="shared" si="22"/>
        <v>#N/A</v>
      </c>
      <c r="AF88" s="21" t="e">
        <f t="shared" si="23"/>
        <v>#N/A</v>
      </c>
      <c r="AG88" s="21" t="e">
        <f t="shared" si="24"/>
        <v>#N/A</v>
      </c>
      <c r="AH88" s="11" t="e">
        <f t="shared" si="25"/>
        <v>#N/A</v>
      </c>
      <c r="AI88">
        <v>2.5000000000000001E-2</v>
      </c>
      <c r="AJ88">
        <v>-2.5000000000000001E-2</v>
      </c>
      <c r="AK88">
        <v>1.5E-3</v>
      </c>
      <c r="AL88">
        <v>-1.5E-3</v>
      </c>
      <c r="AM88">
        <v>1.5E-3</v>
      </c>
      <c r="AN88">
        <v>-1.5E-3</v>
      </c>
      <c r="AO88" s="16">
        <v>2.5000000000000001E-2</v>
      </c>
      <c r="AP88" s="16">
        <v>-2.5000000000000001E-2</v>
      </c>
      <c r="AQ88">
        <v>1.4999999999999999E-2</v>
      </c>
      <c r="AR88">
        <v>-1.4999999999999999E-2</v>
      </c>
      <c r="AS88">
        <v>1E-3</v>
      </c>
      <c r="AT88">
        <v>-1E-3</v>
      </c>
      <c r="AU88">
        <v>1E-3</v>
      </c>
      <c r="AV88">
        <v>-1E-3</v>
      </c>
      <c r="AW88" s="16">
        <v>1.4999999999999999E-2</v>
      </c>
      <c r="AX88" s="16">
        <v>-1.4999999999999999E-2</v>
      </c>
    </row>
    <row r="89" spans="6:50">
      <c r="F89" s="17" t="str">
        <f t="shared" si="13"/>
        <v/>
      </c>
      <c r="G89" s="4"/>
      <c r="H89" s="2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22" t="e">
        <f t="shared" si="14"/>
        <v>#N/A</v>
      </c>
      <c r="X89" s="21" t="e">
        <f t="shared" si="15"/>
        <v>#N/A</v>
      </c>
      <c r="Y89" s="21" t="e">
        <f t="shared" si="16"/>
        <v>#N/A</v>
      </c>
      <c r="Z89" s="11" t="e">
        <f t="shared" si="17"/>
        <v>#N/A</v>
      </c>
      <c r="AA89" s="22" t="e">
        <f t="shared" si="18"/>
        <v>#N/A</v>
      </c>
      <c r="AB89" s="21" t="e">
        <f t="shared" si="19"/>
        <v>#N/A</v>
      </c>
      <c r="AC89" s="21" t="e">
        <f t="shared" si="20"/>
        <v>#N/A</v>
      </c>
      <c r="AD89" s="11" t="e">
        <f t="shared" si="21"/>
        <v>#N/A</v>
      </c>
      <c r="AE89" s="22" t="e">
        <f t="shared" si="22"/>
        <v>#N/A</v>
      </c>
      <c r="AF89" s="21" t="e">
        <f t="shared" si="23"/>
        <v>#N/A</v>
      </c>
      <c r="AG89" s="21" t="e">
        <f t="shared" si="24"/>
        <v>#N/A</v>
      </c>
      <c r="AH89" s="11" t="e">
        <f t="shared" si="25"/>
        <v>#N/A</v>
      </c>
      <c r="AI89">
        <v>2.5000000000000001E-2</v>
      </c>
      <c r="AJ89">
        <v>-2.5000000000000001E-2</v>
      </c>
      <c r="AK89">
        <v>1.5E-3</v>
      </c>
      <c r="AL89">
        <v>-1.5E-3</v>
      </c>
      <c r="AM89">
        <v>1.5E-3</v>
      </c>
      <c r="AN89">
        <v>-1.5E-3</v>
      </c>
      <c r="AO89" s="16">
        <v>2.5000000000000001E-2</v>
      </c>
      <c r="AP89" s="16">
        <v>-2.5000000000000001E-2</v>
      </c>
      <c r="AQ89">
        <v>1.4999999999999999E-2</v>
      </c>
      <c r="AR89">
        <v>-1.4999999999999999E-2</v>
      </c>
      <c r="AS89">
        <v>1E-3</v>
      </c>
      <c r="AT89">
        <v>-1E-3</v>
      </c>
      <c r="AU89">
        <v>1E-3</v>
      </c>
      <c r="AV89">
        <v>-1E-3</v>
      </c>
      <c r="AW89" s="16">
        <v>1.4999999999999999E-2</v>
      </c>
      <c r="AX89" s="16">
        <v>-1.4999999999999999E-2</v>
      </c>
    </row>
    <row r="90" spans="6:50">
      <c r="F90" s="17" t="str">
        <f t="shared" si="13"/>
        <v/>
      </c>
      <c r="G90" s="4"/>
      <c r="H90" s="2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22" t="e">
        <f t="shared" si="14"/>
        <v>#N/A</v>
      </c>
      <c r="X90" s="21" t="e">
        <f t="shared" si="15"/>
        <v>#N/A</v>
      </c>
      <c r="Y90" s="21" t="e">
        <f t="shared" si="16"/>
        <v>#N/A</v>
      </c>
      <c r="Z90" s="11" t="e">
        <f t="shared" si="17"/>
        <v>#N/A</v>
      </c>
      <c r="AA90" s="22" t="e">
        <f t="shared" si="18"/>
        <v>#N/A</v>
      </c>
      <c r="AB90" s="21" t="e">
        <f t="shared" si="19"/>
        <v>#N/A</v>
      </c>
      <c r="AC90" s="21" t="e">
        <f t="shared" si="20"/>
        <v>#N/A</v>
      </c>
      <c r="AD90" s="11" t="e">
        <f t="shared" si="21"/>
        <v>#N/A</v>
      </c>
      <c r="AE90" s="22" t="e">
        <f t="shared" si="22"/>
        <v>#N/A</v>
      </c>
      <c r="AF90" s="21" t="e">
        <f t="shared" si="23"/>
        <v>#N/A</v>
      </c>
      <c r="AG90" s="21" t="e">
        <f t="shared" si="24"/>
        <v>#N/A</v>
      </c>
      <c r="AH90" s="11" t="e">
        <f t="shared" si="25"/>
        <v>#N/A</v>
      </c>
      <c r="AI90">
        <v>2.5000000000000001E-2</v>
      </c>
      <c r="AJ90">
        <v>-2.5000000000000001E-2</v>
      </c>
      <c r="AK90">
        <v>1.5E-3</v>
      </c>
      <c r="AL90">
        <v>-1.5E-3</v>
      </c>
      <c r="AM90">
        <v>1.5E-3</v>
      </c>
      <c r="AN90">
        <v>-1.5E-3</v>
      </c>
      <c r="AO90" s="16">
        <v>2.5000000000000001E-2</v>
      </c>
      <c r="AP90" s="16">
        <v>-2.5000000000000001E-2</v>
      </c>
      <c r="AQ90">
        <v>1.4999999999999999E-2</v>
      </c>
      <c r="AR90">
        <v>-1.4999999999999999E-2</v>
      </c>
      <c r="AS90">
        <v>1E-3</v>
      </c>
      <c r="AT90">
        <v>-1E-3</v>
      </c>
      <c r="AU90">
        <v>1E-3</v>
      </c>
      <c r="AV90">
        <v>-1E-3</v>
      </c>
      <c r="AW90" s="16">
        <v>1.4999999999999999E-2</v>
      </c>
      <c r="AX90" s="16">
        <v>-1.4999999999999999E-2</v>
      </c>
    </row>
    <row r="91" spans="6:50">
      <c r="F91" s="17" t="str">
        <f t="shared" si="13"/>
        <v/>
      </c>
      <c r="G91" s="4"/>
      <c r="H91" s="2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22" t="e">
        <f t="shared" si="14"/>
        <v>#N/A</v>
      </c>
      <c r="X91" s="21" t="e">
        <f t="shared" si="15"/>
        <v>#N/A</v>
      </c>
      <c r="Y91" s="21" t="e">
        <f t="shared" si="16"/>
        <v>#N/A</v>
      </c>
      <c r="Z91" s="11" t="e">
        <f t="shared" si="17"/>
        <v>#N/A</v>
      </c>
      <c r="AA91" s="22" t="e">
        <f t="shared" si="18"/>
        <v>#N/A</v>
      </c>
      <c r="AB91" s="21" t="e">
        <f t="shared" si="19"/>
        <v>#N/A</v>
      </c>
      <c r="AC91" s="21" t="e">
        <f t="shared" si="20"/>
        <v>#N/A</v>
      </c>
      <c r="AD91" s="11" t="e">
        <f t="shared" si="21"/>
        <v>#N/A</v>
      </c>
      <c r="AE91" s="22" t="e">
        <f t="shared" si="22"/>
        <v>#N/A</v>
      </c>
      <c r="AF91" s="21" t="e">
        <f t="shared" si="23"/>
        <v>#N/A</v>
      </c>
      <c r="AG91" s="21" t="e">
        <f t="shared" si="24"/>
        <v>#N/A</v>
      </c>
      <c r="AH91" s="11" t="e">
        <f t="shared" si="25"/>
        <v>#N/A</v>
      </c>
      <c r="AI91">
        <v>2.5000000000000001E-2</v>
      </c>
      <c r="AJ91">
        <v>-2.5000000000000001E-2</v>
      </c>
      <c r="AK91">
        <v>1.5E-3</v>
      </c>
      <c r="AL91">
        <v>-1.5E-3</v>
      </c>
      <c r="AM91">
        <v>1.5E-3</v>
      </c>
      <c r="AN91">
        <v>-1.5E-3</v>
      </c>
      <c r="AO91" s="16">
        <v>2.5000000000000001E-2</v>
      </c>
      <c r="AP91" s="16">
        <v>-2.5000000000000001E-2</v>
      </c>
      <c r="AQ91">
        <v>1.4999999999999999E-2</v>
      </c>
      <c r="AR91">
        <v>-1.4999999999999999E-2</v>
      </c>
      <c r="AS91">
        <v>1E-3</v>
      </c>
      <c r="AT91">
        <v>-1E-3</v>
      </c>
      <c r="AU91">
        <v>1E-3</v>
      </c>
      <c r="AV91">
        <v>-1E-3</v>
      </c>
      <c r="AW91" s="16">
        <v>1.4999999999999999E-2</v>
      </c>
      <c r="AX91" s="16">
        <v>-1.4999999999999999E-2</v>
      </c>
    </row>
    <row r="92" spans="6:50">
      <c r="F92" s="17" t="str">
        <f t="shared" si="13"/>
        <v/>
      </c>
      <c r="G92" s="4"/>
      <c r="H92" s="2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22" t="e">
        <f t="shared" si="14"/>
        <v>#N/A</v>
      </c>
      <c r="X92" s="21" t="e">
        <f t="shared" si="15"/>
        <v>#N/A</v>
      </c>
      <c r="Y92" s="21" t="e">
        <f t="shared" si="16"/>
        <v>#N/A</v>
      </c>
      <c r="Z92" s="11" t="e">
        <f t="shared" si="17"/>
        <v>#N/A</v>
      </c>
      <c r="AA92" s="22" t="e">
        <f t="shared" si="18"/>
        <v>#N/A</v>
      </c>
      <c r="AB92" s="21" t="e">
        <f t="shared" si="19"/>
        <v>#N/A</v>
      </c>
      <c r="AC92" s="21" t="e">
        <f t="shared" si="20"/>
        <v>#N/A</v>
      </c>
      <c r="AD92" s="11" t="e">
        <f t="shared" si="21"/>
        <v>#N/A</v>
      </c>
      <c r="AE92" s="22" t="e">
        <f t="shared" si="22"/>
        <v>#N/A</v>
      </c>
      <c r="AF92" s="21" t="e">
        <f t="shared" si="23"/>
        <v>#N/A</v>
      </c>
      <c r="AG92" s="21" t="e">
        <f t="shared" si="24"/>
        <v>#N/A</v>
      </c>
      <c r="AH92" s="11" t="e">
        <f t="shared" si="25"/>
        <v>#N/A</v>
      </c>
      <c r="AI92">
        <v>2.5000000000000001E-2</v>
      </c>
      <c r="AJ92">
        <v>-2.5000000000000001E-2</v>
      </c>
      <c r="AK92">
        <v>1.5E-3</v>
      </c>
      <c r="AL92">
        <v>-1.5E-3</v>
      </c>
      <c r="AM92">
        <v>1.5E-3</v>
      </c>
      <c r="AN92">
        <v>-1.5E-3</v>
      </c>
      <c r="AO92" s="16">
        <v>2.5000000000000001E-2</v>
      </c>
      <c r="AP92" s="16">
        <v>-2.5000000000000001E-2</v>
      </c>
      <c r="AQ92">
        <v>1.4999999999999999E-2</v>
      </c>
      <c r="AR92">
        <v>-1.4999999999999999E-2</v>
      </c>
      <c r="AS92">
        <v>1E-3</v>
      </c>
      <c r="AT92">
        <v>-1E-3</v>
      </c>
      <c r="AU92">
        <v>1E-3</v>
      </c>
      <c r="AV92">
        <v>-1E-3</v>
      </c>
      <c r="AW92" s="16">
        <v>1.4999999999999999E-2</v>
      </c>
      <c r="AX92" s="16">
        <v>-1.4999999999999999E-2</v>
      </c>
    </row>
    <row r="93" spans="6:50">
      <c r="F93" s="17" t="str">
        <f t="shared" si="13"/>
        <v/>
      </c>
      <c r="G93" s="4"/>
      <c r="H93" s="2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22" t="e">
        <f t="shared" si="14"/>
        <v>#N/A</v>
      </c>
      <c r="X93" s="21" t="e">
        <f t="shared" si="15"/>
        <v>#N/A</v>
      </c>
      <c r="Y93" s="21" t="e">
        <f t="shared" si="16"/>
        <v>#N/A</v>
      </c>
      <c r="Z93" s="11" t="e">
        <f t="shared" si="17"/>
        <v>#N/A</v>
      </c>
      <c r="AA93" s="22" t="e">
        <f t="shared" si="18"/>
        <v>#N/A</v>
      </c>
      <c r="AB93" s="21" t="e">
        <f t="shared" si="19"/>
        <v>#N/A</v>
      </c>
      <c r="AC93" s="21" t="e">
        <f t="shared" si="20"/>
        <v>#N/A</v>
      </c>
      <c r="AD93" s="11" t="e">
        <f t="shared" si="21"/>
        <v>#N/A</v>
      </c>
      <c r="AE93" s="22" t="e">
        <f t="shared" si="22"/>
        <v>#N/A</v>
      </c>
      <c r="AF93" s="21" t="e">
        <f t="shared" si="23"/>
        <v>#N/A</v>
      </c>
      <c r="AG93" s="21" t="e">
        <f t="shared" si="24"/>
        <v>#N/A</v>
      </c>
      <c r="AH93" s="11" t="e">
        <f t="shared" si="25"/>
        <v>#N/A</v>
      </c>
      <c r="AI93">
        <v>2.5000000000000001E-2</v>
      </c>
      <c r="AJ93">
        <v>-2.5000000000000001E-2</v>
      </c>
      <c r="AK93">
        <v>1.5E-3</v>
      </c>
      <c r="AL93">
        <v>-1.5E-3</v>
      </c>
      <c r="AM93">
        <v>1.5E-3</v>
      </c>
      <c r="AN93">
        <v>-1.5E-3</v>
      </c>
      <c r="AO93" s="16">
        <v>2.5000000000000001E-2</v>
      </c>
      <c r="AP93" s="16">
        <v>-2.5000000000000001E-2</v>
      </c>
      <c r="AQ93">
        <v>1.4999999999999999E-2</v>
      </c>
      <c r="AR93">
        <v>-1.4999999999999999E-2</v>
      </c>
      <c r="AS93">
        <v>1E-3</v>
      </c>
      <c r="AT93">
        <v>-1E-3</v>
      </c>
      <c r="AU93">
        <v>1E-3</v>
      </c>
      <c r="AV93">
        <v>-1E-3</v>
      </c>
      <c r="AW93" s="16">
        <v>1.4999999999999999E-2</v>
      </c>
      <c r="AX93" s="16">
        <v>-1.4999999999999999E-2</v>
      </c>
    </row>
    <row r="94" spans="6:50">
      <c r="F94" s="17" t="str">
        <f t="shared" si="13"/>
        <v/>
      </c>
      <c r="G94" s="4"/>
      <c r="H94" s="2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22" t="e">
        <f t="shared" si="14"/>
        <v>#N/A</v>
      </c>
      <c r="X94" s="21" t="e">
        <f t="shared" si="15"/>
        <v>#N/A</v>
      </c>
      <c r="Y94" s="21" t="e">
        <f t="shared" si="16"/>
        <v>#N/A</v>
      </c>
      <c r="Z94" s="11" t="e">
        <f t="shared" si="17"/>
        <v>#N/A</v>
      </c>
      <c r="AA94" s="22" t="e">
        <f t="shared" si="18"/>
        <v>#N/A</v>
      </c>
      <c r="AB94" s="21" t="e">
        <f t="shared" si="19"/>
        <v>#N/A</v>
      </c>
      <c r="AC94" s="21" t="e">
        <f t="shared" si="20"/>
        <v>#N/A</v>
      </c>
      <c r="AD94" s="11" t="e">
        <f t="shared" si="21"/>
        <v>#N/A</v>
      </c>
      <c r="AE94" s="22" t="e">
        <f t="shared" si="22"/>
        <v>#N/A</v>
      </c>
      <c r="AF94" s="21" t="e">
        <f t="shared" si="23"/>
        <v>#N/A</v>
      </c>
      <c r="AG94" s="21" t="e">
        <f t="shared" si="24"/>
        <v>#N/A</v>
      </c>
      <c r="AH94" s="11" t="e">
        <f t="shared" si="25"/>
        <v>#N/A</v>
      </c>
      <c r="AI94">
        <v>2.5000000000000001E-2</v>
      </c>
      <c r="AJ94">
        <v>-2.5000000000000001E-2</v>
      </c>
      <c r="AK94">
        <v>1.5E-3</v>
      </c>
      <c r="AL94">
        <v>-1.5E-3</v>
      </c>
      <c r="AM94">
        <v>1.5E-3</v>
      </c>
      <c r="AN94">
        <v>-1.5E-3</v>
      </c>
      <c r="AO94" s="16">
        <v>2.5000000000000001E-2</v>
      </c>
      <c r="AP94" s="16">
        <v>-2.5000000000000001E-2</v>
      </c>
      <c r="AQ94">
        <v>1.4999999999999999E-2</v>
      </c>
      <c r="AR94">
        <v>-1.4999999999999999E-2</v>
      </c>
      <c r="AS94">
        <v>1E-3</v>
      </c>
      <c r="AT94">
        <v>-1E-3</v>
      </c>
      <c r="AU94">
        <v>1E-3</v>
      </c>
      <c r="AV94">
        <v>-1E-3</v>
      </c>
      <c r="AW94" s="16">
        <v>1.4999999999999999E-2</v>
      </c>
      <c r="AX94" s="16">
        <v>-1.4999999999999999E-2</v>
      </c>
    </row>
    <row r="95" spans="6:50">
      <c r="F95" s="17" t="str">
        <f t="shared" si="13"/>
        <v/>
      </c>
      <c r="G95" s="4"/>
      <c r="H95" s="2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22" t="e">
        <f t="shared" si="14"/>
        <v>#N/A</v>
      </c>
      <c r="X95" s="21" t="e">
        <f t="shared" si="15"/>
        <v>#N/A</v>
      </c>
      <c r="Y95" s="21" t="e">
        <f t="shared" si="16"/>
        <v>#N/A</v>
      </c>
      <c r="Z95" s="11" t="e">
        <f t="shared" si="17"/>
        <v>#N/A</v>
      </c>
      <c r="AA95" s="22" t="e">
        <f t="shared" si="18"/>
        <v>#N/A</v>
      </c>
      <c r="AB95" s="21" t="e">
        <f t="shared" si="19"/>
        <v>#N/A</v>
      </c>
      <c r="AC95" s="21" t="e">
        <f t="shared" si="20"/>
        <v>#N/A</v>
      </c>
      <c r="AD95" s="11" t="e">
        <f t="shared" si="21"/>
        <v>#N/A</v>
      </c>
      <c r="AE95" s="22" t="e">
        <f t="shared" si="22"/>
        <v>#N/A</v>
      </c>
      <c r="AF95" s="21" t="e">
        <f t="shared" si="23"/>
        <v>#N/A</v>
      </c>
      <c r="AG95" s="21" t="e">
        <f t="shared" si="24"/>
        <v>#N/A</v>
      </c>
      <c r="AH95" s="11" t="e">
        <f t="shared" si="25"/>
        <v>#N/A</v>
      </c>
      <c r="AI95">
        <v>2.5000000000000001E-2</v>
      </c>
      <c r="AJ95">
        <v>-2.5000000000000001E-2</v>
      </c>
      <c r="AK95">
        <v>1.5E-3</v>
      </c>
      <c r="AL95">
        <v>-1.5E-3</v>
      </c>
      <c r="AM95">
        <v>1.5E-3</v>
      </c>
      <c r="AN95">
        <v>-1.5E-3</v>
      </c>
      <c r="AO95" s="16">
        <v>2.5000000000000001E-2</v>
      </c>
      <c r="AP95" s="16">
        <v>-2.5000000000000001E-2</v>
      </c>
      <c r="AQ95">
        <v>1.4999999999999999E-2</v>
      </c>
      <c r="AR95">
        <v>-1.4999999999999999E-2</v>
      </c>
      <c r="AS95">
        <v>1E-3</v>
      </c>
      <c r="AT95">
        <v>-1E-3</v>
      </c>
      <c r="AU95">
        <v>1E-3</v>
      </c>
      <c r="AV95">
        <v>-1E-3</v>
      </c>
      <c r="AW95" s="16">
        <v>1.4999999999999999E-2</v>
      </c>
      <c r="AX95" s="16">
        <v>-1.4999999999999999E-2</v>
      </c>
    </row>
    <row r="96" spans="6:50">
      <c r="F96" s="17" t="str">
        <f t="shared" si="13"/>
        <v/>
      </c>
      <c r="G96" s="4"/>
      <c r="H96" s="2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22" t="e">
        <f t="shared" si="14"/>
        <v>#N/A</v>
      </c>
      <c r="X96" s="21" t="e">
        <f t="shared" si="15"/>
        <v>#N/A</v>
      </c>
      <c r="Y96" s="21" t="e">
        <f t="shared" si="16"/>
        <v>#N/A</v>
      </c>
      <c r="Z96" s="11" t="e">
        <f t="shared" si="17"/>
        <v>#N/A</v>
      </c>
      <c r="AA96" s="22" t="e">
        <f t="shared" si="18"/>
        <v>#N/A</v>
      </c>
      <c r="AB96" s="21" t="e">
        <f t="shared" si="19"/>
        <v>#N/A</v>
      </c>
      <c r="AC96" s="21" t="e">
        <f t="shared" si="20"/>
        <v>#N/A</v>
      </c>
      <c r="AD96" s="11" t="e">
        <f t="shared" si="21"/>
        <v>#N/A</v>
      </c>
      <c r="AE96" s="22" t="e">
        <f t="shared" si="22"/>
        <v>#N/A</v>
      </c>
      <c r="AF96" s="21" t="e">
        <f t="shared" si="23"/>
        <v>#N/A</v>
      </c>
      <c r="AG96" s="21" t="e">
        <f t="shared" si="24"/>
        <v>#N/A</v>
      </c>
      <c r="AH96" s="11" t="e">
        <f t="shared" si="25"/>
        <v>#N/A</v>
      </c>
      <c r="AI96">
        <v>2.5000000000000001E-2</v>
      </c>
      <c r="AJ96">
        <v>-2.5000000000000001E-2</v>
      </c>
      <c r="AK96">
        <v>1.5E-3</v>
      </c>
      <c r="AL96">
        <v>-1.5E-3</v>
      </c>
      <c r="AM96">
        <v>1.5E-3</v>
      </c>
      <c r="AN96">
        <v>-1.5E-3</v>
      </c>
      <c r="AO96" s="16">
        <v>2.5000000000000001E-2</v>
      </c>
      <c r="AP96" s="16">
        <v>-2.5000000000000001E-2</v>
      </c>
      <c r="AQ96">
        <v>1.4999999999999999E-2</v>
      </c>
      <c r="AR96">
        <v>-1.4999999999999999E-2</v>
      </c>
      <c r="AS96">
        <v>1E-3</v>
      </c>
      <c r="AT96">
        <v>-1E-3</v>
      </c>
      <c r="AU96">
        <v>1E-3</v>
      </c>
      <c r="AV96">
        <v>-1E-3</v>
      </c>
      <c r="AW96" s="16">
        <v>1.4999999999999999E-2</v>
      </c>
      <c r="AX96" s="16">
        <v>-1.4999999999999999E-2</v>
      </c>
    </row>
    <row r="97" spans="6:50">
      <c r="F97" s="17" t="str">
        <f t="shared" si="13"/>
        <v/>
      </c>
      <c r="G97" s="4"/>
      <c r="H97" s="2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22" t="e">
        <f t="shared" si="14"/>
        <v>#N/A</v>
      </c>
      <c r="X97" s="21" t="e">
        <f t="shared" si="15"/>
        <v>#N/A</v>
      </c>
      <c r="Y97" s="21" t="e">
        <f t="shared" si="16"/>
        <v>#N/A</v>
      </c>
      <c r="Z97" s="11" t="e">
        <f t="shared" si="17"/>
        <v>#N/A</v>
      </c>
      <c r="AA97" s="22" t="e">
        <f t="shared" si="18"/>
        <v>#N/A</v>
      </c>
      <c r="AB97" s="21" t="e">
        <f t="shared" si="19"/>
        <v>#N/A</v>
      </c>
      <c r="AC97" s="21" t="e">
        <f t="shared" si="20"/>
        <v>#N/A</v>
      </c>
      <c r="AD97" s="11" t="e">
        <f t="shared" si="21"/>
        <v>#N/A</v>
      </c>
      <c r="AE97" s="22" t="e">
        <f t="shared" si="22"/>
        <v>#N/A</v>
      </c>
      <c r="AF97" s="21" t="e">
        <f t="shared" si="23"/>
        <v>#N/A</v>
      </c>
      <c r="AG97" s="21" t="e">
        <f t="shared" si="24"/>
        <v>#N/A</v>
      </c>
      <c r="AH97" s="11" t="e">
        <f t="shared" si="25"/>
        <v>#N/A</v>
      </c>
      <c r="AI97">
        <v>2.5000000000000001E-2</v>
      </c>
      <c r="AJ97">
        <v>-2.5000000000000001E-2</v>
      </c>
      <c r="AK97">
        <v>1.5E-3</v>
      </c>
      <c r="AL97">
        <v>-1.5E-3</v>
      </c>
      <c r="AM97">
        <v>1.5E-3</v>
      </c>
      <c r="AN97">
        <v>-1.5E-3</v>
      </c>
      <c r="AO97" s="16">
        <v>2.5000000000000001E-2</v>
      </c>
      <c r="AP97" s="16">
        <v>-2.5000000000000001E-2</v>
      </c>
      <c r="AQ97">
        <v>1.4999999999999999E-2</v>
      </c>
      <c r="AR97">
        <v>-1.4999999999999999E-2</v>
      </c>
      <c r="AS97">
        <v>1E-3</v>
      </c>
      <c r="AT97">
        <v>-1E-3</v>
      </c>
      <c r="AU97">
        <v>1E-3</v>
      </c>
      <c r="AV97">
        <v>-1E-3</v>
      </c>
      <c r="AW97" s="16">
        <v>1.4999999999999999E-2</v>
      </c>
      <c r="AX97" s="16">
        <v>-1.4999999999999999E-2</v>
      </c>
    </row>
    <row r="98" spans="6:50">
      <c r="F98" s="17" t="str">
        <f t="shared" si="13"/>
        <v/>
      </c>
      <c r="G98" s="4"/>
      <c r="H98" s="2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22" t="e">
        <f t="shared" si="14"/>
        <v>#N/A</v>
      </c>
      <c r="X98" s="21" t="e">
        <f t="shared" si="15"/>
        <v>#N/A</v>
      </c>
      <c r="Y98" s="21" t="e">
        <f t="shared" si="16"/>
        <v>#N/A</v>
      </c>
      <c r="Z98" s="11" t="e">
        <f t="shared" si="17"/>
        <v>#N/A</v>
      </c>
      <c r="AA98" s="22" t="e">
        <f t="shared" si="18"/>
        <v>#N/A</v>
      </c>
      <c r="AB98" s="21" t="e">
        <f t="shared" si="19"/>
        <v>#N/A</v>
      </c>
      <c r="AC98" s="21" t="e">
        <f t="shared" si="20"/>
        <v>#N/A</v>
      </c>
      <c r="AD98" s="11" t="e">
        <f t="shared" si="21"/>
        <v>#N/A</v>
      </c>
      <c r="AE98" s="22" t="e">
        <f t="shared" si="22"/>
        <v>#N/A</v>
      </c>
      <c r="AF98" s="21" t="e">
        <f t="shared" si="23"/>
        <v>#N/A</v>
      </c>
      <c r="AG98" s="21" t="e">
        <f t="shared" si="24"/>
        <v>#N/A</v>
      </c>
      <c r="AH98" s="11" t="e">
        <f t="shared" si="25"/>
        <v>#N/A</v>
      </c>
      <c r="AI98">
        <v>2.5000000000000001E-2</v>
      </c>
      <c r="AJ98">
        <v>-2.5000000000000001E-2</v>
      </c>
      <c r="AK98">
        <v>1.5E-3</v>
      </c>
      <c r="AL98">
        <v>-1.5E-3</v>
      </c>
      <c r="AM98">
        <v>1.5E-3</v>
      </c>
      <c r="AN98">
        <v>-1.5E-3</v>
      </c>
      <c r="AO98" s="16">
        <v>2.5000000000000001E-2</v>
      </c>
      <c r="AP98" s="16">
        <v>-2.5000000000000001E-2</v>
      </c>
      <c r="AQ98">
        <v>1.4999999999999999E-2</v>
      </c>
      <c r="AR98">
        <v>-1.4999999999999999E-2</v>
      </c>
      <c r="AS98">
        <v>1E-3</v>
      </c>
      <c r="AT98">
        <v>-1E-3</v>
      </c>
      <c r="AU98">
        <v>1E-3</v>
      </c>
      <c r="AV98">
        <v>-1E-3</v>
      </c>
      <c r="AW98" s="16">
        <v>1.4999999999999999E-2</v>
      </c>
      <c r="AX98" s="16">
        <v>-1.4999999999999999E-2</v>
      </c>
    </row>
    <row r="99" spans="6:50">
      <c r="F99" s="17" t="str">
        <f t="shared" si="13"/>
        <v/>
      </c>
      <c r="G99" s="4"/>
      <c r="H99" s="2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22" t="e">
        <f t="shared" si="14"/>
        <v>#N/A</v>
      </c>
      <c r="X99" s="21" t="e">
        <f t="shared" si="15"/>
        <v>#N/A</v>
      </c>
      <c r="Y99" s="21" t="e">
        <f t="shared" si="16"/>
        <v>#N/A</v>
      </c>
      <c r="Z99" s="11" t="e">
        <f t="shared" si="17"/>
        <v>#N/A</v>
      </c>
      <c r="AA99" s="22" t="e">
        <f t="shared" si="18"/>
        <v>#N/A</v>
      </c>
      <c r="AB99" s="21" t="e">
        <f t="shared" si="19"/>
        <v>#N/A</v>
      </c>
      <c r="AC99" s="21" t="e">
        <f t="shared" si="20"/>
        <v>#N/A</v>
      </c>
      <c r="AD99" s="11" t="e">
        <f t="shared" si="21"/>
        <v>#N/A</v>
      </c>
      <c r="AE99" s="22" t="e">
        <f t="shared" si="22"/>
        <v>#N/A</v>
      </c>
      <c r="AF99" s="21" t="e">
        <f t="shared" si="23"/>
        <v>#N/A</v>
      </c>
      <c r="AG99" s="21" t="e">
        <f t="shared" si="24"/>
        <v>#N/A</v>
      </c>
      <c r="AH99" s="11" t="e">
        <f t="shared" si="25"/>
        <v>#N/A</v>
      </c>
      <c r="AI99">
        <v>2.5000000000000001E-2</v>
      </c>
      <c r="AJ99">
        <v>-2.5000000000000001E-2</v>
      </c>
      <c r="AK99">
        <v>1.5E-3</v>
      </c>
      <c r="AL99">
        <v>-1.5E-3</v>
      </c>
      <c r="AM99">
        <v>1.5E-3</v>
      </c>
      <c r="AN99">
        <v>-1.5E-3</v>
      </c>
      <c r="AO99" s="16">
        <v>2.5000000000000001E-2</v>
      </c>
      <c r="AP99" s="16">
        <v>-2.5000000000000001E-2</v>
      </c>
      <c r="AQ99">
        <v>1.4999999999999999E-2</v>
      </c>
      <c r="AR99">
        <v>-1.4999999999999999E-2</v>
      </c>
      <c r="AS99">
        <v>1E-3</v>
      </c>
      <c r="AT99">
        <v>-1E-3</v>
      </c>
      <c r="AU99">
        <v>1E-3</v>
      </c>
      <c r="AV99">
        <v>-1E-3</v>
      </c>
      <c r="AW99" s="16">
        <v>1.4999999999999999E-2</v>
      </c>
      <c r="AX99" s="16">
        <v>-1.4999999999999999E-2</v>
      </c>
    </row>
    <row r="100" spans="6:50">
      <c r="F100" s="17" t="str">
        <f t="shared" si="13"/>
        <v/>
      </c>
      <c r="G100" s="4"/>
      <c r="H100" s="2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22" t="e">
        <f t="shared" si="14"/>
        <v>#N/A</v>
      </c>
      <c r="X100" s="21" t="e">
        <f t="shared" si="15"/>
        <v>#N/A</v>
      </c>
      <c r="Y100" s="21" t="e">
        <f t="shared" si="16"/>
        <v>#N/A</v>
      </c>
      <c r="Z100" s="11" t="e">
        <f t="shared" si="17"/>
        <v>#N/A</v>
      </c>
      <c r="AA100" s="22" t="e">
        <f t="shared" si="18"/>
        <v>#N/A</v>
      </c>
      <c r="AB100" s="21" t="e">
        <f t="shared" si="19"/>
        <v>#N/A</v>
      </c>
      <c r="AC100" s="21" t="e">
        <f t="shared" si="20"/>
        <v>#N/A</v>
      </c>
      <c r="AD100" s="11" t="e">
        <f t="shared" si="21"/>
        <v>#N/A</v>
      </c>
      <c r="AE100" s="22" t="e">
        <f t="shared" si="22"/>
        <v>#N/A</v>
      </c>
      <c r="AF100" s="21" t="e">
        <f t="shared" si="23"/>
        <v>#N/A</v>
      </c>
      <c r="AG100" s="21" t="e">
        <f t="shared" si="24"/>
        <v>#N/A</v>
      </c>
      <c r="AH100" s="11" t="e">
        <f t="shared" si="25"/>
        <v>#N/A</v>
      </c>
      <c r="AI100">
        <v>2.5000000000000001E-2</v>
      </c>
      <c r="AJ100">
        <v>-2.5000000000000001E-2</v>
      </c>
      <c r="AK100">
        <v>1.5E-3</v>
      </c>
      <c r="AL100">
        <v>-1.5E-3</v>
      </c>
      <c r="AM100">
        <v>1.5E-3</v>
      </c>
      <c r="AN100">
        <v>-1.5E-3</v>
      </c>
      <c r="AO100" s="16">
        <v>2.5000000000000001E-2</v>
      </c>
      <c r="AP100" s="16">
        <v>-2.5000000000000001E-2</v>
      </c>
      <c r="AQ100">
        <v>1.4999999999999999E-2</v>
      </c>
      <c r="AR100">
        <v>-1.4999999999999999E-2</v>
      </c>
      <c r="AS100">
        <v>1E-3</v>
      </c>
      <c r="AT100">
        <v>-1E-3</v>
      </c>
      <c r="AU100">
        <v>1E-3</v>
      </c>
      <c r="AV100">
        <v>-1E-3</v>
      </c>
      <c r="AW100" s="16">
        <v>1.4999999999999999E-2</v>
      </c>
      <c r="AX100" s="16">
        <v>-1.4999999999999999E-2</v>
      </c>
    </row>
  </sheetData>
  <mergeCells count="6">
    <mergeCell ref="AE4:AH4"/>
    <mergeCell ref="H4:L4"/>
    <mergeCell ref="M4:Q4"/>
    <mergeCell ref="R4:V4"/>
    <mergeCell ref="W4:Z4"/>
    <mergeCell ref="AA4:AD4"/>
  </mergeCells>
  <phoneticPr fontId="1"/>
  <conditionalFormatting sqref="W6:AH100">
    <cfRule type="containsErrors" dxfId="9" priority="1">
      <formula>ISERROR(W6)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S100"/>
  <sheetViews>
    <sheetView showGridLines="0" zoomScale="70" zoomScaleNormal="70" workbookViewId="0">
      <pane ySplit="5" topLeftCell="A6" activePane="bottomLeft" state="frozen"/>
      <selection pane="bottomLeft" activeCell="D59" sqref="D59"/>
    </sheetView>
  </sheetViews>
  <sheetFormatPr defaultRowHeight="13.5"/>
  <cols>
    <col min="1" max="5" width="9" style="18"/>
    <col min="6" max="6" width="16.125" style="18" bestFit="1" customWidth="1"/>
    <col min="7" max="7" width="20.625" style="19" bestFit="1" customWidth="1"/>
    <col min="8" max="8" width="11.25" style="26" customWidth="1"/>
    <col min="9" max="9" width="11.25" style="20" customWidth="1"/>
    <col min="10" max="10" width="9.75" style="20" customWidth="1"/>
    <col min="11" max="11" width="9.25" style="20" customWidth="1"/>
    <col min="12" max="13" width="9.75" style="20" customWidth="1"/>
    <col min="14" max="14" width="10.125" style="20" customWidth="1"/>
    <col min="15" max="15" width="10" style="20" customWidth="1"/>
    <col min="16" max="22" width="9" style="20"/>
    <col min="23" max="16384" width="9" style="18"/>
  </cols>
  <sheetData>
    <row r="1" spans="1:279" customFormat="1">
      <c r="G1" s="7"/>
      <c r="H1" s="23"/>
      <c r="K1" s="1"/>
      <c r="L1" s="1"/>
      <c r="M1" s="27"/>
      <c r="R1" s="8"/>
    </row>
    <row r="2" spans="1:279" customFormat="1">
      <c r="G2" s="10"/>
      <c r="H2" s="24"/>
      <c r="I2" s="18"/>
      <c r="J2" s="10"/>
      <c r="K2" s="1"/>
      <c r="L2" s="1"/>
      <c r="M2" s="27"/>
      <c r="R2" s="8"/>
    </row>
    <row r="3" spans="1:279" customFormat="1">
      <c r="G3" s="10"/>
      <c r="H3" s="24"/>
      <c r="I3" s="13">
        <v>3.1103700000000001</v>
      </c>
      <c r="J3" s="13">
        <v>0.29050100000000001</v>
      </c>
      <c r="K3" s="14">
        <v>0.28018300000000002</v>
      </c>
      <c r="L3" s="14">
        <v>27.681999999999999</v>
      </c>
      <c r="M3" s="27"/>
      <c r="N3" s="13">
        <v>3.1324200000000002</v>
      </c>
      <c r="O3" s="13">
        <v>0.28729700000000002</v>
      </c>
      <c r="P3" s="14">
        <v>0.27366200000000002</v>
      </c>
      <c r="Q3" s="14">
        <v>27.869</v>
      </c>
      <c r="R3" s="27"/>
      <c r="S3" s="13">
        <v>3.1106600000000002</v>
      </c>
      <c r="T3" s="13">
        <v>0.28251900000000002</v>
      </c>
      <c r="U3" s="14">
        <v>0.26605899999999999</v>
      </c>
      <c r="V3" s="14">
        <v>27.683</v>
      </c>
    </row>
    <row r="4" spans="1:279" customFormat="1">
      <c r="A4" t="s">
        <v>15</v>
      </c>
      <c r="G4" s="3"/>
      <c r="H4" s="34" t="s">
        <v>5</v>
      </c>
      <c r="I4" s="34"/>
      <c r="J4" s="34"/>
      <c r="K4" s="34"/>
      <c r="L4" s="34"/>
      <c r="M4" s="35" t="s">
        <v>6</v>
      </c>
      <c r="N4" s="36"/>
      <c r="O4" s="36"/>
      <c r="P4" s="36"/>
      <c r="Q4" s="37"/>
      <c r="R4" s="35" t="s">
        <v>7</v>
      </c>
      <c r="S4" s="36"/>
      <c r="T4" s="36"/>
      <c r="U4" s="36"/>
      <c r="V4" s="37"/>
      <c r="W4" s="34" t="s">
        <v>5</v>
      </c>
      <c r="X4" s="34"/>
      <c r="Y4" s="34"/>
      <c r="Z4" s="34"/>
      <c r="AA4" s="34" t="s">
        <v>6</v>
      </c>
      <c r="AB4" s="34"/>
      <c r="AC4" s="34"/>
      <c r="AD4" s="34"/>
      <c r="AE4" s="34" t="s">
        <v>7</v>
      </c>
      <c r="AF4" s="34"/>
      <c r="AG4" s="34"/>
      <c r="AH4" s="34"/>
      <c r="AI4" t="s">
        <v>12</v>
      </c>
      <c r="AJ4" t="s">
        <v>12</v>
      </c>
      <c r="AK4" t="s">
        <v>12</v>
      </c>
      <c r="AL4" t="s">
        <v>12</v>
      </c>
      <c r="AM4" t="s">
        <v>12</v>
      </c>
      <c r="AN4" t="s">
        <v>12</v>
      </c>
      <c r="AO4" t="s">
        <v>12</v>
      </c>
      <c r="AP4" t="s">
        <v>12</v>
      </c>
      <c r="AQ4" t="s">
        <v>13</v>
      </c>
      <c r="AR4" t="s">
        <v>13</v>
      </c>
      <c r="AS4" t="s">
        <v>13</v>
      </c>
      <c r="AT4" t="s">
        <v>13</v>
      </c>
      <c r="AU4" t="s">
        <v>13</v>
      </c>
      <c r="AV4" t="s">
        <v>13</v>
      </c>
      <c r="AW4" t="s">
        <v>13</v>
      </c>
      <c r="AX4" t="s">
        <v>13</v>
      </c>
      <c r="BA4" t="s">
        <v>51</v>
      </c>
      <c r="BF4" t="s">
        <v>52</v>
      </c>
    </row>
    <row r="5" spans="1:279" customFormat="1">
      <c r="A5" s="2"/>
      <c r="B5" s="2" t="s">
        <v>1</v>
      </c>
      <c r="C5" s="2" t="s">
        <v>2</v>
      </c>
      <c r="D5" s="2" t="s">
        <v>3</v>
      </c>
      <c r="E5" s="2" t="s">
        <v>4</v>
      </c>
      <c r="G5" s="2" t="s">
        <v>0</v>
      </c>
      <c r="H5" s="5" t="s">
        <v>14</v>
      </c>
      <c r="I5" s="2" t="s">
        <v>1</v>
      </c>
      <c r="J5" s="2" t="s">
        <v>2</v>
      </c>
      <c r="K5" s="2" t="s">
        <v>3</v>
      </c>
      <c r="L5" s="2" t="s">
        <v>4</v>
      </c>
      <c r="M5" s="5" t="s">
        <v>14</v>
      </c>
      <c r="N5" s="2" t="s">
        <v>1</v>
      </c>
      <c r="O5" s="2" t="s">
        <v>2</v>
      </c>
      <c r="P5" s="2" t="s">
        <v>3</v>
      </c>
      <c r="Q5" s="2" t="s">
        <v>4</v>
      </c>
      <c r="R5" s="5" t="s">
        <v>14</v>
      </c>
      <c r="S5" s="2" t="s">
        <v>1</v>
      </c>
      <c r="T5" s="2" t="s">
        <v>2</v>
      </c>
      <c r="U5" s="2" t="s">
        <v>3</v>
      </c>
      <c r="V5" s="2" t="s">
        <v>4</v>
      </c>
      <c r="W5" s="2" t="s">
        <v>1</v>
      </c>
      <c r="X5" s="2" t="s">
        <v>2</v>
      </c>
      <c r="Y5" s="2" t="s">
        <v>3</v>
      </c>
      <c r="Z5" s="2" t="s">
        <v>4</v>
      </c>
      <c r="AA5" s="2" t="s">
        <v>1</v>
      </c>
      <c r="AB5" s="2" t="s">
        <v>2</v>
      </c>
      <c r="AC5" s="2" t="s">
        <v>3</v>
      </c>
      <c r="AD5" s="2" t="s">
        <v>4</v>
      </c>
      <c r="AE5" s="2" t="s">
        <v>1</v>
      </c>
      <c r="AF5" s="2" t="s">
        <v>2</v>
      </c>
      <c r="AG5" s="2" t="s">
        <v>3</v>
      </c>
      <c r="AH5" s="2" t="s">
        <v>4</v>
      </c>
      <c r="AI5" s="15" t="s">
        <v>1</v>
      </c>
      <c r="AK5" t="s">
        <v>2</v>
      </c>
      <c r="AM5" t="s">
        <v>3</v>
      </c>
      <c r="AO5" t="s">
        <v>4</v>
      </c>
      <c r="AQ5" s="15" t="s">
        <v>1</v>
      </c>
      <c r="AS5" t="s">
        <v>2</v>
      </c>
      <c r="AU5" t="s">
        <v>3</v>
      </c>
      <c r="AW5" t="s">
        <v>4</v>
      </c>
      <c r="BA5" t="s">
        <v>47</v>
      </c>
      <c r="BB5" t="s">
        <v>48</v>
      </c>
      <c r="BC5" t="s">
        <v>49</v>
      </c>
      <c r="BD5" t="s">
        <v>50</v>
      </c>
      <c r="BF5" t="s">
        <v>47</v>
      </c>
      <c r="BG5" t="s">
        <v>48</v>
      </c>
      <c r="BH5" t="s">
        <v>49</v>
      </c>
      <c r="BI5" t="s">
        <v>50</v>
      </c>
    </row>
    <row r="6" spans="1:279" customFormat="1">
      <c r="A6" s="2">
        <v>1</v>
      </c>
      <c r="B6" s="2">
        <v>2.8967999999999998</v>
      </c>
      <c r="C6" s="2">
        <v>0.34178999999999998</v>
      </c>
      <c r="D6" s="2">
        <v>0.35648200000000002</v>
      </c>
      <c r="E6" s="2">
        <v>34.670653270000003</v>
      </c>
      <c r="F6" s="17">
        <f>IF(G6="","",G6)</f>
        <v>44243.598773148151</v>
      </c>
      <c r="G6" s="9">
        <v>44243.598773148151</v>
      </c>
      <c r="H6" s="25">
        <v>1</v>
      </c>
      <c r="I6" s="12">
        <v>2.871</v>
      </c>
      <c r="J6" s="5">
        <v>0.34029999999999999</v>
      </c>
      <c r="K6" s="5">
        <v>0.35644999999999999</v>
      </c>
      <c r="L6" s="5">
        <v>34.866999999999997</v>
      </c>
      <c r="M6" s="5">
        <v>2</v>
      </c>
      <c r="N6" s="5">
        <v>2.8730000000000002</v>
      </c>
      <c r="O6" s="5">
        <v>0.32983000000000001</v>
      </c>
      <c r="P6" s="5">
        <v>0.34733000000000003</v>
      </c>
      <c r="Q6" s="5">
        <v>35.012</v>
      </c>
      <c r="R6" s="5">
        <v>3</v>
      </c>
      <c r="S6" s="5">
        <v>2.8759999999999999</v>
      </c>
      <c r="T6" s="5">
        <v>0.30647999999999997</v>
      </c>
      <c r="U6" s="5">
        <v>0.32088</v>
      </c>
      <c r="V6" s="5">
        <v>33.811999999999998</v>
      </c>
      <c r="W6" s="22">
        <f>IF(H6="",NA(),I6-VLOOKUP(H6,$A$6:$E$35,2,FALSE))</f>
        <v>-2.5799999999999823E-2</v>
      </c>
      <c r="X6" s="21">
        <f>IF(H6="",NA(),J6-VLOOKUP(H6,$A$6:$E$35,3,FALSE))</f>
        <v>-1.4899999999999913E-3</v>
      </c>
      <c r="Y6" s="21">
        <f>IF(H6="",NA(),K6-VLOOKUP(H6,$A$6:$E$35,4,FALSE))</f>
        <v>-3.2000000000032003E-5</v>
      </c>
      <c r="Z6" s="11">
        <f>IF(H6="",NA(),L6/VLOOKUP(H6,$A$6:$E$35,5,FALSE)-1)</f>
        <v>5.6631967234921365E-3</v>
      </c>
      <c r="AA6" s="22">
        <f>IF(M6="",NA(),N6-VLOOKUP(M6,$A$6:$E$35,2,FALSE))</f>
        <v>-5.4399999999996673E-3</v>
      </c>
      <c r="AB6" s="21">
        <f>IF(M6="",NA(),O6-VLOOKUP(M6,$A$6:$E$35,3,FALSE))</f>
        <v>-1.0531999999999986E-2</v>
      </c>
      <c r="AC6" s="21">
        <f>IF(M6="",NA(),P6-VLOOKUP(M6,$A$6:$E$35,4,FALSE))</f>
        <v>-8.4759999999999835E-3</v>
      </c>
      <c r="AD6" s="11">
        <f>IF(M6="",NA(),Q6/VLOOKUP(M6,$A$6:$E$35,5,FALSE)-1)</f>
        <v>9.5001029533254844E-3</v>
      </c>
      <c r="AE6" s="22">
        <f>IF(R6="",NA(),S6-VLOOKUP(R6,$A$6:$E$35,2,FALSE))</f>
        <v>1.1999999999989797E-4</v>
      </c>
      <c r="AF6" s="21">
        <f>IF(R6="",NA(),T6-VLOOKUP(R6,$A$6:$E$35,3,FALSE))</f>
        <v>-3.461000000000003E-2</v>
      </c>
      <c r="AG6" s="21">
        <f>IF(R6="",NA(),U6-VLOOKUP(R6,$A$6:$E$35,4,FALSE))</f>
        <v>-3.2181000000000015E-2</v>
      </c>
      <c r="AH6" s="11">
        <f>IF(R6="",NA(),V6/VLOOKUP(R6,$A$6:$E$35,5,FALSE)-1)</f>
        <v>-2.0429994827217302E-2</v>
      </c>
      <c r="AI6">
        <v>2.5000000000000001E-2</v>
      </c>
      <c r="AJ6">
        <v>-2.5000000000000001E-2</v>
      </c>
      <c r="AK6">
        <v>1.5E-3</v>
      </c>
      <c r="AL6">
        <v>-1.5E-3</v>
      </c>
      <c r="AM6">
        <v>1.5E-3</v>
      </c>
      <c r="AN6">
        <v>-1.5E-3</v>
      </c>
      <c r="AO6" s="16">
        <v>2.5000000000000001E-2</v>
      </c>
      <c r="AP6" s="16">
        <v>-2.5000000000000001E-2</v>
      </c>
      <c r="AQ6">
        <v>1.4999999999999999E-2</v>
      </c>
      <c r="AR6">
        <v>-1.4999999999999999E-2</v>
      </c>
      <c r="AS6">
        <v>1E-3</v>
      </c>
      <c r="AT6">
        <v>-1E-3</v>
      </c>
      <c r="AU6">
        <v>1E-3</v>
      </c>
      <c r="AV6">
        <v>-1E-3</v>
      </c>
      <c r="AW6" s="16">
        <v>1.4999999999999999E-2</v>
      </c>
      <c r="AX6" s="16">
        <v>-1.4999999999999999E-2</v>
      </c>
    </row>
    <row r="7" spans="1:279" customFormat="1">
      <c r="A7" s="2">
        <v>2</v>
      </c>
      <c r="B7" s="2">
        <v>2.8784399999999999</v>
      </c>
      <c r="C7" s="2">
        <v>0.340362</v>
      </c>
      <c r="D7" s="2">
        <v>0.35580600000000001</v>
      </c>
      <c r="E7" s="2">
        <v>34.682512559999999</v>
      </c>
      <c r="F7" s="17">
        <f t="shared" ref="F7:F70" si="0">IF(G7="","",G7)</f>
        <v>44244.567847222221</v>
      </c>
      <c r="G7" s="9">
        <v>44244.567847222221</v>
      </c>
      <c r="H7" s="25">
        <v>1</v>
      </c>
      <c r="I7" s="5">
        <v>2.87</v>
      </c>
      <c r="J7" s="5">
        <v>0.34022999999999998</v>
      </c>
      <c r="K7" s="5">
        <v>0.35653000000000001</v>
      </c>
      <c r="L7" s="5">
        <v>34.802</v>
      </c>
      <c r="M7" s="5">
        <v>2</v>
      </c>
      <c r="N7" s="5">
        <v>2.8730000000000002</v>
      </c>
      <c r="O7" s="5">
        <v>0.32984000000000002</v>
      </c>
      <c r="P7" s="5">
        <v>0.34747</v>
      </c>
      <c r="Q7" s="5">
        <v>34.926000000000002</v>
      </c>
      <c r="R7" s="5">
        <v>3</v>
      </c>
      <c r="S7" s="5">
        <v>2.8740000000000001</v>
      </c>
      <c r="T7" s="5">
        <v>0.30658000000000002</v>
      </c>
      <c r="U7" s="5">
        <v>0.32096999999999998</v>
      </c>
      <c r="V7" s="5">
        <v>33.762</v>
      </c>
      <c r="W7" s="22">
        <f t="shared" ref="W7:W70" si="1">IF(H7="",NA(),I7-VLOOKUP(H7,$A$6:$E$35,2,FALSE))</f>
        <v>-2.6799999999999713E-2</v>
      </c>
      <c r="X7" s="21">
        <f t="shared" ref="X7:X70" si="2">IF(H7="",NA(),J7-VLOOKUP(H7,$A$6:$E$35,3,FALSE))</f>
        <v>-1.5600000000000058E-3</v>
      </c>
      <c r="Y7" s="21">
        <f t="shared" ref="Y7:Y70" si="3">IF(H7="",NA(),K7-VLOOKUP(H7,$A$6:$E$35,4,FALSE))</f>
        <v>4.7999999999992493E-5</v>
      </c>
      <c r="Z7" s="11">
        <f t="shared" ref="Z7:Z70" si="4">IF(H7="",NA(),L7/VLOOKUP(H7,$A$6:$E$35,5,FALSE)-1)</f>
        <v>3.7884123202733822E-3</v>
      </c>
      <c r="AA7" s="22">
        <f t="shared" ref="AA7:AA70" si="5">IF(M7="",NA(),N7-VLOOKUP(M7,$A$6:$E$35,2,FALSE))</f>
        <v>-5.4399999999996673E-3</v>
      </c>
      <c r="AB7" s="21">
        <f t="shared" ref="AB7:AB70" si="6">IF(M7="",NA(),O7-VLOOKUP(M7,$A$6:$E$35,3,FALSE))</f>
        <v>-1.0521999999999976E-2</v>
      </c>
      <c r="AC7" s="21">
        <f t="shared" ref="AC7:AC70" si="7">IF(M7="",NA(),P7-VLOOKUP(M7,$A$6:$E$35,4,FALSE))</f>
        <v>-8.3360000000000101E-3</v>
      </c>
      <c r="AD7" s="11">
        <f t="shared" ref="AD7:AD70" si="8">IF(M7="",NA(),Q7/VLOOKUP(M7,$A$6:$E$35,5,FALSE)-1)</f>
        <v>7.0204671469165092E-3</v>
      </c>
      <c r="AE7" s="22">
        <f t="shared" ref="AE7:AE70" si="9">IF(R7="",NA(),S7-VLOOKUP(R7,$A$6:$E$35,2,FALSE))</f>
        <v>-1.8799999999998818E-3</v>
      </c>
      <c r="AF7" s="21">
        <f t="shared" ref="AF7:AF70" si="10">IF(R7="",NA(),T7-VLOOKUP(R7,$A$6:$E$35,3,FALSE))</f>
        <v>-3.4509999999999985E-2</v>
      </c>
      <c r="AG7" s="21">
        <f t="shared" ref="AG7:AG70" si="11">IF(R7="",NA(),U7-VLOOKUP(R7,$A$6:$E$35,4,FALSE))</f>
        <v>-3.2091000000000036E-2</v>
      </c>
      <c r="AH7" s="11">
        <f t="shared" ref="AH7:AH70" si="12">IF(R7="",NA(),V7/VLOOKUP(R7,$A$6:$E$35,5,FALSE)-1)</f>
        <v>-2.1878548602759618E-2</v>
      </c>
      <c r="AI7">
        <v>2.5000000000000001E-2</v>
      </c>
      <c r="AJ7">
        <v>-2.5000000000000001E-2</v>
      </c>
      <c r="AK7">
        <v>1.5E-3</v>
      </c>
      <c r="AL7">
        <v>-1.5E-3</v>
      </c>
      <c r="AM7">
        <v>1.5E-3</v>
      </c>
      <c r="AN7">
        <v>-1.5E-3</v>
      </c>
      <c r="AO7" s="16">
        <v>2.5000000000000001E-2</v>
      </c>
      <c r="AP7" s="16">
        <v>-2.5000000000000001E-2</v>
      </c>
      <c r="AQ7">
        <v>1.4999999999999999E-2</v>
      </c>
      <c r="AR7">
        <v>-1.4999999999999999E-2</v>
      </c>
      <c r="AS7">
        <v>1E-3</v>
      </c>
      <c r="AT7">
        <v>-1E-3</v>
      </c>
      <c r="AU7">
        <v>1E-3</v>
      </c>
      <c r="AV7">
        <v>-1E-3</v>
      </c>
      <c r="AW7" s="16">
        <v>1.4999999999999999E-2</v>
      </c>
      <c r="AX7" s="16">
        <v>-1.4999999999999999E-2</v>
      </c>
    </row>
    <row r="8" spans="1:279" customFormat="1">
      <c r="A8" s="2">
        <v>3</v>
      </c>
      <c r="B8" s="2">
        <v>2.87588</v>
      </c>
      <c r="C8" s="2">
        <v>0.34109</v>
      </c>
      <c r="D8" s="2">
        <v>0.35306100000000001</v>
      </c>
      <c r="E8" s="2">
        <v>34.517185929999997</v>
      </c>
      <c r="F8" s="17">
        <f t="shared" si="0"/>
        <v>44245.686550925922</v>
      </c>
      <c r="G8" s="9">
        <v>44245.686550925922</v>
      </c>
      <c r="H8" s="25">
        <v>1</v>
      </c>
      <c r="I8" s="5">
        <v>2.8719999999999999</v>
      </c>
      <c r="J8" s="5">
        <v>0.34022999999999998</v>
      </c>
      <c r="K8" s="5">
        <v>0.35658000000000001</v>
      </c>
      <c r="L8" s="5">
        <v>34.820999999999998</v>
      </c>
      <c r="M8" s="5">
        <v>2</v>
      </c>
      <c r="N8" s="5">
        <v>2.8730000000000002</v>
      </c>
      <c r="O8" s="5">
        <v>0.32991999999999999</v>
      </c>
      <c r="P8" s="5">
        <v>0.34758</v>
      </c>
      <c r="Q8" s="5">
        <v>34.987000000000002</v>
      </c>
      <c r="R8" s="5">
        <v>3</v>
      </c>
      <c r="S8" s="5">
        <v>2.8759999999999999</v>
      </c>
      <c r="T8" s="5">
        <v>0.30647999999999997</v>
      </c>
      <c r="U8" s="5">
        <v>0.32092999999999999</v>
      </c>
      <c r="V8" s="5">
        <v>33.768000000000001</v>
      </c>
      <c r="W8" s="22">
        <f t="shared" si="1"/>
        <v>-2.4799999999999933E-2</v>
      </c>
      <c r="X8" s="21">
        <f t="shared" si="2"/>
        <v>-1.5600000000000058E-3</v>
      </c>
      <c r="Y8" s="21">
        <f t="shared" si="3"/>
        <v>9.7999999999986986E-5</v>
      </c>
      <c r="Z8" s="11">
        <f t="shared" si="4"/>
        <v>4.336426222752765E-3</v>
      </c>
      <c r="AA8" s="22">
        <f t="shared" si="5"/>
        <v>-5.4399999999996673E-3</v>
      </c>
      <c r="AB8" s="21">
        <f t="shared" si="6"/>
        <v>-1.0442000000000007E-2</v>
      </c>
      <c r="AC8" s="21">
        <f t="shared" si="7"/>
        <v>-8.2260000000000111E-3</v>
      </c>
      <c r="AD8" s="11">
        <f t="shared" si="8"/>
        <v>8.7792785909972526E-3</v>
      </c>
      <c r="AE8" s="22">
        <f t="shared" si="9"/>
        <v>1.1999999999989797E-4</v>
      </c>
      <c r="AF8" s="21">
        <f t="shared" si="10"/>
        <v>-3.461000000000003E-2</v>
      </c>
      <c r="AG8" s="21">
        <f t="shared" si="11"/>
        <v>-3.2131000000000021E-2</v>
      </c>
      <c r="AH8" s="11">
        <f t="shared" si="12"/>
        <v>-2.1704722149694544E-2</v>
      </c>
      <c r="AI8">
        <v>2.5000000000000001E-2</v>
      </c>
      <c r="AJ8">
        <v>-2.5000000000000001E-2</v>
      </c>
      <c r="AK8">
        <v>1.5E-3</v>
      </c>
      <c r="AL8">
        <v>-1.5E-3</v>
      </c>
      <c r="AM8">
        <v>1.5E-3</v>
      </c>
      <c r="AN8">
        <v>-1.5E-3</v>
      </c>
      <c r="AO8" s="16">
        <v>2.5000000000000001E-2</v>
      </c>
      <c r="AP8" s="16">
        <v>-2.5000000000000001E-2</v>
      </c>
      <c r="AQ8">
        <v>1.4999999999999999E-2</v>
      </c>
      <c r="AR8">
        <v>-1.4999999999999999E-2</v>
      </c>
      <c r="AS8">
        <v>1E-3</v>
      </c>
      <c r="AT8">
        <v>-1E-3</v>
      </c>
      <c r="AU8">
        <v>1E-3</v>
      </c>
      <c r="AV8">
        <v>-1E-3</v>
      </c>
      <c r="AW8" s="16">
        <v>1.4999999999999999E-2</v>
      </c>
      <c r="AX8" s="16">
        <v>-1.4999999999999999E-2</v>
      </c>
      <c r="JS8">
        <v>12.849506578947368</v>
      </c>
    </row>
    <row r="9" spans="1:279" customFormat="1">
      <c r="A9" s="2">
        <v>4</v>
      </c>
      <c r="B9" s="2">
        <v>2.8790100000000001</v>
      </c>
      <c r="C9" s="2">
        <v>0.34046100000000001</v>
      </c>
      <c r="D9" s="2">
        <v>0.35433799999999999</v>
      </c>
      <c r="E9" s="2">
        <v>34.469949749999998</v>
      </c>
      <c r="F9" s="17">
        <f t="shared" si="0"/>
        <v>44246.660601851851</v>
      </c>
      <c r="G9" s="9">
        <v>44246.660601851851</v>
      </c>
      <c r="H9" s="25">
        <v>1</v>
      </c>
      <c r="I9" s="5">
        <v>2.8730000000000002</v>
      </c>
      <c r="J9" s="5">
        <v>0.34033999999999998</v>
      </c>
      <c r="K9" s="5">
        <v>0.35671000000000003</v>
      </c>
      <c r="L9" s="5">
        <v>34.841999999999999</v>
      </c>
      <c r="M9" s="5">
        <v>2</v>
      </c>
      <c r="N9" s="5">
        <v>2.875</v>
      </c>
      <c r="O9" s="5">
        <v>0.32989000000000002</v>
      </c>
      <c r="P9" s="5">
        <v>0.34772999999999998</v>
      </c>
      <c r="Q9" s="5">
        <v>35.021000000000001</v>
      </c>
      <c r="R9" s="5">
        <v>3</v>
      </c>
      <c r="S9" s="5">
        <v>2.8769999999999998</v>
      </c>
      <c r="T9" s="5">
        <v>0.30651</v>
      </c>
      <c r="U9" s="5">
        <v>0.32092999999999999</v>
      </c>
      <c r="V9" s="5">
        <v>33.82</v>
      </c>
      <c r="W9" s="22">
        <f t="shared" si="1"/>
        <v>-2.3799999999999599E-2</v>
      </c>
      <c r="X9" s="21">
        <f t="shared" si="2"/>
        <v>-1.4500000000000068E-3</v>
      </c>
      <c r="Y9" s="21">
        <f t="shared" si="3"/>
        <v>2.2800000000000598E-4</v>
      </c>
      <c r="Z9" s="11">
        <f t="shared" si="4"/>
        <v>4.9421257991772993E-3</v>
      </c>
      <c r="AA9" s="22">
        <f t="shared" si="5"/>
        <v>-3.4399999999998876E-3</v>
      </c>
      <c r="AB9" s="21">
        <f t="shared" si="6"/>
        <v>-1.0471999999999981E-2</v>
      </c>
      <c r="AC9" s="21">
        <f t="shared" si="7"/>
        <v>-8.0760000000000276E-3</v>
      </c>
      <c r="AD9" s="11">
        <f t="shared" si="8"/>
        <v>9.7595997237636123E-3</v>
      </c>
      <c r="AE9" s="22">
        <f t="shared" si="9"/>
        <v>1.1199999999997878E-3</v>
      </c>
      <c r="AF9" s="21">
        <f t="shared" si="10"/>
        <v>-3.458E-2</v>
      </c>
      <c r="AG9" s="21">
        <f t="shared" si="11"/>
        <v>-3.2131000000000021E-2</v>
      </c>
      <c r="AH9" s="11">
        <f t="shared" si="12"/>
        <v>-2.01982262231305E-2</v>
      </c>
      <c r="AI9">
        <v>2.5000000000000001E-2</v>
      </c>
      <c r="AJ9">
        <v>-2.5000000000000001E-2</v>
      </c>
      <c r="AK9">
        <v>1.5E-3</v>
      </c>
      <c r="AL9">
        <v>-1.5E-3</v>
      </c>
      <c r="AM9">
        <v>1.5E-3</v>
      </c>
      <c r="AN9">
        <v>-1.5E-3</v>
      </c>
      <c r="AO9" s="16">
        <v>2.5000000000000001E-2</v>
      </c>
      <c r="AP9" s="16">
        <v>-2.5000000000000001E-2</v>
      </c>
      <c r="AQ9">
        <v>1.4999999999999999E-2</v>
      </c>
      <c r="AR9">
        <v>-1.4999999999999999E-2</v>
      </c>
      <c r="AS9">
        <v>1E-3</v>
      </c>
      <c r="AT9">
        <v>-1E-3</v>
      </c>
      <c r="AU9">
        <v>1E-3</v>
      </c>
      <c r="AV9">
        <v>-1E-3</v>
      </c>
      <c r="AW9" s="16">
        <v>1.4999999999999999E-2</v>
      </c>
      <c r="AX9" s="16">
        <v>-1.4999999999999999E-2</v>
      </c>
    </row>
    <row r="10" spans="1:279" customFormat="1">
      <c r="A10" s="2">
        <v>5</v>
      </c>
      <c r="B10" s="2">
        <v>2.8601700000000001</v>
      </c>
      <c r="C10" s="2">
        <v>0.340922</v>
      </c>
      <c r="D10" s="2">
        <v>0.354769</v>
      </c>
      <c r="E10" s="2">
        <v>34.493165830000002</v>
      </c>
      <c r="F10" s="17">
        <f t="shared" si="0"/>
        <v>44247.409386574072</v>
      </c>
      <c r="G10" s="9">
        <v>44247.409386574072</v>
      </c>
      <c r="H10" s="25">
        <v>1</v>
      </c>
      <c r="I10" s="5">
        <v>2.87</v>
      </c>
      <c r="J10" s="5">
        <v>0.3402</v>
      </c>
      <c r="K10" s="5">
        <v>0.35650999999999999</v>
      </c>
      <c r="L10" s="5">
        <v>34.883000000000003</v>
      </c>
      <c r="M10" s="5">
        <v>2</v>
      </c>
      <c r="N10" s="5">
        <v>2.8730000000000002</v>
      </c>
      <c r="O10" s="5">
        <v>0.32973000000000002</v>
      </c>
      <c r="P10" s="5">
        <v>0.34741</v>
      </c>
      <c r="Q10" s="5">
        <v>35.009</v>
      </c>
      <c r="R10" s="5">
        <v>3</v>
      </c>
      <c r="S10" s="5">
        <v>2.875</v>
      </c>
      <c r="T10" s="5">
        <v>0.30652000000000001</v>
      </c>
      <c r="U10" s="5">
        <v>0.32112000000000002</v>
      </c>
      <c r="V10" s="5">
        <v>33.869</v>
      </c>
      <c r="W10" s="22">
        <f t="shared" si="1"/>
        <v>-2.6799999999999713E-2</v>
      </c>
      <c r="X10" s="21">
        <f t="shared" si="2"/>
        <v>-1.5899999999999803E-3</v>
      </c>
      <c r="Y10" s="21">
        <f t="shared" si="3"/>
        <v>2.7999999999972491E-5</v>
      </c>
      <c r="Z10" s="11">
        <f t="shared" si="4"/>
        <v>6.1246821150537922E-3</v>
      </c>
      <c r="AA10" s="22">
        <f t="shared" si="5"/>
        <v>-5.4399999999996673E-3</v>
      </c>
      <c r="AB10" s="21">
        <f t="shared" si="6"/>
        <v>-1.0631999999999975E-2</v>
      </c>
      <c r="AC10" s="21">
        <f t="shared" si="7"/>
        <v>-8.3960000000000146E-3</v>
      </c>
      <c r="AD10" s="11">
        <f t="shared" si="8"/>
        <v>9.4136040298460344E-3</v>
      </c>
      <c r="AE10" s="22">
        <f t="shared" si="9"/>
        <v>-8.799999999999919E-4</v>
      </c>
      <c r="AF10" s="21">
        <f t="shared" si="10"/>
        <v>-3.456999999999999E-2</v>
      </c>
      <c r="AG10" s="21">
        <f t="shared" si="11"/>
        <v>-3.1940999999999997E-2</v>
      </c>
      <c r="AH10" s="11">
        <f t="shared" si="12"/>
        <v>-1.8778643523098992E-2</v>
      </c>
      <c r="AI10">
        <v>2.5000000000000001E-2</v>
      </c>
      <c r="AJ10">
        <v>-2.5000000000000001E-2</v>
      </c>
      <c r="AK10">
        <v>1.5E-3</v>
      </c>
      <c r="AL10">
        <v>-1.5E-3</v>
      </c>
      <c r="AM10">
        <v>1.5E-3</v>
      </c>
      <c r="AN10">
        <v>-1.5E-3</v>
      </c>
      <c r="AO10" s="16">
        <v>2.5000000000000001E-2</v>
      </c>
      <c r="AP10" s="16">
        <v>-2.5000000000000001E-2</v>
      </c>
      <c r="AQ10">
        <v>1.4999999999999999E-2</v>
      </c>
      <c r="AR10">
        <v>-1.4999999999999999E-2</v>
      </c>
      <c r="AS10">
        <v>1E-3</v>
      </c>
      <c r="AT10">
        <v>-1E-3</v>
      </c>
      <c r="AU10">
        <v>1E-3</v>
      </c>
      <c r="AV10">
        <v>-1E-3</v>
      </c>
      <c r="AW10" s="16">
        <v>1.4999999999999999E-2</v>
      </c>
      <c r="AX10" s="16">
        <v>-1.4999999999999999E-2</v>
      </c>
      <c r="JQ10">
        <v>28.935185185185187</v>
      </c>
    </row>
    <row r="11" spans="1:279" customFormat="1">
      <c r="A11" s="2">
        <v>6</v>
      </c>
      <c r="B11" s="2">
        <v>2.8474900000000001</v>
      </c>
      <c r="C11" s="2">
        <v>0.43657200000000002</v>
      </c>
      <c r="D11" s="2">
        <v>0.39859299999999998</v>
      </c>
      <c r="E11" s="2">
        <v>30.297185930000001</v>
      </c>
      <c r="F11" s="17">
        <f t="shared" si="0"/>
        <v>44248.375451388885</v>
      </c>
      <c r="G11" s="9">
        <v>44248.375451388885</v>
      </c>
      <c r="H11" s="25">
        <v>1</v>
      </c>
      <c r="I11" s="5">
        <v>2.87</v>
      </c>
      <c r="J11" s="5">
        <v>0.34014</v>
      </c>
      <c r="K11" s="5">
        <v>0.35658000000000001</v>
      </c>
      <c r="L11" s="5">
        <v>34.898000000000003</v>
      </c>
      <c r="M11" s="5">
        <v>2</v>
      </c>
      <c r="N11" s="5">
        <v>2.8719999999999999</v>
      </c>
      <c r="O11" s="5">
        <v>0.32971</v>
      </c>
      <c r="P11" s="5">
        <v>0.34734999999999999</v>
      </c>
      <c r="Q11" s="5">
        <v>35.061</v>
      </c>
      <c r="R11" s="5">
        <v>3</v>
      </c>
      <c r="S11" s="5">
        <v>2.875</v>
      </c>
      <c r="T11" s="5">
        <v>0.30654999999999999</v>
      </c>
      <c r="U11" s="5">
        <v>0.32085000000000002</v>
      </c>
      <c r="V11" s="5">
        <v>33.856999999999999</v>
      </c>
      <c r="W11" s="22">
        <f t="shared" si="1"/>
        <v>-2.6799999999999713E-2</v>
      </c>
      <c r="X11" s="21">
        <f t="shared" si="2"/>
        <v>-1.6499999999999848E-3</v>
      </c>
      <c r="Y11" s="21">
        <f t="shared" si="3"/>
        <v>9.7999999999986986E-5</v>
      </c>
      <c r="Z11" s="11">
        <f t="shared" si="4"/>
        <v>6.5573246696426502E-3</v>
      </c>
      <c r="AA11" s="22">
        <f t="shared" si="5"/>
        <v>-6.4400000000000013E-3</v>
      </c>
      <c r="AB11" s="21">
        <f t="shared" si="6"/>
        <v>-1.0651999999999995E-2</v>
      </c>
      <c r="AC11" s="21">
        <f t="shared" si="7"/>
        <v>-8.4560000000000191E-3</v>
      </c>
      <c r="AD11" s="11">
        <f t="shared" si="8"/>
        <v>1.091291870348865E-2</v>
      </c>
      <c r="AE11" s="22">
        <f t="shared" si="9"/>
        <v>-8.799999999999919E-4</v>
      </c>
      <c r="AF11" s="21">
        <f t="shared" si="10"/>
        <v>-3.4540000000000015E-2</v>
      </c>
      <c r="AG11" s="21">
        <f t="shared" si="11"/>
        <v>-3.221099999999999E-2</v>
      </c>
      <c r="AH11" s="11">
        <f t="shared" si="12"/>
        <v>-1.9126296429229139E-2</v>
      </c>
      <c r="AI11">
        <v>2.5000000000000001E-2</v>
      </c>
      <c r="AJ11">
        <v>-2.5000000000000001E-2</v>
      </c>
      <c r="AK11">
        <v>1.5E-3</v>
      </c>
      <c r="AL11">
        <v>-1.5E-3</v>
      </c>
      <c r="AM11">
        <v>1.5E-3</v>
      </c>
      <c r="AN11">
        <v>-1.5E-3</v>
      </c>
      <c r="AO11" s="16">
        <v>2.5000000000000001E-2</v>
      </c>
      <c r="AP11" s="16">
        <v>-2.5000000000000001E-2</v>
      </c>
      <c r="AQ11">
        <v>1.4999999999999999E-2</v>
      </c>
      <c r="AR11">
        <v>-1.4999999999999999E-2</v>
      </c>
      <c r="AS11">
        <v>1E-3</v>
      </c>
      <c r="AT11">
        <v>-1E-3</v>
      </c>
      <c r="AU11">
        <v>1E-3</v>
      </c>
      <c r="AV11">
        <v>-1E-3</v>
      </c>
      <c r="AW11" s="16">
        <v>1.4999999999999999E-2</v>
      </c>
      <c r="AX11" s="16">
        <v>-1.4999999999999999E-2</v>
      </c>
      <c r="JR11">
        <v>25.699013157894736</v>
      </c>
    </row>
    <row r="12" spans="1:279" customFormat="1">
      <c r="A12" s="2">
        <v>7</v>
      </c>
      <c r="B12" s="2">
        <v>2.8580899999999998</v>
      </c>
      <c r="C12" s="2">
        <v>0.43726500000000001</v>
      </c>
      <c r="D12" s="2">
        <v>0.39884999999999998</v>
      </c>
      <c r="E12" s="2">
        <v>30.073969850000001</v>
      </c>
      <c r="F12" s="17">
        <f t="shared" si="0"/>
        <v>44249.479062500002</v>
      </c>
      <c r="G12" s="9">
        <v>44249.479062500002</v>
      </c>
      <c r="H12" s="25">
        <v>1</v>
      </c>
      <c r="I12" s="5">
        <v>2.8719999999999999</v>
      </c>
      <c r="J12" s="5">
        <v>0.34025</v>
      </c>
      <c r="K12" s="5">
        <v>0.35665999999999998</v>
      </c>
      <c r="L12" s="5">
        <v>34.892000000000003</v>
      </c>
      <c r="M12" s="5">
        <v>2</v>
      </c>
      <c r="N12" s="5">
        <v>2.8730000000000002</v>
      </c>
      <c r="O12" s="5">
        <v>0.32976</v>
      </c>
      <c r="P12" s="5">
        <v>0.34739999999999999</v>
      </c>
      <c r="Q12" s="5">
        <v>35.003999999999998</v>
      </c>
      <c r="R12" s="5">
        <v>3</v>
      </c>
      <c r="S12" s="5">
        <v>2.8769999999999998</v>
      </c>
      <c r="T12" s="5">
        <v>0.30660999999999999</v>
      </c>
      <c r="U12" s="5">
        <v>0.32096999999999998</v>
      </c>
      <c r="V12" s="5">
        <v>33.843000000000004</v>
      </c>
      <c r="W12" s="22">
        <f t="shared" si="1"/>
        <v>-2.4799999999999933E-2</v>
      </c>
      <c r="X12" s="21">
        <f t="shared" si="2"/>
        <v>-1.5399999999999858E-3</v>
      </c>
      <c r="Y12" s="21">
        <f t="shared" si="3"/>
        <v>1.7799999999995597E-4</v>
      </c>
      <c r="Z12" s="11">
        <f t="shared" si="4"/>
        <v>6.3842676478071958E-3</v>
      </c>
      <c r="AA12" s="22">
        <f t="shared" si="5"/>
        <v>-5.4399999999996673E-3</v>
      </c>
      <c r="AB12" s="21">
        <f t="shared" si="6"/>
        <v>-1.0602E-2</v>
      </c>
      <c r="AC12" s="21">
        <f t="shared" si="7"/>
        <v>-8.4060000000000246E-3</v>
      </c>
      <c r="AD12" s="11">
        <f t="shared" si="8"/>
        <v>9.2694391573802104E-3</v>
      </c>
      <c r="AE12" s="22">
        <f t="shared" si="9"/>
        <v>1.1199999999997878E-3</v>
      </c>
      <c r="AF12" s="21">
        <f t="shared" si="10"/>
        <v>-3.4480000000000011E-2</v>
      </c>
      <c r="AG12" s="21">
        <f t="shared" si="11"/>
        <v>-3.2091000000000036E-2</v>
      </c>
      <c r="AH12" s="11">
        <f t="shared" si="12"/>
        <v>-1.9531891486380903E-2</v>
      </c>
      <c r="AI12">
        <v>2.5000000000000001E-2</v>
      </c>
      <c r="AJ12">
        <v>-2.5000000000000001E-2</v>
      </c>
      <c r="AK12">
        <v>1.5E-3</v>
      </c>
      <c r="AL12">
        <v>-1.5E-3</v>
      </c>
      <c r="AM12">
        <v>1.5E-3</v>
      </c>
      <c r="AN12">
        <v>-1.5E-3</v>
      </c>
      <c r="AO12" s="16">
        <v>2.5000000000000001E-2</v>
      </c>
      <c r="AP12" s="16">
        <v>-2.5000000000000001E-2</v>
      </c>
      <c r="AQ12">
        <v>1.4999999999999999E-2</v>
      </c>
      <c r="AR12">
        <v>-1.4999999999999999E-2</v>
      </c>
      <c r="AS12">
        <v>1E-3</v>
      </c>
      <c r="AT12">
        <v>-1E-3</v>
      </c>
      <c r="AU12">
        <v>1E-3</v>
      </c>
      <c r="AV12">
        <v>-1E-3</v>
      </c>
      <c r="AW12" s="16">
        <v>1.4999999999999999E-2</v>
      </c>
      <c r="AX12" s="16">
        <v>-1.4999999999999999E-2</v>
      </c>
      <c r="JP12">
        <v>25.699013157894736</v>
      </c>
      <c r="JR12">
        <v>12.849506578947368</v>
      </c>
      <c r="JS12">
        <v>12.849506578947368</v>
      </c>
    </row>
    <row r="13" spans="1:279" customFormat="1">
      <c r="A13" s="2">
        <v>8</v>
      </c>
      <c r="B13" s="2">
        <v>2.8678400000000002</v>
      </c>
      <c r="C13" s="2">
        <v>0.43376199999999998</v>
      </c>
      <c r="D13" s="2">
        <v>0.39632400000000001</v>
      </c>
      <c r="E13" s="2">
        <v>30.15226131</v>
      </c>
      <c r="F13" s="17">
        <f t="shared" si="0"/>
        <v>44250.649687500001</v>
      </c>
      <c r="G13" s="9">
        <v>44250.649687500001</v>
      </c>
      <c r="H13" s="25">
        <v>1</v>
      </c>
      <c r="I13" s="5">
        <v>2.8690000000000002</v>
      </c>
      <c r="J13" s="2">
        <v>0.3402</v>
      </c>
      <c r="K13" s="5">
        <v>0.35650999999999999</v>
      </c>
      <c r="L13" s="5">
        <v>34.755000000000003</v>
      </c>
      <c r="M13" s="5">
        <v>2</v>
      </c>
      <c r="N13" s="5">
        <v>2.871</v>
      </c>
      <c r="O13" s="2">
        <v>0.32968999999999998</v>
      </c>
      <c r="P13" s="5">
        <v>0.34723999999999999</v>
      </c>
      <c r="Q13" s="5">
        <v>34.884</v>
      </c>
      <c r="R13" s="5">
        <v>3</v>
      </c>
      <c r="S13" s="5">
        <v>2.8740000000000001</v>
      </c>
      <c r="T13" s="2">
        <v>0.30657000000000001</v>
      </c>
      <c r="U13" s="5">
        <v>0.32097999999999999</v>
      </c>
      <c r="V13" s="5">
        <v>33.729999999999997</v>
      </c>
      <c r="W13" s="22">
        <f t="shared" si="1"/>
        <v>-2.7799999999999603E-2</v>
      </c>
      <c r="X13" s="21">
        <f t="shared" si="2"/>
        <v>-1.5899999999999803E-3</v>
      </c>
      <c r="Y13" s="21">
        <f t="shared" si="3"/>
        <v>2.7999999999972491E-5</v>
      </c>
      <c r="Z13" s="11">
        <f t="shared" si="4"/>
        <v>2.4327989825614349E-3</v>
      </c>
      <c r="AA13" s="22">
        <f t="shared" si="5"/>
        <v>-7.4399999999998911E-3</v>
      </c>
      <c r="AB13" s="21">
        <f t="shared" si="6"/>
        <v>-1.0672000000000015E-2</v>
      </c>
      <c r="AC13" s="21">
        <f t="shared" si="7"/>
        <v>-8.566000000000018E-3</v>
      </c>
      <c r="AD13" s="11">
        <f t="shared" si="8"/>
        <v>5.8094822182053196E-3</v>
      </c>
      <c r="AE13" s="22">
        <f t="shared" si="9"/>
        <v>-1.8799999999998818E-3</v>
      </c>
      <c r="AF13" s="21">
        <f t="shared" si="10"/>
        <v>-3.4519999999999995E-2</v>
      </c>
      <c r="AG13" s="21">
        <f t="shared" si="11"/>
        <v>-3.2081000000000026E-2</v>
      </c>
      <c r="AH13" s="11">
        <f t="shared" si="12"/>
        <v>-2.2805623019106824E-2</v>
      </c>
      <c r="AI13">
        <v>2.5000000000000001E-2</v>
      </c>
      <c r="AJ13">
        <v>-2.5000000000000001E-2</v>
      </c>
      <c r="AK13">
        <v>1.5E-3</v>
      </c>
      <c r="AL13">
        <v>-1.5E-3</v>
      </c>
      <c r="AM13">
        <v>1.5E-3</v>
      </c>
      <c r="AN13">
        <v>-1.5E-3</v>
      </c>
      <c r="AO13" s="16">
        <v>2.5000000000000001E-2</v>
      </c>
      <c r="AP13" s="16">
        <v>-2.5000000000000001E-2</v>
      </c>
      <c r="AQ13">
        <v>1.4999999999999999E-2</v>
      </c>
      <c r="AR13">
        <v>-1.4999999999999999E-2</v>
      </c>
      <c r="AS13">
        <v>1E-3</v>
      </c>
      <c r="AT13">
        <v>-1E-3</v>
      </c>
      <c r="AU13">
        <v>1E-3</v>
      </c>
      <c r="AV13">
        <v>-1E-3</v>
      </c>
      <c r="AW13" s="16">
        <v>1.4999999999999999E-2</v>
      </c>
      <c r="AX13" s="16">
        <v>-1.4999999999999999E-2</v>
      </c>
    </row>
    <row r="14" spans="1:279" customFormat="1">
      <c r="A14" s="2">
        <v>9</v>
      </c>
      <c r="B14" s="2">
        <v>2.85005</v>
      </c>
      <c r="C14" s="2">
        <v>0.437193</v>
      </c>
      <c r="D14" s="2">
        <v>0.39951999999999999</v>
      </c>
      <c r="E14" s="2">
        <v>30.348944719999999</v>
      </c>
      <c r="F14" s="17">
        <f t="shared" si="0"/>
        <v>44251.60355324074</v>
      </c>
      <c r="G14" s="9">
        <v>44251.60355324074</v>
      </c>
      <c r="H14" s="25">
        <v>1</v>
      </c>
      <c r="I14" s="5">
        <v>2.87</v>
      </c>
      <c r="J14" s="5">
        <v>0.34022999999999998</v>
      </c>
      <c r="K14" s="5">
        <v>0.35652</v>
      </c>
      <c r="L14" s="5">
        <v>34.752000000000002</v>
      </c>
      <c r="M14" s="5">
        <v>2</v>
      </c>
      <c r="N14" s="5">
        <v>2.871</v>
      </c>
      <c r="O14" s="5">
        <v>0.32982</v>
      </c>
      <c r="P14" s="5">
        <v>0.34750999999999999</v>
      </c>
      <c r="Q14" s="5">
        <v>34.872999999999998</v>
      </c>
      <c r="R14" s="5">
        <v>3</v>
      </c>
      <c r="S14" s="5">
        <v>2.8740000000000001</v>
      </c>
      <c r="T14" s="5">
        <v>0.30658000000000002</v>
      </c>
      <c r="U14" s="5">
        <v>0.32107000000000002</v>
      </c>
      <c r="V14" s="5">
        <v>33.703000000000003</v>
      </c>
      <c r="W14" s="22">
        <f t="shared" si="1"/>
        <v>-2.6799999999999713E-2</v>
      </c>
      <c r="X14" s="21">
        <f t="shared" si="2"/>
        <v>-1.5600000000000058E-3</v>
      </c>
      <c r="Y14" s="21">
        <f t="shared" si="3"/>
        <v>3.7999999999982492E-5</v>
      </c>
      <c r="Z14" s="11">
        <f t="shared" si="4"/>
        <v>2.3462704716437077E-3</v>
      </c>
      <c r="AA14" s="22">
        <f t="shared" si="5"/>
        <v>-7.4399999999998911E-3</v>
      </c>
      <c r="AB14" s="21">
        <f t="shared" si="6"/>
        <v>-1.0541999999999996E-2</v>
      </c>
      <c r="AC14" s="21">
        <f t="shared" si="7"/>
        <v>-8.2960000000000256E-3</v>
      </c>
      <c r="AD14" s="11">
        <f t="shared" si="8"/>
        <v>5.4923194987808177E-3</v>
      </c>
      <c r="AE14" s="22">
        <f t="shared" si="9"/>
        <v>-1.8799999999998818E-3</v>
      </c>
      <c r="AF14" s="21">
        <f t="shared" si="10"/>
        <v>-3.4509999999999985E-2</v>
      </c>
      <c r="AG14" s="21">
        <f t="shared" si="11"/>
        <v>-3.1990999999999992E-2</v>
      </c>
      <c r="AH14" s="11">
        <f t="shared" si="12"/>
        <v>-2.3587842057899544E-2</v>
      </c>
      <c r="AI14">
        <v>2.5000000000000001E-2</v>
      </c>
      <c r="AJ14">
        <v>-2.5000000000000001E-2</v>
      </c>
      <c r="AK14">
        <v>1.5E-3</v>
      </c>
      <c r="AL14">
        <v>-1.5E-3</v>
      </c>
      <c r="AM14">
        <v>1.5E-3</v>
      </c>
      <c r="AN14">
        <v>-1.5E-3</v>
      </c>
      <c r="AO14" s="16">
        <v>2.5000000000000001E-2</v>
      </c>
      <c r="AP14" s="16">
        <v>-2.5000000000000001E-2</v>
      </c>
      <c r="AQ14">
        <v>1.4999999999999999E-2</v>
      </c>
      <c r="AR14">
        <v>-1.4999999999999999E-2</v>
      </c>
      <c r="AS14">
        <v>1E-3</v>
      </c>
      <c r="AT14">
        <v>-1E-3</v>
      </c>
      <c r="AU14">
        <v>1E-3</v>
      </c>
      <c r="AV14">
        <v>-1E-3</v>
      </c>
      <c r="AW14" s="16">
        <v>1.4999999999999999E-2</v>
      </c>
      <c r="AX14" s="16">
        <v>-1.4999999999999999E-2</v>
      </c>
    </row>
    <row r="15" spans="1:279" customFormat="1">
      <c r="A15" s="2">
        <v>10</v>
      </c>
      <c r="B15" s="2">
        <v>2.8654700000000002</v>
      </c>
      <c r="C15" s="2">
        <v>0.43548500000000001</v>
      </c>
      <c r="D15" s="2">
        <v>0.39801900000000001</v>
      </c>
      <c r="E15" s="2">
        <v>30.123618090000001</v>
      </c>
      <c r="F15" s="17">
        <f t="shared" si="0"/>
        <v>44251.940150462964</v>
      </c>
      <c r="G15" s="9">
        <v>44251.940150462964</v>
      </c>
      <c r="H15" s="25">
        <v>1</v>
      </c>
      <c r="I15" s="5">
        <v>2.8730000000000002</v>
      </c>
      <c r="J15" s="5">
        <v>0.34028000000000003</v>
      </c>
      <c r="K15" s="5">
        <v>0.35657</v>
      </c>
      <c r="L15" s="5">
        <v>34.789000000000001</v>
      </c>
      <c r="M15" s="5">
        <v>2</v>
      </c>
      <c r="N15" s="5">
        <v>2.8740000000000001</v>
      </c>
      <c r="O15" s="5">
        <v>0.32976</v>
      </c>
      <c r="P15" s="5">
        <v>0.34761999999999998</v>
      </c>
      <c r="Q15" s="5">
        <v>34.972000000000001</v>
      </c>
      <c r="R15" s="5">
        <v>3</v>
      </c>
      <c r="S15" s="5">
        <v>2.8769999999999998</v>
      </c>
      <c r="T15" s="5">
        <v>0.30640000000000001</v>
      </c>
      <c r="U15" s="5">
        <v>0.32080999999999998</v>
      </c>
      <c r="V15" s="5">
        <v>33.786000000000001</v>
      </c>
      <c r="W15" s="22">
        <f t="shared" si="1"/>
        <v>-2.3799999999999599E-2</v>
      </c>
      <c r="X15" s="21">
        <f t="shared" si="2"/>
        <v>-1.5099999999999558E-3</v>
      </c>
      <c r="Y15" s="21">
        <f t="shared" si="3"/>
        <v>8.7999999999976986E-5</v>
      </c>
      <c r="Z15" s="11">
        <f t="shared" si="4"/>
        <v>3.4134554396296757E-3</v>
      </c>
      <c r="AA15" s="22">
        <f t="shared" si="5"/>
        <v>-4.4399999999997775E-3</v>
      </c>
      <c r="AB15" s="21">
        <f t="shared" si="6"/>
        <v>-1.0602E-2</v>
      </c>
      <c r="AC15" s="21">
        <f t="shared" si="7"/>
        <v>-8.1860000000000266E-3</v>
      </c>
      <c r="AD15" s="11">
        <f t="shared" si="8"/>
        <v>8.3467839736004468E-3</v>
      </c>
      <c r="AE15" s="22">
        <f t="shared" si="9"/>
        <v>1.1199999999997878E-3</v>
      </c>
      <c r="AF15" s="21">
        <f t="shared" si="10"/>
        <v>-3.4689999999999999E-2</v>
      </c>
      <c r="AG15" s="21">
        <f t="shared" si="11"/>
        <v>-3.225100000000003E-2</v>
      </c>
      <c r="AH15" s="11">
        <f t="shared" si="12"/>
        <v>-2.1183242790499324E-2</v>
      </c>
      <c r="AI15">
        <v>2.5000000000000001E-2</v>
      </c>
      <c r="AJ15">
        <v>-2.5000000000000001E-2</v>
      </c>
      <c r="AK15">
        <v>1.5E-3</v>
      </c>
      <c r="AL15">
        <v>-1.5E-3</v>
      </c>
      <c r="AM15">
        <v>1.5E-3</v>
      </c>
      <c r="AN15">
        <v>-1.5E-3</v>
      </c>
      <c r="AO15" s="16">
        <v>2.5000000000000001E-2</v>
      </c>
      <c r="AP15" s="16">
        <v>-2.5000000000000001E-2</v>
      </c>
      <c r="AQ15">
        <v>1.4999999999999999E-2</v>
      </c>
      <c r="AR15">
        <v>-1.4999999999999999E-2</v>
      </c>
      <c r="AS15">
        <v>1E-3</v>
      </c>
      <c r="AT15">
        <v>-1E-3</v>
      </c>
      <c r="AU15">
        <v>1E-3</v>
      </c>
      <c r="AV15">
        <v>-1E-3</v>
      </c>
      <c r="AW15" s="16">
        <v>1.4999999999999999E-2</v>
      </c>
      <c r="AX15" s="16">
        <v>-1.4999999999999999E-2</v>
      </c>
      <c r="JS15">
        <v>30.502684236212787</v>
      </c>
    </row>
    <row r="16" spans="1:279" customFormat="1">
      <c r="A16" s="2">
        <v>11</v>
      </c>
      <c r="B16" s="2">
        <v>2.86869</v>
      </c>
      <c r="C16" s="2">
        <v>0.33002799999999999</v>
      </c>
      <c r="D16" s="2">
        <v>0.34810000000000002</v>
      </c>
      <c r="E16" s="2">
        <v>34.693065330000003</v>
      </c>
      <c r="F16" s="17">
        <f t="shared" si="0"/>
        <v>44252.70857638889</v>
      </c>
      <c r="G16" s="9">
        <v>44252.70857638889</v>
      </c>
      <c r="H16" s="25">
        <v>1</v>
      </c>
      <c r="I16" s="5">
        <v>2.87</v>
      </c>
      <c r="J16" s="5">
        <v>0.34018999999999999</v>
      </c>
      <c r="K16" s="5">
        <v>0.35636000000000001</v>
      </c>
      <c r="L16" s="5">
        <v>34.786000000000001</v>
      </c>
      <c r="M16" s="5">
        <v>2</v>
      </c>
      <c r="N16" s="5">
        <v>2.8719999999999999</v>
      </c>
      <c r="O16" s="5">
        <v>0.32983000000000001</v>
      </c>
      <c r="P16" s="5">
        <v>0.34744999999999998</v>
      </c>
      <c r="Q16" s="5">
        <v>34.911999999999999</v>
      </c>
      <c r="R16" s="5">
        <v>3</v>
      </c>
      <c r="S16" s="5">
        <v>2.8730000000000002</v>
      </c>
      <c r="T16" s="5">
        <v>0.30642000000000003</v>
      </c>
      <c r="U16" s="5">
        <v>0.32086999999999999</v>
      </c>
      <c r="V16" s="5">
        <v>33.741</v>
      </c>
      <c r="W16" s="22">
        <f t="shared" si="1"/>
        <v>-2.6799999999999713E-2</v>
      </c>
      <c r="X16" s="21">
        <f t="shared" si="2"/>
        <v>-1.5999999999999903E-3</v>
      </c>
      <c r="Y16" s="21">
        <f t="shared" si="3"/>
        <v>-1.2200000000001099E-4</v>
      </c>
      <c r="Z16" s="11">
        <f t="shared" si="4"/>
        <v>3.3269269287119485E-3</v>
      </c>
      <c r="AA16" s="22">
        <f t="shared" si="5"/>
        <v>-6.4400000000000013E-3</v>
      </c>
      <c r="AB16" s="21">
        <f t="shared" si="6"/>
        <v>-1.0531999999999986E-2</v>
      </c>
      <c r="AC16" s="21">
        <f t="shared" si="7"/>
        <v>-8.3560000000000301E-3</v>
      </c>
      <c r="AD16" s="11">
        <f t="shared" si="8"/>
        <v>6.6168055040127793E-3</v>
      </c>
      <c r="AE16" s="22">
        <f t="shared" si="9"/>
        <v>-2.8799999999997716E-3</v>
      </c>
      <c r="AF16" s="21">
        <f t="shared" si="10"/>
        <v>-3.4669999999999979E-2</v>
      </c>
      <c r="AG16" s="21">
        <f t="shared" si="11"/>
        <v>-3.2191000000000025E-2</v>
      </c>
      <c r="AH16" s="11">
        <f t="shared" si="12"/>
        <v>-2.2486941188487486E-2</v>
      </c>
      <c r="AI16">
        <v>2.5000000000000001E-2</v>
      </c>
      <c r="AJ16">
        <v>-2.5000000000000001E-2</v>
      </c>
      <c r="AK16">
        <v>1.5E-3</v>
      </c>
      <c r="AL16">
        <v>-1.5E-3</v>
      </c>
      <c r="AM16">
        <v>1.5E-3</v>
      </c>
      <c r="AN16">
        <v>-1.5E-3</v>
      </c>
      <c r="AO16" s="16">
        <v>2.5000000000000001E-2</v>
      </c>
      <c r="AP16" s="16">
        <v>-2.5000000000000001E-2</v>
      </c>
      <c r="AQ16">
        <v>1.4999999999999999E-2</v>
      </c>
      <c r="AR16">
        <v>-1.4999999999999999E-2</v>
      </c>
      <c r="AS16">
        <v>1E-3</v>
      </c>
      <c r="AT16">
        <v>-1E-3</v>
      </c>
      <c r="AU16">
        <v>1E-3</v>
      </c>
      <c r="AV16">
        <v>-1E-3</v>
      </c>
      <c r="AW16" s="16">
        <v>1.4999999999999999E-2</v>
      </c>
      <c r="AX16" s="16">
        <v>-1.4999999999999999E-2</v>
      </c>
      <c r="JP16">
        <v>30.502684236212787</v>
      </c>
      <c r="JQ16">
        <v>28.935185185185187</v>
      </c>
    </row>
    <row r="17" spans="1:279" customFormat="1">
      <c r="A17" s="2">
        <v>12</v>
      </c>
      <c r="B17" s="2">
        <v>2.8866700000000001</v>
      </c>
      <c r="C17" s="2">
        <v>0.32926</v>
      </c>
      <c r="D17" s="2">
        <v>0.34775400000000001</v>
      </c>
      <c r="E17" s="2">
        <v>34.641608040000001</v>
      </c>
      <c r="F17" s="17">
        <f t="shared" si="0"/>
        <v>44253.5859375</v>
      </c>
      <c r="G17" s="9">
        <v>44253.5859375</v>
      </c>
      <c r="H17" s="25">
        <v>1</v>
      </c>
      <c r="I17" s="5">
        <v>2.871</v>
      </c>
      <c r="J17" s="5">
        <v>0.34029999999999999</v>
      </c>
      <c r="K17" s="5">
        <v>0.35660999999999998</v>
      </c>
      <c r="L17" s="5">
        <v>34.796999999999997</v>
      </c>
      <c r="M17" s="5">
        <v>2</v>
      </c>
      <c r="N17" s="5">
        <v>2.8719999999999999</v>
      </c>
      <c r="O17" s="5">
        <v>0.32984999999999998</v>
      </c>
      <c r="P17" s="5">
        <v>0.34750999999999999</v>
      </c>
      <c r="Q17" s="5">
        <v>34.924999999999997</v>
      </c>
      <c r="R17" s="5">
        <v>3</v>
      </c>
      <c r="S17" s="5">
        <v>2.8759999999999999</v>
      </c>
      <c r="T17" s="5">
        <v>0.30657000000000001</v>
      </c>
      <c r="U17" s="5">
        <v>0.32102999999999998</v>
      </c>
      <c r="V17" s="5">
        <v>33.762</v>
      </c>
      <c r="W17" s="22">
        <f t="shared" si="1"/>
        <v>-2.5799999999999823E-2</v>
      </c>
      <c r="X17" s="21">
        <f t="shared" si="2"/>
        <v>-1.4899999999999913E-3</v>
      </c>
      <c r="Y17" s="21">
        <f t="shared" si="3"/>
        <v>1.2799999999996148E-4</v>
      </c>
      <c r="Z17" s="11">
        <f t="shared" si="4"/>
        <v>3.6441981354105035E-3</v>
      </c>
      <c r="AA17" s="22">
        <f t="shared" si="5"/>
        <v>-6.4400000000000013E-3</v>
      </c>
      <c r="AB17" s="21">
        <f t="shared" si="6"/>
        <v>-1.0512000000000021E-2</v>
      </c>
      <c r="AC17" s="21">
        <f t="shared" si="7"/>
        <v>-8.2960000000000256E-3</v>
      </c>
      <c r="AD17" s="11">
        <f t="shared" si="8"/>
        <v>6.9916341724234332E-3</v>
      </c>
      <c r="AE17" s="22">
        <f t="shared" si="9"/>
        <v>1.1999999999989797E-4</v>
      </c>
      <c r="AF17" s="21">
        <f t="shared" si="10"/>
        <v>-3.4519999999999995E-2</v>
      </c>
      <c r="AG17" s="21">
        <f t="shared" si="11"/>
        <v>-3.2031000000000032E-2</v>
      </c>
      <c r="AH17" s="11">
        <f t="shared" si="12"/>
        <v>-2.1878548602759618E-2</v>
      </c>
      <c r="AI17">
        <v>2.5000000000000001E-2</v>
      </c>
      <c r="AJ17">
        <v>-2.5000000000000001E-2</v>
      </c>
      <c r="AK17">
        <v>1.5E-3</v>
      </c>
      <c r="AL17">
        <v>-1.5E-3</v>
      </c>
      <c r="AM17">
        <v>1.5E-3</v>
      </c>
      <c r="AN17">
        <v>-1.5E-3</v>
      </c>
      <c r="AO17" s="16">
        <v>2.5000000000000001E-2</v>
      </c>
      <c r="AP17" s="16">
        <v>-2.5000000000000001E-2</v>
      </c>
      <c r="AQ17">
        <v>1.4999999999999999E-2</v>
      </c>
      <c r="AR17">
        <v>-1.4999999999999999E-2</v>
      </c>
      <c r="AS17">
        <v>1E-3</v>
      </c>
      <c r="AT17">
        <v>-1E-3</v>
      </c>
      <c r="AU17">
        <v>1E-3</v>
      </c>
      <c r="AV17">
        <v>-1E-3</v>
      </c>
      <c r="AW17" s="16">
        <v>1.4999999999999999E-2</v>
      </c>
      <c r="AX17" s="16">
        <v>-1.4999999999999999E-2</v>
      </c>
    </row>
    <row r="18" spans="1:279" customFormat="1">
      <c r="A18" s="2">
        <v>13</v>
      </c>
      <c r="B18" s="2">
        <v>2.8843000000000001</v>
      </c>
      <c r="C18" s="2">
        <v>0.32940000000000003</v>
      </c>
      <c r="D18" s="2">
        <v>0.34807500000000002</v>
      </c>
      <c r="E18" s="2">
        <v>34.53246231</v>
      </c>
      <c r="F18" s="17" t="str">
        <f t="shared" si="0"/>
        <v/>
      </c>
      <c r="G18" s="9"/>
      <c r="H18" s="25">
        <v>1</v>
      </c>
      <c r="I18" s="5"/>
      <c r="J18" s="5"/>
      <c r="K18" s="5"/>
      <c r="L18" s="5"/>
      <c r="M18" s="5">
        <v>2</v>
      </c>
      <c r="N18" s="5"/>
      <c r="O18" s="5"/>
      <c r="P18" s="5"/>
      <c r="Q18" s="5"/>
      <c r="R18" s="5">
        <v>3</v>
      </c>
      <c r="S18" s="5"/>
      <c r="T18" s="5"/>
      <c r="U18" s="5"/>
      <c r="V18" s="5"/>
      <c r="W18" s="22">
        <f t="shared" si="1"/>
        <v>-2.8967999999999998</v>
      </c>
      <c r="X18" s="21">
        <f t="shared" si="2"/>
        <v>-0.34178999999999998</v>
      </c>
      <c r="Y18" s="21">
        <f t="shared" si="3"/>
        <v>-0.35648200000000002</v>
      </c>
      <c r="Z18" s="11">
        <f t="shared" si="4"/>
        <v>-1</v>
      </c>
      <c r="AA18" s="22">
        <f t="shared" si="5"/>
        <v>-2.8784399999999999</v>
      </c>
      <c r="AB18" s="21">
        <f t="shared" si="6"/>
        <v>-0.340362</v>
      </c>
      <c r="AC18" s="21">
        <f t="shared" si="7"/>
        <v>-0.35580600000000001</v>
      </c>
      <c r="AD18" s="11">
        <f t="shared" si="8"/>
        <v>-1</v>
      </c>
      <c r="AE18" s="22">
        <f t="shared" si="9"/>
        <v>-2.87588</v>
      </c>
      <c r="AF18" s="21">
        <f t="shared" si="10"/>
        <v>-0.34109</v>
      </c>
      <c r="AG18" s="21">
        <f t="shared" si="11"/>
        <v>-0.35306100000000001</v>
      </c>
      <c r="AH18" s="11">
        <f t="shared" si="12"/>
        <v>-1</v>
      </c>
      <c r="AI18">
        <v>2.5000000000000001E-2</v>
      </c>
      <c r="AJ18">
        <v>-2.5000000000000001E-2</v>
      </c>
      <c r="AK18">
        <v>1.5E-3</v>
      </c>
      <c r="AL18">
        <v>-1.5E-3</v>
      </c>
      <c r="AM18">
        <v>1.5E-3</v>
      </c>
      <c r="AN18">
        <v>-1.5E-3</v>
      </c>
      <c r="AO18" s="16">
        <v>2.5000000000000001E-2</v>
      </c>
      <c r="AP18" s="16">
        <v>-2.5000000000000001E-2</v>
      </c>
      <c r="AQ18">
        <v>1.4999999999999999E-2</v>
      </c>
      <c r="AR18">
        <v>-1.4999999999999999E-2</v>
      </c>
      <c r="AS18">
        <v>1E-3</v>
      </c>
      <c r="AT18">
        <v>-1E-3</v>
      </c>
      <c r="AU18">
        <v>1E-3</v>
      </c>
      <c r="AV18">
        <v>-1E-3</v>
      </c>
      <c r="AW18" s="16">
        <v>1.4999999999999999E-2</v>
      </c>
      <c r="AX18" s="16">
        <v>-1.4999999999999999E-2</v>
      </c>
      <c r="JQ18">
        <v>24.187306501547987</v>
      </c>
      <c r="JR18">
        <v>27.64263600176913</v>
      </c>
      <c r="JS18">
        <v>24.187306501547987</v>
      </c>
    </row>
    <row r="19" spans="1:279" customFormat="1">
      <c r="A19" s="2">
        <v>14</v>
      </c>
      <c r="B19" s="2">
        <v>2.8690699999999998</v>
      </c>
      <c r="C19" s="2">
        <v>0.32899499999999998</v>
      </c>
      <c r="D19" s="2">
        <v>0.34807900000000003</v>
      </c>
      <c r="E19" s="2">
        <v>34.65226131</v>
      </c>
      <c r="F19" s="17" t="str">
        <f t="shared" si="0"/>
        <v/>
      </c>
      <c r="G19" s="9"/>
      <c r="H19" s="25">
        <v>1</v>
      </c>
      <c r="I19" s="5"/>
      <c r="J19" s="5"/>
      <c r="K19" s="5"/>
      <c r="L19" s="5"/>
      <c r="M19" s="5">
        <v>2</v>
      </c>
      <c r="N19" s="5"/>
      <c r="O19" s="5"/>
      <c r="P19" s="5"/>
      <c r="Q19" s="5"/>
      <c r="R19" s="5">
        <v>3</v>
      </c>
      <c r="S19" s="5"/>
      <c r="T19" s="5"/>
      <c r="U19" s="5"/>
      <c r="V19" s="5"/>
      <c r="W19" s="22">
        <f t="shared" si="1"/>
        <v>-2.8967999999999998</v>
      </c>
      <c r="X19" s="21">
        <f t="shared" si="2"/>
        <v>-0.34178999999999998</v>
      </c>
      <c r="Y19" s="21">
        <f t="shared" si="3"/>
        <v>-0.35648200000000002</v>
      </c>
      <c r="Z19" s="11">
        <f t="shared" si="4"/>
        <v>-1</v>
      </c>
      <c r="AA19" s="22">
        <f t="shared" si="5"/>
        <v>-2.8784399999999999</v>
      </c>
      <c r="AB19" s="21">
        <f t="shared" si="6"/>
        <v>-0.340362</v>
      </c>
      <c r="AC19" s="21">
        <f t="shared" si="7"/>
        <v>-0.35580600000000001</v>
      </c>
      <c r="AD19" s="11">
        <f t="shared" si="8"/>
        <v>-1</v>
      </c>
      <c r="AE19" s="22">
        <f t="shared" si="9"/>
        <v>-2.87588</v>
      </c>
      <c r="AF19" s="21">
        <f t="shared" si="10"/>
        <v>-0.34109</v>
      </c>
      <c r="AG19" s="21">
        <f t="shared" si="11"/>
        <v>-0.35306100000000001</v>
      </c>
      <c r="AH19" s="11">
        <f t="shared" si="12"/>
        <v>-1</v>
      </c>
      <c r="AI19">
        <v>2.5000000000000001E-2</v>
      </c>
      <c r="AJ19">
        <v>-2.5000000000000001E-2</v>
      </c>
      <c r="AK19">
        <v>1.5E-3</v>
      </c>
      <c r="AL19">
        <v>-1.5E-3</v>
      </c>
      <c r="AM19">
        <v>1.5E-3</v>
      </c>
      <c r="AN19">
        <v>-1.5E-3</v>
      </c>
      <c r="AO19" s="16">
        <v>2.5000000000000001E-2</v>
      </c>
      <c r="AP19" s="16">
        <v>-2.5000000000000001E-2</v>
      </c>
      <c r="AQ19">
        <v>1.4999999999999999E-2</v>
      </c>
      <c r="AR19">
        <v>-1.4999999999999999E-2</v>
      </c>
      <c r="AS19">
        <v>1E-3</v>
      </c>
      <c r="AT19">
        <v>-1E-3</v>
      </c>
      <c r="AU19">
        <v>1E-3</v>
      </c>
      <c r="AV19">
        <v>-1E-3</v>
      </c>
      <c r="AW19" s="16">
        <v>1.4999999999999999E-2</v>
      </c>
      <c r="AX19" s="16">
        <v>-1.4999999999999999E-2</v>
      </c>
    </row>
    <row r="20" spans="1:279" customFormat="1">
      <c r="A20" s="2">
        <v>15</v>
      </c>
      <c r="B20" s="2">
        <v>2.8932899999999999</v>
      </c>
      <c r="C20" s="2">
        <v>0.32926499999999997</v>
      </c>
      <c r="D20" s="2">
        <v>0.348244</v>
      </c>
      <c r="E20" s="2">
        <v>34.617788939999997</v>
      </c>
      <c r="F20" s="17" t="str">
        <f t="shared" si="0"/>
        <v/>
      </c>
      <c r="G20" s="9"/>
      <c r="H20" s="25">
        <v>1</v>
      </c>
      <c r="I20" s="5"/>
      <c r="J20" s="5"/>
      <c r="K20" s="5"/>
      <c r="L20" s="5"/>
      <c r="M20" s="5">
        <v>2</v>
      </c>
      <c r="N20" s="5"/>
      <c r="O20" s="5"/>
      <c r="P20" s="5"/>
      <c r="Q20" s="5"/>
      <c r="R20" s="5">
        <v>3</v>
      </c>
      <c r="S20" s="5"/>
      <c r="T20" s="5"/>
      <c r="U20" s="5"/>
      <c r="V20" s="5"/>
      <c r="W20" s="22">
        <f t="shared" si="1"/>
        <v>-2.8967999999999998</v>
      </c>
      <c r="X20" s="21">
        <f t="shared" si="2"/>
        <v>-0.34178999999999998</v>
      </c>
      <c r="Y20" s="21">
        <f t="shared" si="3"/>
        <v>-0.35648200000000002</v>
      </c>
      <c r="Z20" s="11">
        <f t="shared" si="4"/>
        <v>-1</v>
      </c>
      <c r="AA20" s="22">
        <f t="shared" si="5"/>
        <v>-2.8784399999999999</v>
      </c>
      <c r="AB20" s="21">
        <f t="shared" si="6"/>
        <v>-0.340362</v>
      </c>
      <c r="AC20" s="21">
        <f t="shared" si="7"/>
        <v>-0.35580600000000001</v>
      </c>
      <c r="AD20" s="11">
        <f t="shared" si="8"/>
        <v>-1</v>
      </c>
      <c r="AE20" s="22">
        <f t="shared" si="9"/>
        <v>-2.87588</v>
      </c>
      <c r="AF20" s="21">
        <f t="shared" si="10"/>
        <v>-0.34109</v>
      </c>
      <c r="AG20" s="21">
        <f t="shared" si="11"/>
        <v>-0.35306100000000001</v>
      </c>
      <c r="AH20" s="11">
        <f t="shared" si="12"/>
        <v>-1</v>
      </c>
      <c r="AI20">
        <v>2.5000000000000001E-2</v>
      </c>
      <c r="AJ20">
        <v>-2.5000000000000001E-2</v>
      </c>
      <c r="AK20">
        <v>1.5E-3</v>
      </c>
      <c r="AL20">
        <v>-1.5E-3</v>
      </c>
      <c r="AM20">
        <v>1.5E-3</v>
      </c>
      <c r="AN20">
        <v>-1.5E-3</v>
      </c>
      <c r="AO20" s="16">
        <v>2.5000000000000001E-2</v>
      </c>
      <c r="AP20" s="16">
        <v>-2.5000000000000001E-2</v>
      </c>
      <c r="AQ20">
        <v>1.4999999999999999E-2</v>
      </c>
      <c r="AR20">
        <v>-1.4999999999999999E-2</v>
      </c>
      <c r="AS20">
        <v>1E-3</v>
      </c>
      <c r="AT20">
        <v>-1E-3</v>
      </c>
      <c r="AU20">
        <v>1E-3</v>
      </c>
      <c r="AV20">
        <v>-1E-3</v>
      </c>
      <c r="AW20" s="16">
        <v>1.4999999999999999E-2</v>
      </c>
      <c r="AX20" s="16">
        <v>-1.4999999999999999E-2</v>
      </c>
      <c r="JP20">
        <v>27.64263600176913</v>
      </c>
      <c r="JQ20">
        <v>26.386152547143258</v>
      </c>
    </row>
    <row r="21" spans="1:279" customFormat="1">
      <c r="A21" s="2">
        <v>16</v>
      </c>
      <c r="B21" s="2">
        <v>2.89093</v>
      </c>
      <c r="C21" s="2">
        <v>0.40092499999999998</v>
      </c>
      <c r="D21" s="2">
        <v>0.38802900000000001</v>
      </c>
      <c r="E21" s="2">
        <v>32.54351759</v>
      </c>
      <c r="F21" s="17" t="str">
        <f t="shared" si="0"/>
        <v/>
      </c>
      <c r="G21" s="9"/>
      <c r="H21" s="25">
        <v>1</v>
      </c>
      <c r="I21" s="5"/>
      <c r="J21" s="5"/>
      <c r="K21" s="5"/>
      <c r="L21" s="5"/>
      <c r="M21" s="5">
        <v>2</v>
      </c>
      <c r="N21" s="5"/>
      <c r="O21" s="5"/>
      <c r="P21" s="5"/>
      <c r="Q21" s="5"/>
      <c r="R21" s="5">
        <v>3</v>
      </c>
      <c r="S21" s="5"/>
      <c r="T21" s="5"/>
      <c r="U21" s="5"/>
      <c r="V21" s="5"/>
      <c r="W21" s="22">
        <f t="shared" si="1"/>
        <v>-2.8967999999999998</v>
      </c>
      <c r="X21" s="21">
        <f t="shared" si="2"/>
        <v>-0.34178999999999998</v>
      </c>
      <c r="Y21" s="21">
        <f t="shared" si="3"/>
        <v>-0.35648200000000002</v>
      </c>
      <c r="Z21" s="11">
        <f t="shared" si="4"/>
        <v>-1</v>
      </c>
      <c r="AA21" s="22">
        <f t="shared" si="5"/>
        <v>-2.8784399999999999</v>
      </c>
      <c r="AB21" s="21">
        <f t="shared" si="6"/>
        <v>-0.340362</v>
      </c>
      <c r="AC21" s="21">
        <f t="shared" si="7"/>
        <v>-0.35580600000000001</v>
      </c>
      <c r="AD21" s="11">
        <f t="shared" si="8"/>
        <v>-1</v>
      </c>
      <c r="AE21" s="22">
        <f t="shared" si="9"/>
        <v>-2.87588</v>
      </c>
      <c r="AF21" s="21">
        <f t="shared" si="10"/>
        <v>-0.34109</v>
      </c>
      <c r="AG21" s="21">
        <f t="shared" si="11"/>
        <v>-0.35306100000000001</v>
      </c>
      <c r="AH21" s="11">
        <f t="shared" si="12"/>
        <v>-1</v>
      </c>
      <c r="AI21">
        <v>2.5000000000000001E-2</v>
      </c>
      <c r="AJ21">
        <v>-2.5000000000000001E-2</v>
      </c>
      <c r="AK21">
        <v>1.5E-3</v>
      </c>
      <c r="AL21">
        <v>-1.5E-3</v>
      </c>
      <c r="AM21">
        <v>1.5E-3</v>
      </c>
      <c r="AN21">
        <v>-1.5E-3</v>
      </c>
      <c r="AO21" s="16">
        <v>2.5000000000000001E-2</v>
      </c>
      <c r="AP21" s="16">
        <v>-2.5000000000000001E-2</v>
      </c>
      <c r="AQ21">
        <v>1.4999999999999999E-2</v>
      </c>
      <c r="AR21">
        <v>-1.4999999999999999E-2</v>
      </c>
      <c r="AS21">
        <v>1E-3</v>
      </c>
      <c r="AT21">
        <v>-1E-3</v>
      </c>
      <c r="AU21">
        <v>1E-3</v>
      </c>
      <c r="AV21">
        <v>-1E-3</v>
      </c>
      <c r="AW21" s="16">
        <v>1.4999999999999999E-2</v>
      </c>
      <c r="AX21" s="16">
        <v>-1.4999999999999999E-2</v>
      </c>
      <c r="JP21">
        <v>28.935185185185187</v>
      </c>
      <c r="JQ21">
        <v>28.935185185185187</v>
      </c>
    </row>
    <row r="22" spans="1:279" customFormat="1">
      <c r="A22" s="2">
        <v>17</v>
      </c>
      <c r="B22" s="2">
        <v>2.9087200000000002</v>
      </c>
      <c r="C22" s="2">
        <v>0.40114300000000003</v>
      </c>
      <c r="D22" s="2">
        <v>0.38741399999999998</v>
      </c>
      <c r="E22" s="2">
        <v>32.602613069999997</v>
      </c>
      <c r="F22" s="17" t="str">
        <f t="shared" si="0"/>
        <v/>
      </c>
      <c r="G22" s="9"/>
      <c r="H22" s="25">
        <v>1</v>
      </c>
      <c r="I22" s="5"/>
      <c r="J22" s="5"/>
      <c r="K22" s="5"/>
      <c r="L22" s="5"/>
      <c r="M22" s="5">
        <v>2</v>
      </c>
      <c r="N22" s="5"/>
      <c r="O22" s="5"/>
      <c r="P22" s="5"/>
      <c r="Q22" s="5"/>
      <c r="R22" s="5">
        <v>3</v>
      </c>
      <c r="S22" s="5"/>
      <c r="T22" s="5"/>
      <c r="U22" s="5"/>
      <c r="V22" s="5"/>
      <c r="W22" s="22">
        <f t="shared" si="1"/>
        <v>-2.8967999999999998</v>
      </c>
      <c r="X22" s="21">
        <f t="shared" si="2"/>
        <v>-0.34178999999999998</v>
      </c>
      <c r="Y22" s="21">
        <f t="shared" si="3"/>
        <v>-0.35648200000000002</v>
      </c>
      <c r="Z22" s="11">
        <f t="shared" si="4"/>
        <v>-1</v>
      </c>
      <c r="AA22" s="22">
        <f t="shared" si="5"/>
        <v>-2.8784399999999999</v>
      </c>
      <c r="AB22" s="21">
        <f t="shared" si="6"/>
        <v>-0.340362</v>
      </c>
      <c r="AC22" s="21">
        <f t="shared" si="7"/>
        <v>-0.35580600000000001</v>
      </c>
      <c r="AD22" s="11">
        <f t="shared" si="8"/>
        <v>-1</v>
      </c>
      <c r="AE22" s="22">
        <f t="shared" si="9"/>
        <v>-2.87588</v>
      </c>
      <c r="AF22" s="21">
        <f t="shared" si="10"/>
        <v>-0.34109</v>
      </c>
      <c r="AG22" s="21">
        <f t="shared" si="11"/>
        <v>-0.35306100000000001</v>
      </c>
      <c r="AH22" s="11">
        <f t="shared" si="12"/>
        <v>-1</v>
      </c>
      <c r="AI22">
        <v>2.5000000000000001E-2</v>
      </c>
      <c r="AJ22">
        <v>-2.5000000000000001E-2</v>
      </c>
      <c r="AK22">
        <v>1.5E-3</v>
      </c>
      <c r="AL22">
        <v>-1.5E-3</v>
      </c>
      <c r="AM22">
        <v>1.5E-3</v>
      </c>
      <c r="AN22">
        <v>-1.5E-3</v>
      </c>
      <c r="AO22" s="16">
        <v>2.5000000000000001E-2</v>
      </c>
      <c r="AP22" s="16">
        <v>-2.5000000000000001E-2</v>
      </c>
      <c r="AQ22">
        <v>1.4999999999999999E-2</v>
      </c>
      <c r="AR22">
        <v>-1.4999999999999999E-2</v>
      </c>
      <c r="AS22">
        <v>1E-3</v>
      </c>
      <c r="AT22">
        <v>-1E-3</v>
      </c>
      <c r="AU22">
        <v>1E-3</v>
      </c>
      <c r="AV22">
        <v>-1E-3</v>
      </c>
      <c r="AW22" s="16">
        <v>1.4999999999999999E-2</v>
      </c>
      <c r="AX22" s="16">
        <v>-1.4999999999999999E-2</v>
      </c>
    </row>
    <row r="23" spans="1:279" customFormat="1">
      <c r="A23" s="2">
        <v>18</v>
      </c>
      <c r="B23" s="2">
        <v>2.88374</v>
      </c>
      <c r="C23" s="2">
        <v>0.40149299999999999</v>
      </c>
      <c r="D23" s="2">
        <v>0.38742399999999999</v>
      </c>
      <c r="E23" s="2">
        <v>32.580502510000002</v>
      </c>
      <c r="F23" s="17" t="str">
        <f t="shared" si="0"/>
        <v/>
      </c>
      <c r="G23" s="9"/>
      <c r="H23" s="25">
        <v>1</v>
      </c>
      <c r="I23" s="5"/>
      <c r="J23" s="5"/>
      <c r="K23" s="5"/>
      <c r="L23" s="5"/>
      <c r="M23" s="5">
        <v>2</v>
      </c>
      <c r="N23" s="5"/>
      <c r="O23" s="5"/>
      <c r="P23" s="5"/>
      <c r="Q23" s="5"/>
      <c r="R23" s="5">
        <v>3</v>
      </c>
      <c r="S23" s="5"/>
      <c r="T23" s="5"/>
      <c r="U23" s="5"/>
      <c r="V23" s="5"/>
      <c r="W23" s="22">
        <f t="shared" si="1"/>
        <v>-2.8967999999999998</v>
      </c>
      <c r="X23" s="21">
        <f t="shared" si="2"/>
        <v>-0.34178999999999998</v>
      </c>
      <c r="Y23" s="21">
        <f t="shared" si="3"/>
        <v>-0.35648200000000002</v>
      </c>
      <c r="Z23" s="11">
        <f t="shared" si="4"/>
        <v>-1</v>
      </c>
      <c r="AA23" s="22">
        <f t="shared" si="5"/>
        <v>-2.8784399999999999</v>
      </c>
      <c r="AB23" s="21">
        <f t="shared" si="6"/>
        <v>-0.340362</v>
      </c>
      <c r="AC23" s="21">
        <f t="shared" si="7"/>
        <v>-0.35580600000000001</v>
      </c>
      <c r="AD23" s="11">
        <f t="shared" si="8"/>
        <v>-1</v>
      </c>
      <c r="AE23" s="22">
        <f t="shared" si="9"/>
        <v>-2.87588</v>
      </c>
      <c r="AF23" s="21">
        <f t="shared" si="10"/>
        <v>-0.34109</v>
      </c>
      <c r="AG23" s="21">
        <f t="shared" si="11"/>
        <v>-0.35306100000000001</v>
      </c>
      <c r="AH23" s="11">
        <f t="shared" si="12"/>
        <v>-1</v>
      </c>
      <c r="AI23">
        <v>2.5000000000000001E-2</v>
      </c>
      <c r="AJ23">
        <v>-2.5000000000000001E-2</v>
      </c>
      <c r="AK23">
        <v>1.5E-3</v>
      </c>
      <c r="AL23">
        <v>-1.5E-3</v>
      </c>
      <c r="AM23">
        <v>1.5E-3</v>
      </c>
      <c r="AN23">
        <v>-1.5E-3</v>
      </c>
      <c r="AO23" s="16">
        <v>2.5000000000000001E-2</v>
      </c>
      <c r="AP23" s="16">
        <v>-2.5000000000000001E-2</v>
      </c>
      <c r="AQ23">
        <v>1.4999999999999999E-2</v>
      </c>
      <c r="AR23">
        <v>-1.4999999999999999E-2</v>
      </c>
      <c r="AS23">
        <v>1E-3</v>
      </c>
      <c r="AT23">
        <v>-1E-3</v>
      </c>
      <c r="AU23">
        <v>1E-3</v>
      </c>
      <c r="AV23">
        <v>-1E-3</v>
      </c>
      <c r="AW23" s="16">
        <v>1.4999999999999999E-2</v>
      </c>
      <c r="AX23" s="16">
        <v>-1.4999999999999999E-2</v>
      </c>
    </row>
    <row r="24" spans="1:279" customFormat="1">
      <c r="A24" s="2">
        <v>19</v>
      </c>
      <c r="B24" s="2">
        <v>2.88374</v>
      </c>
      <c r="C24" s="2">
        <v>0.400754</v>
      </c>
      <c r="D24" s="2">
        <v>0.386683</v>
      </c>
      <c r="E24" s="2">
        <v>32.661206030000002</v>
      </c>
      <c r="F24" s="17" t="str">
        <f t="shared" si="0"/>
        <v/>
      </c>
      <c r="G24" s="9"/>
      <c r="H24" s="25">
        <v>1</v>
      </c>
      <c r="I24" s="5"/>
      <c r="J24" s="5"/>
      <c r="K24" s="5"/>
      <c r="L24" s="5"/>
      <c r="M24" s="5">
        <v>2</v>
      </c>
      <c r="N24" s="5"/>
      <c r="O24" s="5"/>
      <c r="P24" s="5"/>
      <c r="Q24" s="5"/>
      <c r="R24" s="5">
        <v>3</v>
      </c>
      <c r="S24" s="5"/>
      <c r="T24" s="5"/>
      <c r="U24" s="5"/>
      <c r="V24" s="5"/>
      <c r="W24" s="22">
        <f t="shared" si="1"/>
        <v>-2.8967999999999998</v>
      </c>
      <c r="X24" s="21">
        <f t="shared" si="2"/>
        <v>-0.34178999999999998</v>
      </c>
      <c r="Y24" s="21">
        <f t="shared" si="3"/>
        <v>-0.35648200000000002</v>
      </c>
      <c r="Z24" s="11">
        <f t="shared" si="4"/>
        <v>-1</v>
      </c>
      <c r="AA24" s="22">
        <f t="shared" si="5"/>
        <v>-2.8784399999999999</v>
      </c>
      <c r="AB24" s="21">
        <f t="shared" si="6"/>
        <v>-0.340362</v>
      </c>
      <c r="AC24" s="21">
        <f t="shared" si="7"/>
        <v>-0.35580600000000001</v>
      </c>
      <c r="AD24" s="11">
        <f t="shared" si="8"/>
        <v>-1</v>
      </c>
      <c r="AE24" s="22">
        <f t="shared" si="9"/>
        <v>-2.87588</v>
      </c>
      <c r="AF24" s="21">
        <f t="shared" si="10"/>
        <v>-0.34109</v>
      </c>
      <c r="AG24" s="21">
        <f t="shared" si="11"/>
        <v>-0.35306100000000001</v>
      </c>
      <c r="AH24" s="11">
        <f t="shared" si="12"/>
        <v>-1</v>
      </c>
      <c r="AI24">
        <v>2.5000000000000001E-2</v>
      </c>
      <c r="AJ24">
        <v>-2.5000000000000001E-2</v>
      </c>
      <c r="AK24">
        <v>1.5E-3</v>
      </c>
      <c r="AL24">
        <v>-1.5E-3</v>
      </c>
      <c r="AM24">
        <v>1.5E-3</v>
      </c>
      <c r="AN24">
        <v>-1.5E-3</v>
      </c>
      <c r="AO24" s="16">
        <v>2.5000000000000001E-2</v>
      </c>
      <c r="AP24" s="16">
        <v>-2.5000000000000001E-2</v>
      </c>
      <c r="AQ24">
        <v>1.4999999999999999E-2</v>
      </c>
      <c r="AR24">
        <v>-1.4999999999999999E-2</v>
      </c>
      <c r="AS24">
        <v>1E-3</v>
      </c>
      <c r="AT24">
        <v>-1E-3</v>
      </c>
      <c r="AU24">
        <v>1E-3</v>
      </c>
      <c r="AV24">
        <v>-1E-3</v>
      </c>
      <c r="AW24" s="16">
        <v>1.4999999999999999E-2</v>
      </c>
      <c r="AX24" s="16">
        <v>-1.4999999999999999E-2</v>
      </c>
    </row>
    <row r="25" spans="1:279" customFormat="1">
      <c r="A25" s="2">
        <v>20</v>
      </c>
      <c r="B25" s="2">
        <v>2.9069199999999999</v>
      </c>
      <c r="C25" s="2">
        <v>0.40185799999999999</v>
      </c>
      <c r="D25" s="2">
        <v>0.38900200000000001</v>
      </c>
      <c r="E25" s="2">
        <v>32.455879400000001</v>
      </c>
      <c r="F25" s="17" t="str">
        <f t="shared" si="0"/>
        <v/>
      </c>
      <c r="G25" s="9"/>
      <c r="H25" s="25">
        <v>1</v>
      </c>
      <c r="I25" s="5"/>
      <c r="J25" s="5"/>
      <c r="K25" s="5"/>
      <c r="L25" s="5"/>
      <c r="M25" s="5">
        <v>2</v>
      </c>
      <c r="N25" s="5"/>
      <c r="O25" s="5"/>
      <c r="P25" s="5"/>
      <c r="Q25" s="5"/>
      <c r="R25" s="5">
        <v>3</v>
      </c>
      <c r="S25" s="5"/>
      <c r="T25" s="5"/>
      <c r="U25" s="5"/>
      <c r="V25" s="5"/>
      <c r="W25" s="22">
        <f t="shared" si="1"/>
        <v>-2.8967999999999998</v>
      </c>
      <c r="X25" s="21">
        <f t="shared" si="2"/>
        <v>-0.34178999999999998</v>
      </c>
      <c r="Y25" s="21">
        <f t="shared" si="3"/>
        <v>-0.35648200000000002</v>
      </c>
      <c r="Z25" s="11">
        <f t="shared" si="4"/>
        <v>-1</v>
      </c>
      <c r="AA25" s="22">
        <f t="shared" si="5"/>
        <v>-2.8784399999999999</v>
      </c>
      <c r="AB25" s="21">
        <f t="shared" si="6"/>
        <v>-0.340362</v>
      </c>
      <c r="AC25" s="21">
        <f t="shared" si="7"/>
        <v>-0.35580600000000001</v>
      </c>
      <c r="AD25" s="11">
        <f t="shared" si="8"/>
        <v>-1</v>
      </c>
      <c r="AE25" s="22">
        <f t="shared" si="9"/>
        <v>-2.87588</v>
      </c>
      <c r="AF25" s="21">
        <f t="shared" si="10"/>
        <v>-0.34109</v>
      </c>
      <c r="AG25" s="21">
        <f t="shared" si="11"/>
        <v>-0.35306100000000001</v>
      </c>
      <c r="AH25" s="11">
        <f t="shared" si="12"/>
        <v>-1</v>
      </c>
      <c r="AI25">
        <v>2.5000000000000001E-2</v>
      </c>
      <c r="AJ25">
        <v>-2.5000000000000001E-2</v>
      </c>
      <c r="AK25">
        <v>1.5E-3</v>
      </c>
      <c r="AL25">
        <v>-1.5E-3</v>
      </c>
      <c r="AM25">
        <v>1.5E-3</v>
      </c>
      <c r="AN25">
        <v>-1.5E-3</v>
      </c>
      <c r="AO25" s="16">
        <v>2.5000000000000001E-2</v>
      </c>
      <c r="AP25" s="16">
        <v>-2.5000000000000001E-2</v>
      </c>
      <c r="AQ25">
        <v>1.4999999999999999E-2</v>
      </c>
      <c r="AR25">
        <v>-1.4999999999999999E-2</v>
      </c>
      <c r="AS25">
        <v>1E-3</v>
      </c>
      <c r="AT25">
        <v>-1E-3</v>
      </c>
      <c r="AU25">
        <v>1E-3</v>
      </c>
      <c r="AV25">
        <v>-1E-3</v>
      </c>
      <c r="AW25" s="16">
        <v>1.4999999999999999E-2</v>
      </c>
      <c r="AX25" s="16">
        <v>-1.4999999999999999E-2</v>
      </c>
    </row>
    <row r="26" spans="1:279" customFormat="1">
      <c r="A26" s="2">
        <v>21</v>
      </c>
      <c r="B26" s="2">
        <v>2.8657599999999999</v>
      </c>
      <c r="C26" s="2">
        <v>0.30765900000000002</v>
      </c>
      <c r="D26" s="2">
        <v>0.32324000000000003</v>
      </c>
      <c r="E26" s="2">
        <v>33.229246230000001</v>
      </c>
      <c r="F26" s="17" t="str">
        <f t="shared" si="0"/>
        <v/>
      </c>
      <c r="G26" s="9"/>
      <c r="H26" s="25">
        <v>1</v>
      </c>
      <c r="I26" s="5"/>
      <c r="J26" s="5"/>
      <c r="K26" s="5"/>
      <c r="L26" s="5"/>
      <c r="M26" s="5">
        <v>2</v>
      </c>
      <c r="N26" s="5"/>
      <c r="O26" s="5"/>
      <c r="P26" s="5"/>
      <c r="Q26" s="5"/>
      <c r="R26" s="5">
        <v>3</v>
      </c>
      <c r="S26" s="5"/>
      <c r="T26" s="5"/>
      <c r="U26" s="5"/>
      <c r="V26" s="5"/>
      <c r="W26" s="22">
        <f t="shared" si="1"/>
        <v>-2.8967999999999998</v>
      </c>
      <c r="X26" s="21">
        <f t="shared" si="2"/>
        <v>-0.34178999999999998</v>
      </c>
      <c r="Y26" s="21">
        <f t="shared" si="3"/>
        <v>-0.35648200000000002</v>
      </c>
      <c r="Z26" s="11">
        <f t="shared" si="4"/>
        <v>-1</v>
      </c>
      <c r="AA26" s="22">
        <f t="shared" si="5"/>
        <v>-2.8784399999999999</v>
      </c>
      <c r="AB26" s="21">
        <f t="shared" si="6"/>
        <v>-0.340362</v>
      </c>
      <c r="AC26" s="21">
        <f t="shared" si="7"/>
        <v>-0.35580600000000001</v>
      </c>
      <c r="AD26" s="11">
        <f t="shared" si="8"/>
        <v>-1</v>
      </c>
      <c r="AE26" s="22">
        <f t="shared" si="9"/>
        <v>-2.87588</v>
      </c>
      <c r="AF26" s="21">
        <f t="shared" si="10"/>
        <v>-0.34109</v>
      </c>
      <c r="AG26" s="21">
        <f t="shared" si="11"/>
        <v>-0.35306100000000001</v>
      </c>
      <c r="AH26" s="11">
        <f t="shared" si="12"/>
        <v>-1</v>
      </c>
      <c r="AI26">
        <v>2.5000000000000001E-2</v>
      </c>
      <c r="AJ26">
        <v>-2.5000000000000001E-2</v>
      </c>
      <c r="AK26">
        <v>1.5E-3</v>
      </c>
      <c r="AL26">
        <v>-1.5E-3</v>
      </c>
      <c r="AM26">
        <v>1.5E-3</v>
      </c>
      <c r="AN26">
        <v>-1.5E-3</v>
      </c>
      <c r="AO26" s="16">
        <v>2.5000000000000001E-2</v>
      </c>
      <c r="AP26" s="16">
        <v>-2.5000000000000001E-2</v>
      </c>
      <c r="AQ26">
        <v>1.4999999999999999E-2</v>
      </c>
      <c r="AR26">
        <v>-1.4999999999999999E-2</v>
      </c>
      <c r="AS26">
        <v>1E-3</v>
      </c>
      <c r="AT26">
        <v>-1E-3</v>
      </c>
      <c r="AU26">
        <v>1E-3</v>
      </c>
      <c r="AV26">
        <v>-1E-3</v>
      </c>
      <c r="AW26" s="16">
        <v>1.4999999999999999E-2</v>
      </c>
      <c r="AX26" s="16">
        <v>-1.4999999999999999E-2</v>
      </c>
    </row>
    <row r="27" spans="1:279" customFormat="1">
      <c r="A27" s="2">
        <v>22</v>
      </c>
      <c r="B27" s="2">
        <v>2.8786200000000002</v>
      </c>
      <c r="C27" s="2">
        <v>0.30756800000000001</v>
      </c>
      <c r="D27" s="2">
        <v>0.321357</v>
      </c>
      <c r="E27" s="2">
        <v>33.161005029999998</v>
      </c>
      <c r="F27" s="17" t="str">
        <f t="shared" si="0"/>
        <v/>
      </c>
      <c r="G27" s="9"/>
      <c r="H27" s="25">
        <v>1</v>
      </c>
      <c r="I27" s="5"/>
      <c r="J27" s="5"/>
      <c r="K27" s="5"/>
      <c r="L27" s="5"/>
      <c r="M27" s="5">
        <v>2</v>
      </c>
      <c r="N27" s="5"/>
      <c r="O27" s="5"/>
      <c r="P27" s="5"/>
      <c r="Q27" s="5"/>
      <c r="R27" s="5">
        <v>3</v>
      </c>
      <c r="S27" s="5"/>
      <c r="T27" s="5"/>
      <c r="U27" s="5"/>
      <c r="V27" s="5"/>
      <c r="W27" s="22">
        <f t="shared" si="1"/>
        <v>-2.8967999999999998</v>
      </c>
      <c r="X27" s="21">
        <f t="shared" si="2"/>
        <v>-0.34178999999999998</v>
      </c>
      <c r="Y27" s="21">
        <f t="shared" si="3"/>
        <v>-0.35648200000000002</v>
      </c>
      <c r="Z27" s="11">
        <f t="shared" si="4"/>
        <v>-1</v>
      </c>
      <c r="AA27" s="22">
        <f t="shared" si="5"/>
        <v>-2.8784399999999999</v>
      </c>
      <c r="AB27" s="21">
        <f t="shared" si="6"/>
        <v>-0.340362</v>
      </c>
      <c r="AC27" s="21">
        <f t="shared" si="7"/>
        <v>-0.35580600000000001</v>
      </c>
      <c r="AD27" s="11">
        <f t="shared" si="8"/>
        <v>-1</v>
      </c>
      <c r="AE27" s="22">
        <f t="shared" si="9"/>
        <v>-2.87588</v>
      </c>
      <c r="AF27" s="21">
        <f t="shared" si="10"/>
        <v>-0.34109</v>
      </c>
      <c r="AG27" s="21">
        <f t="shared" si="11"/>
        <v>-0.35306100000000001</v>
      </c>
      <c r="AH27" s="11">
        <f t="shared" si="12"/>
        <v>-1</v>
      </c>
      <c r="AI27">
        <v>2.5000000000000001E-2</v>
      </c>
      <c r="AJ27">
        <v>-2.5000000000000001E-2</v>
      </c>
      <c r="AK27">
        <v>1.5E-3</v>
      </c>
      <c r="AL27">
        <v>-1.5E-3</v>
      </c>
      <c r="AM27">
        <v>1.5E-3</v>
      </c>
      <c r="AN27">
        <v>-1.5E-3</v>
      </c>
      <c r="AO27" s="16">
        <v>2.5000000000000001E-2</v>
      </c>
      <c r="AP27" s="16">
        <v>-2.5000000000000001E-2</v>
      </c>
      <c r="AQ27">
        <v>1.4999999999999999E-2</v>
      </c>
      <c r="AR27">
        <v>-1.4999999999999999E-2</v>
      </c>
      <c r="AS27">
        <v>1E-3</v>
      </c>
      <c r="AT27">
        <v>-1E-3</v>
      </c>
      <c r="AU27">
        <v>1E-3</v>
      </c>
      <c r="AV27">
        <v>-1E-3</v>
      </c>
      <c r="AW27" s="16">
        <v>1.4999999999999999E-2</v>
      </c>
      <c r="AX27" s="16">
        <v>-1.4999999999999999E-2</v>
      </c>
    </row>
    <row r="28" spans="1:279" customFormat="1">
      <c r="A28" s="2">
        <v>23</v>
      </c>
      <c r="B28" s="2">
        <v>2.88449</v>
      </c>
      <c r="C28" s="2">
        <v>0.30798799999999998</v>
      </c>
      <c r="D28" s="2">
        <v>0.32278600000000002</v>
      </c>
      <c r="E28" s="2">
        <v>33.275678390000003</v>
      </c>
      <c r="F28" s="17" t="str">
        <f t="shared" si="0"/>
        <v/>
      </c>
      <c r="G28" s="9"/>
      <c r="H28" s="25">
        <v>1</v>
      </c>
      <c r="I28" s="5"/>
      <c r="J28" s="5"/>
      <c r="K28" s="5"/>
      <c r="L28" s="5"/>
      <c r="M28" s="5">
        <v>2</v>
      </c>
      <c r="N28" s="5"/>
      <c r="O28" s="5"/>
      <c r="P28" s="5"/>
      <c r="Q28" s="5"/>
      <c r="R28" s="5">
        <v>3</v>
      </c>
      <c r="S28" s="5"/>
      <c r="T28" s="5"/>
      <c r="U28" s="5"/>
      <c r="V28" s="5"/>
      <c r="W28" s="22">
        <f t="shared" si="1"/>
        <v>-2.8967999999999998</v>
      </c>
      <c r="X28" s="21">
        <f t="shared" si="2"/>
        <v>-0.34178999999999998</v>
      </c>
      <c r="Y28" s="21">
        <f t="shared" si="3"/>
        <v>-0.35648200000000002</v>
      </c>
      <c r="Z28" s="11">
        <f t="shared" si="4"/>
        <v>-1</v>
      </c>
      <c r="AA28" s="22">
        <f t="shared" si="5"/>
        <v>-2.8784399999999999</v>
      </c>
      <c r="AB28" s="21">
        <f t="shared" si="6"/>
        <v>-0.340362</v>
      </c>
      <c r="AC28" s="21">
        <f t="shared" si="7"/>
        <v>-0.35580600000000001</v>
      </c>
      <c r="AD28" s="11">
        <f t="shared" si="8"/>
        <v>-1</v>
      </c>
      <c r="AE28" s="22">
        <f t="shared" si="9"/>
        <v>-2.87588</v>
      </c>
      <c r="AF28" s="21">
        <f t="shared" si="10"/>
        <v>-0.34109</v>
      </c>
      <c r="AG28" s="21">
        <f t="shared" si="11"/>
        <v>-0.35306100000000001</v>
      </c>
      <c r="AH28" s="11">
        <f t="shared" si="12"/>
        <v>-1</v>
      </c>
      <c r="AI28">
        <v>2.5000000000000001E-2</v>
      </c>
      <c r="AJ28">
        <v>-2.5000000000000001E-2</v>
      </c>
      <c r="AK28">
        <v>1.5E-3</v>
      </c>
      <c r="AL28">
        <v>-1.5E-3</v>
      </c>
      <c r="AM28">
        <v>1.5E-3</v>
      </c>
      <c r="AN28">
        <v>-1.5E-3</v>
      </c>
      <c r="AO28" s="16">
        <v>2.5000000000000001E-2</v>
      </c>
      <c r="AP28" s="16">
        <v>-2.5000000000000001E-2</v>
      </c>
      <c r="AQ28">
        <v>1.4999999999999999E-2</v>
      </c>
      <c r="AR28">
        <v>-1.4999999999999999E-2</v>
      </c>
      <c r="AS28">
        <v>1E-3</v>
      </c>
      <c r="AT28">
        <v>-1E-3</v>
      </c>
      <c r="AU28">
        <v>1E-3</v>
      </c>
      <c r="AV28">
        <v>-1E-3</v>
      </c>
      <c r="AW28" s="16">
        <v>1.4999999999999999E-2</v>
      </c>
      <c r="AX28" s="16">
        <v>-1.4999999999999999E-2</v>
      </c>
    </row>
    <row r="29" spans="1:279" customFormat="1">
      <c r="A29" s="2">
        <v>24</v>
      </c>
      <c r="B29" s="2">
        <v>2.8789099999999999</v>
      </c>
      <c r="C29" s="2">
        <v>0.309504</v>
      </c>
      <c r="D29" s="2">
        <v>0.32161400000000001</v>
      </c>
      <c r="E29" s="2">
        <v>33.337989950000001</v>
      </c>
      <c r="F29" s="17" t="str">
        <f t="shared" si="0"/>
        <v/>
      </c>
      <c r="G29" s="9"/>
      <c r="H29" s="25">
        <v>1</v>
      </c>
      <c r="I29" s="5"/>
      <c r="J29" s="5"/>
      <c r="K29" s="5"/>
      <c r="L29" s="5"/>
      <c r="M29" s="5">
        <v>2</v>
      </c>
      <c r="N29" s="5"/>
      <c r="O29" s="5"/>
      <c r="P29" s="5"/>
      <c r="Q29" s="5"/>
      <c r="R29" s="5">
        <v>3</v>
      </c>
      <c r="S29" s="5"/>
      <c r="T29" s="5"/>
      <c r="U29" s="5"/>
      <c r="V29" s="5"/>
      <c r="W29" s="22">
        <f t="shared" si="1"/>
        <v>-2.8967999999999998</v>
      </c>
      <c r="X29" s="21">
        <f t="shared" si="2"/>
        <v>-0.34178999999999998</v>
      </c>
      <c r="Y29" s="21">
        <f t="shared" si="3"/>
        <v>-0.35648200000000002</v>
      </c>
      <c r="Z29" s="11">
        <f t="shared" si="4"/>
        <v>-1</v>
      </c>
      <c r="AA29" s="22">
        <f t="shared" si="5"/>
        <v>-2.8784399999999999</v>
      </c>
      <c r="AB29" s="21">
        <f t="shared" si="6"/>
        <v>-0.340362</v>
      </c>
      <c r="AC29" s="21">
        <f t="shared" si="7"/>
        <v>-0.35580600000000001</v>
      </c>
      <c r="AD29" s="11">
        <f t="shared" si="8"/>
        <v>-1</v>
      </c>
      <c r="AE29" s="22">
        <f t="shared" si="9"/>
        <v>-2.87588</v>
      </c>
      <c r="AF29" s="21">
        <f t="shared" si="10"/>
        <v>-0.34109</v>
      </c>
      <c r="AG29" s="21">
        <f t="shared" si="11"/>
        <v>-0.35306100000000001</v>
      </c>
      <c r="AH29" s="11">
        <f t="shared" si="12"/>
        <v>-1</v>
      </c>
      <c r="AI29">
        <v>2.5000000000000001E-2</v>
      </c>
      <c r="AJ29">
        <v>-2.5000000000000001E-2</v>
      </c>
      <c r="AK29">
        <v>1.5E-3</v>
      </c>
      <c r="AL29">
        <v>-1.5E-3</v>
      </c>
      <c r="AM29">
        <v>1.5E-3</v>
      </c>
      <c r="AN29">
        <v>-1.5E-3</v>
      </c>
      <c r="AO29" s="16">
        <v>2.5000000000000001E-2</v>
      </c>
      <c r="AP29" s="16">
        <v>-2.5000000000000001E-2</v>
      </c>
      <c r="AQ29">
        <v>1.4999999999999999E-2</v>
      </c>
      <c r="AR29">
        <v>-1.4999999999999999E-2</v>
      </c>
      <c r="AS29">
        <v>1E-3</v>
      </c>
      <c r="AT29">
        <v>-1E-3</v>
      </c>
      <c r="AU29">
        <v>1E-3</v>
      </c>
      <c r="AV29">
        <v>-1E-3</v>
      </c>
      <c r="AW29" s="16">
        <v>1.4999999999999999E-2</v>
      </c>
      <c r="AX29" s="16">
        <v>-1.4999999999999999E-2</v>
      </c>
    </row>
    <row r="30" spans="1:279" customFormat="1">
      <c r="A30" s="2">
        <v>25</v>
      </c>
      <c r="B30" s="2">
        <v>2.8721899999999998</v>
      </c>
      <c r="C30" s="2">
        <v>0.307867</v>
      </c>
      <c r="D30" s="2">
        <v>0.32073000000000002</v>
      </c>
      <c r="E30" s="2">
        <v>33.13115578</v>
      </c>
      <c r="F30" s="17" t="str">
        <f t="shared" si="0"/>
        <v/>
      </c>
      <c r="G30" s="9"/>
      <c r="H30" s="25">
        <v>1</v>
      </c>
      <c r="I30" s="5"/>
      <c r="J30" s="5"/>
      <c r="K30" s="5"/>
      <c r="L30" s="5"/>
      <c r="M30" s="5">
        <v>2</v>
      </c>
      <c r="N30" s="5"/>
      <c r="O30" s="5"/>
      <c r="P30" s="5"/>
      <c r="Q30" s="5"/>
      <c r="R30" s="5">
        <v>3</v>
      </c>
      <c r="S30" s="5"/>
      <c r="T30" s="5"/>
      <c r="U30" s="5"/>
      <c r="V30" s="5"/>
      <c r="W30" s="22">
        <f t="shared" si="1"/>
        <v>-2.8967999999999998</v>
      </c>
      <c r="X30" s="21">
        <f t="shared" si="2"/>
        <v>-0.34178999999999998</v>
      </c>
      <c r="Y30" s="21">
        <f t="shared" si="3"/>
        <v>-0.35648200000000002</v>
      </c>
      <c r="Z30" s="11">
        <f t="shared" si="4"/>
        <v>-1</v>
      </c>
      <c r="AA30" s="22">
        <f t="shared" si="5"/>
        <v>-2.8784399999999999</v>
      </c>
      <c r="AB30" s="21">
        <f t="shared" si="6"/>
        <v>-0.340362</v>
      </c>
      <c r="AC30" s="21">
        <f t="shared" si="7"/>
        <v>-0.35580600000000001</v>
      </c>
      <c r="AD30" s="11">
        <f t="shared" si="8"/>
        <v>-1</v>
      </c>
      <c r="AE30" s="22">
        <f t="shared" si="9"/>
        <v>-2.87588</v>
      </c>
      <c r="AF30" s="21">
        <f t="shared" si="10"/>
        <v>-0.34109</v>
      </c>
      <c r="AG30" s="21">
        <f t="shared" si="11"/>
        <v>-0.35306100000000001</v>
      </c>
      <c r="AH30" s="11">
        <f t="shared" si="12"/>
        <v>-1</v>
      </c>
      <c r="AI30">
        <v>2.5000000000000001E-2</v>
      </c>
      <c r="AJ30">
        <v>-2.5000000000000001E-2</v>
      </c>
      <c r="AK30">
        <v>1.5E-3</v>
      </c>
      <c r="AL30">
        <v>-1.5E-3</v>
      </c>
      <c r="AM30">
        <v>1.5E-3</v>
      </c>
      <c r="AN30">
        <v>-1.5E-3</v>
      </c>
      <c r="AO30" s="16">
        <v>2.5000000000000001E-2</v>
      </c>
      <c r="AP30" s="16">
        <v>-2.5000000000000001E-2</v>
      </c>
      <c r="AQ30">
        <v>1.4999999999999999E-2</v>
      </c>
      <c r="AR30">
        <v>-1.4999999999999999E-2</v>
      </c>
      <c r="AS30">
        <v>1E-3</v>
      </c>
      <c r="AT30">
        <v>-1E-3</v>
      </c>
      <c r="AU30">
        <v>1E-3</v>
      </c>
      <c r="AV30">
        <v>-1E-3</v>
      </c>
      <c r="AW30" s="16">
        <v>1.4999999999999999E-2</v>
      </c>
      <c r="AX30" s="16">
        <v>-1.4999999999999999E-2</v>
      </c>
    </row>
    <row r="31" spans="1:279" customFormat="1">
      <c r="A31" s="2">
        <v>26</v>
      </c>
      <c r="B31" s="2">
        <v>2.8974600000000001</v>
      </c>
      <c r="C31" s="2">
        <v>0.38878299999999999</v>
      </c>
      <c r="D31" s="2">
        <v>0.38423800000000002</v>
      </c>
      <c r="E31" s="2">
        <v>32.467738689999997</v>
      </c>
      <c r="F31" s="17" t="str">
        <f t="shared" si="0"/>
        <v/>
      </c>
      <c r="G31" s="9"/>
      <c r="H31" s="25">
        <v>1</v>
      </c>
      <c r="I31" s="5"/>
      <c r="J31" s="5"/>
      <c r="K31" s="5"/>
      <c r="L31" s="5"/>
      <c r="M31" s="5">
        <v>2</v>
      </c>
      <c r="N31" s="5"/>
      <c r="O31" s="5"/>
      <c r="P31" s="5"/>
      <c r="Q31" s="5"/>
      <c r="R31" s="5">
        <v>3</v>
      </c>
      <c r="S31" s="5"/>
      <c r="T31" s="5"/>
      <c r="U31" s="5"/>
      <c r="V31" s="5"/>
      <c r="W31" s="22">
        <f t="shared" si="1"/>
        <v>-2.8967999999999998</v>
      </c>
      <c r="X31" s="21">
        <f t="shared" si="2"/>
        <v>-0.34178999999999998</v>
      </c>
      <c r="Y31" s="21">
        <f t="shared" si="3"/>
        <v>-0.35648200000000002</v>
      </c>
      <c r="Z31" s="11">
        <f t="shared" si="4"/>
        <v>-1</v>
      </c>
      <c r="AA31" s="22">
        <f t="shared" si="5"/>
        <v>-2.8784399999999999</v>
      </c>
      <c r="AB31" s="21">
        <f t="shared" si="6"/>
        <v>-0.340362</v>
      </c>
      <c r="AC31" s="21">
        <f t="shared" si="7"/>
        <v>-0.35580600000000001</v>
      </c>
      <c r="AD31" s="11">
        <f t="shared" si="8"/>
        <v>-1</v>
      </c>
      <c r="AE31" s="22">
        <f t="shared" si="9"/>
        <v>-2.87588</v>
      </c>
      <c r="AF31" s="21">
        <f t="shared" si="10"/>
        <v>-0.34109</v>
      </c>
      <c r="AG31" s="21">
        <f t="shared" si="11"/>
        <v>-0.35306100000000001</v>
      </c>
      <c r="AH31" s="11">
        <f t="shared" si="12"/>
        <v>-1</v>
      </c>
      <c r="AI31">
        <v>2.5000000000000001E-2</v>
      </c>
      <c r="AJ31">
        <v>-2.5000000000000001E-2</v>
      </c>
      <c r="AK31">
        <v>1.5E-3</v>
      </c>
      <c r="AL31">
        <v>-1.5E-3</v>
      </c>
      <c r="AM31">
        <v>1.5E-3</v>
      </c>
      <c r="AN31">
        <v>-1.5E-3</v>
      </c>
      <c r="AO31" s="16">
        <v>2.5000000000000001E-2</v>
      </c>
      <c r="AP31" s="16">
        <v>-2.5000000000000001E-2</v>
      </c>
      <c r="AQ31">
        <v>1.4999999999999999E-2</v>
      </c>
      <c r="AR31">
        <v>-1.4999999999999999E-2</v>
      </c>
      <c r="AS31">
        <v>1E-3</v>
      </c>
      <c r="AT31">
        <v>-1E-3</v>
      </c>
      <c r="AU31">
        <v>1E-3</v>
      </c>
      <c r="AV31">
        <v>-1E-3</v>
      </c>
      <c r="AW31" s="16">
        <v>1.4999999999999999E-2</v>
      </c>
      <c r="AX31" s="16">
        <v>-1.4999999999999999E-2</v>
      </c>
    </row>
    <row r="32" spans="1:279" customFormat="1">
      <c r="A32" s="2">
        <v>27</v>
      </c>
      <c r="B32" s="2">
        <v>2.8643399999999999</v>
      </c>
      <c r="C32" s="2">
        <v>0.38837500000000003</v>
      </c>
      <c r="D32" s="2">
        <v>0.38350200000000001</v>
      </c>
      <c r="E32" s="2">
        <v>32.354773870000002</v>
      </c>
      <c r="F32" s="17" t="str">
        <f t="shared" si="0"/>
        <v/>
      </c>
      <c r="G32" s="9"/>
      <c r="H32" s="25">
        <v>1</v>
      </c>
      <c r="I32" s="5"/>
      <c r="J32" s="5"/>
      <c r="K32" s="5"/>
      <c r="L32" s="5"/>
      <c r="M32" s="5">
        <v>2</v>
      </c>
      <c r="N32" s="5"/>
      <c r="O32" s="5"/>
      <c r="P32" s="5"/>
      <c r="Q32" s="5"/>
      <c r="R32" s="5">
        <v>3</v>
      </c>
      <c r="S32" s="5"/>
      <c r="T32" s="5"/>
      <c r="U32" s="5"/>
      <c r="V32" s="5"/>
      <c r="W32" s="22">
        <f t="shared" si="1"/>
        <v>-2.8967999999999998</v>
      </c>
      <c r="X32" s="21">
        <f t="shared" si="2"/>
        <v>-0.34178999999999998</v>
      </c>
      <c r="Y32" s="21">
        <f t="shared" si="3"/>
        <v>-0.35648200000000002</v>
      </c>
      <c r="Z32" s="11">
        <f t="shared" si="4"/>
        <v>-1</v>
      </c>
      <c r="AA32" s="22">
        <f t="shared" si="5"/>
        <v>-2.8784399999999999</v>
      </c>
      <c r="AB32" s="21">
        <f t="shared" si="6"/>
        <v>-0.340362</v>
      </c>
      <c r="AC32" s="21">
        <f t="shared" si="7"/>
        <v>-0.35580600000000001</v>
      </c>
      <c r="AD32" s="11">
        <f t="shared" si="8"/>
        <v>-1</v>
      </c>
      <c r="AE32" s="22">
        <f t="shared" si="9"/>
        <v>-2.87588</v>
      </c>
      <c r="AF32" s="21">
        <f t="shared" si="10"/>
        <v>-0.34109</v>
      </c>
      <c r="AG32" s="21">
        <f t="shared" si="11"/>
        <v>-0.35306100000000001</v>
      </c>
      <c r="AH32" s="11">
        <f t="shared" si="12"/>
        <v>-1</v>
      </c>
      <c r="AI32">
        <v>2.5000000000000001E-2</v>
      </c>
      <c r="AJ32">
        <v>-2.5000000000000001E-2</v>
      </c>
      <c r="AK32">
        <v>1.5E-3</v>
      </c>
      <c r="AL32">
        <v>-1.5E-3</v>
      </c>
      <c r="AM32">
        <v>1.5E-3</v>
      </c>
      <c r="AN32">
        <v>-1.5E-3</v>
      </c>
      <c r="AO32" s="16">
        <v>2.5000000000000001E-2</v>
      </c>
      <c r="AP32" s="16">
        <v>-2.5000000000000001E-2</v>
      </c>
      <c r="AQ32">
        <v>1.4999999999999999E-2</v>
      </c>
      <c r="AR32">
        <v>-1.4999999999999999E-2</v>
      </c>
      <c r="AS32">
        <v>1E-3</v>
      </c>
      <c r="AT32">
        <v>-1E-3</v>
      </c>
      <c r="AU32">
        <v>1E-3</v>
      </c>
      <c r="AV32">
        <v>-1E-3</v>
      </c>
      <c r="AW32" s="16">
        <v>1.4999999999999999E-2</v>
      </c>
      <c r="AX32" s="16">
        <v>-1.4999999999999999E-2</v>
      </c>
    </row>
    <row r="33" spans="1:279" customFormat="1">
      <c r="A33" s="2">
        <v>28</v>
      </c>
      <c r="B33" s="2">
        <v>2.8631099999999998</v>
      </c>
      <c r="C33" s="2">
        <v>0.38965</v>
      </c>
      <c r="D33" s="2">
        <v>0.38383200000000001</v>
      </c>
      <c r="E33" s="2">
        <v>32.093969850000001</v>
      </c>
      <c r="F33" s="17" t="str">
        <f t="shared" si="0"/>
        <v/>
      </c>
      <c r="G33" s="9"/>
      <c r="H33" s="25">
        <v>1</v>
      </c>
      <c r="I33" s="5"/>
      <c r="J33" s="5"/>
      <c r="K33" s="5"/>
      <c r="L33" s="5"/>
      <c r="M33" s="5">
        <v>2</v>
      </c>
      <c r="N33" s="5"/>
      <c r="O33" s="5"/>
      <c r="P33" s="5"/>
      <c r="Q33" s="5"/>
      <c r="R33" s="5">
        <v>3</v>
      </c>
      <c r="S33" s="5"/>
      <c r="T33" s="5"/>
      <c r="U33" s="5"/>
      <c r="V33" s="5"/>
      <c r="W33" s="22">
        <f t="shared" si="1"/>
        <v>-2.8967999999999998</v>
      </c>
      <c r="X33" s="21">
        <f t="shared" si="2"/>
        <v>-0.34178999999999998</v>
      </c>
      <c r="Y33" s="21">
        <f t="shared" si="3"/>
        <v>-0.35648200000000002</v>
      </c>
      <c r="Z33" s="11">
        <f t="shared" si="4"/>
        <v>-1</v>
      </c>
      <c r="AA33" s="22">
        <f t="shared" si="5"/>
        <v>-2.8784399999999999</v>
      </c>
      <c r="AB33" s="21">
        <f t="shared" si="6"/>
        <v>-0.340362</v>
      </c>
      <c r="AC33" s="21">
        <f t="shared" si="7"/>
        <v>-0.35580600000000001</v>
      </c>
      <c r="AD33" s="11">
        <f t="shared" si="8"/>
        <v>-1</v>
      </c>
      <c r="AE33" s="22">
        <f t="shared" si="9"/>
        <v>-2.87588</v>
      </c>
      <c r="AF33" s="21">
        <f t="shared" si="10"/>
        <v>-0.34109</v>
      </c>
      <c r="AG33" s="21">
        <f t="shared" si="11"/>
        <v>-0.35306100000000001</v>
      </c>
      <c r="AH33" s="11">
        <f t="shared" si="12"/>
        <v>-1</v>
      </c>
      <c r="AI33">
        <v>2.5000000000000001E-2</v>
      </c>
      <c r="AJ33">
        <v>-2.5000000000000001E-2</v>
      </c>
      <c r="AK33">
        <v>1.5E-3</v>
      </c>
      <c r="AL33">
        <v>-1.5E-3</v>
      </c>
      <c r="AM33">
        <v>1.5E-3</v>
      </c>
      <c r="AN33">
        <v>-1.5E-3</v>
      </c>
      <c r="AO33" s="16">
        <v>2.5000000000000001E-2</v>
      </c>
      <c r="AP33" s="16">
        <v>-2.5000000000000001E-2</v>
      </c>
      <c r="AQ33">
        <v>1.4999999999999999E-2</v>
      </c>
      <c r="AR33">
        <v>-1.4999999999999999E-2</v>
      </c>
      <c r="AS33">
        <v>1E-3</v>
      </c>
      <c r="AT33">
        <v>-1E-3</v>
      </c>
      <c r="AU33">
        <v>1E-3</v>
      </c>
      <c r="AV33">
        <v>-1E-3</v>
      </c>
      <c r="AW33" s="16">
        <v>1.4999999999999999E-2</v>
      </c>
      <c r="AX33" s="16">
        <v>-1.4999999999999999E-2</v>
      </c>
      <c r="JR33">
        <v>12.849506578947368</v>
      </c>
    </row>
    <row r="34" spans="1:279" customFormat="1">
      <c r="A34" s="2">
        <v>29</v>
      </c>
      <c r="B34" s="2">
        <v>2.8815599999999999</v>
      </c>
      <c r="C34" s="2">
        <v>0.38852100000000001</v>
      </c>
      <c r="D34" s="2">
        <v>0.38455899999999998</v>
      </c>
      <c r="E34" s="2">
        <v>33.056884420000003</v>
      </c>
      <c r="F34" s="17" t="str">
        <f t="shared" si="0"/>
        <v/>
      </c>
      <c r="G34" s="9"/>
      <c r="H34" s="25">
        <v>1</v>
      </c>
      <c r="I34" s="5"/>
      <c r="J34" s="5"/>
      <c r="K34" s="5"/>
      <c r="L34" s="5"/>
      <c r="M34" s="5">
        <v>2</v>
      </c>
      <c r="N34" s="5"/>
      <c r="O34" s="5"/>
      <c r="P34" s="5"/>
      <c r="Q34" s="5"/>
      <c r="R34" s="5">
        <v>3</v>
      </c>
      <c r="S34" s="5"/>
      <c r="T34" s="5"/>
      <c r="U34" s="5"/>
      <c r="V34" s="5"/>
      <c r="W34" s="22">
        <f t="shared" si="1"/>
        <v>-2.8967999999999998</v>
      </c>
      <c r="X34" s="21">
        <f t="shared" si="2"/>
        <v>-0.34178999999999998</v>
      </c>
      <c r="Y34" s="21">
        <f t="shared" si="3"/>
        <v>-0.35648200000000002</v>
      </c>
      <c r="Z34" s="11">
        <f t="shared" si="4"/>
        <v>-1</v>
      </c>
      <c r="AA34" s="22">
        <f t="shared" si="5"/>
        <v>-2.8784399999999999</v>
      </c>
      <c r="AB34" s="21">
        <f t="shared" si="6"/>
        <v>-0.340362</v>
      </c>
      <c r="AC34" s="21">
        <f t="shared" si="7"/>
        <v>-0.35580600000000001</v>
      </c>
      <c r="AD34" s="11">
        <f t="shared" si="8"/>
        <v>-1</v>
      </c>
      <c r="AE34" s="22">
        <f t="shared" si="9"/>
        <v>-2.87588</v>
      </c>
      <c r="AF34" s="21">
        <f t="shared" si="10"/>
        <v>-0.34109</v>
      </c>
      <c r="AG34" s="21">
        <f t="shared" si="11"/>
        <v>-0.35306100000000001</v>
      </c>
      <c r="AH34" s="11">
        <f t="shared" si="12"/>
        <v>-1</v>
      </c>
      <c r="AI34">
        <v>2.5000000000000001E-2</v>
      </c>
      <c r="AJ34">
        <v>-2.5000000000000001E-2</v>
      </c>
      <c r="AK34">
        <v>1.5E-3</v>
      </c>
      <c r="AL34">
        <v>-1.5E-3</v>
      </c>
      <c r="AM34">
        <v>1.5E-3</v>
      </c>
      <c r="AN34">
        <v>-1.5E-3</v>
      </c>
      <c r="AO34" s="16">
        <v>2.5000000000000001E-2</v>
      </c>
      <c r="AP34" s="16">
        <v>-2.5000000000000001E-2</v>
      </c>
      <c r="AQ34">
        <v>1.4999999999999999E-2</v>
      </c>
      <c r="AR34">
        <v>-1.4999999999999999E-2</v>
      </c>
      <c r="AS34">
        <v>1E-3</v>
      </c>
      <c r="AT34">
        <v>-1E-3</v>
      </c>
      <c r="AU34">
        <v>1E-3</v>
      </c>
      <c r="AV34">
        <v>-1E-3</v>
      </c>
      <c r="AW34" s="16">
        <v>1.4999999999999999E-2</v>
      </c>
      <c r="AX34" s="16">
        <v>-1.4999999999999999E-2</v>
      </c>
      <c r="JR34">
        <v>12.849506578947368</v>
      </c>
      <c r="JS34">
        <v>12.849506578947368</v>
      </c>
    </row>
    <row r="35" spans="1:279" customFormat="1">
      <c r="A35" s="2">
        <v>30</v>
      </c>
      <c r="B35" s="2">
        <v>2.8612099999999998</v>
      </c>
      <c r="C35" s="2">
        <v>0.38860299999999998</v>
      </c>
      <c r="D35" s="2">
        <v>0.384766</v>
      </c>
      <c r="E35" s="2">
        <v>32.404824120000001</v>
      </c>
      <c r="F35" s="17" t="str">
        <f t="shared" si="0"/>
        <v/>
      </c>
      <c r="G35" s="9"/>
      <c r="H35" s="25">
        <v>1</v>
      </c>
      <c r="I35" s="5"/>
      <c r="J35" s="5"/>
      <c r="K35" s="5"/>
      <c r="L35" s="5"/>
      <c r="M35" s="5">
        <v>2</v>
      </c>
      <c r="N35" s="5"/>
      <c r="O35" s="5"/>
      <c r="P35" s="5"/>
      <c r="Q35" s="5"/>
      <c r="R35" s="5">
        <v>3</v>
      </c>
      <c r="S35" s="5"/>
      <c r="T35" s="5"/>
      <c r="U35" s="5"/>
      <c r="V35" s="5"/>
      <c r="W35" s="22">
        <f t="shared" si="1"/>
        <v>-2.8967999999999998</v>
      </c>
      <c r="X35" s="21">
        <f t="shared" si="2"/>
        <v>-0.34178999999999998</v>
      </c>
      <c r="Y35" s="21">
        <f t="shared" si="3"/>
        <v>-0.35648200000000002</v>
      </c>
      <c r="Z35" s="11">
        <f t="shared" si="4"/>
        <v>-1</v>
      </c>
      <c r="AA35" s="22">
        <f t="shared" si="5"/>
        <v>-2.8784399999999999</v>
      </c>
      <c r="AB35" s="21">
        <f t="shared" si="6"/>
        <v>-0.340362</v>
      </c>
      <c r="AC35" s="21">
        <f t="shared" si="7"/>
        <v>-0.35580600000000001</v>
      </c>
      <c r="AD35" s="11">
        <f t="shared" si="8"/>
        <v>-1</v>
      </c>
      <c r="AE35" s="22">
        <f t="shared" si="9"/>
        <v>-2.87588</v>
      </c>
      <c r="AF35" s="21">
        <f t="shared" si="10"/>
        <v>-0.34109</v>
      </c>
      <c r="AG35" s="21">
        <f t="shared" si="11"/>
        <v>-0.35306100000000001</v>
      </c>
      <c r="AH35" s="11">
        <f t="shared" si="12"/>
        <v>-1</v>
      </c>
      <c r="AI35">
        <v>2.5000000000000001E-2</v>
      </c>
      <c r="AJ35">
        <v>-2.5000000000000001E-2</v>
      </c>
      <c r="AK35">
        <v>1.5E-3</v>
      </c>
      <c r="AL35">
        <v>-1.5E-3</v>
      </c>
      <c r="AM35">
        <v>1.5E-3</v>
      </c>
      <c r="AN35">
        <v>-1.5E-3</v>
      </c>
      <c r="AO35" s="16">
        <v>2.5000000000000001E-2</v>
      </c>
      <c r="AP35" s="16">
        <v>-2.5000000000000001E-2</v>
      </c>
      <c r="AQ35">
        <v>1.4999999999999999E-2</v>
      </c>
      <c r="AR35">
        <v>-1.4999999999999999E-2</v>
      </c>
      <c r="AS35">
        <v>1E-3</v>
      </c>
      <c r="AT35">
        <v>-1E-3</v>
      </c>
      <c r="AU35">
        <v>1E-3</v>
      </c>
      <c r="AV35">
        <v>-1E-3</v>
      </c>
      <c r="AW35" s="16">
        <v>1.4999999999999999E-2</v>
      </c>
      <c r="AX35" s="16">
        <v>-1.4999999999999999E-2</v>
      </c>
    </row>
    <row r="36" spans="1:279" customFormat="1">
      <c r="F36" s="17" t="str">
        <f t="shared" si="0"/>
        <v/>
      </c>
      <c r="G36" s="9"/>
      <c r="H36" s="25">
        <v>1</v>
      </c>
      <c r="I36" s="5"/>
      <c r="J36" s="5"/>
      <c r="K36" s="5"/>
      <c r="L36" s="5"/>
      <c r="M36" s="5">
        <v>2</v>
      </c>
      <c r="N36" s="5"/>
      <c r="O36" s="5"/>
      <c r="P36" s="5"/>
      <c r="Q36" s="5"/>
      <c r="R36" s="5">
        <v>3</v>
      </c>
      <c r="S36" s="5"/>
      <c r="T36" s="5"/>
      <c r="U36" s="5"/>
      <c r="V36" s="5"/>
      <c r="W36" s="22">
        <f t="shared" si="1"/>
        <v>-2.8967999999999998</v>
      </c>
      <c r="X36" s="21">
        <f t="shared" si="2"/>
        <v>-0.34178999999999998</v>
      </c>
      <c r="Y36" s="21">
        <f t="shared" si="3"/>
        <v>-0.35648200000000002</v>
      </c>
      <c r="Z36" s="11">
        <f t="shared" si="4"/>
        <v>-1</v>
      </c>
      <c r="AA36" s="22">
        <f t="shared" si="5"/>
        <v>-2.8784399999999999</v>
      </c>
      <c r="AB36" s="21">
        <f t="shared" si="6"/>
        <v>-0.340362</v>
      </c>
      <c r="AC36" s="21">
        <f t="shared" si="7"/>
        <v>-0.35580600000000001</v>
      </c>
      <c r="AD36" s="11">
        <f t="shared" si="8"/>
        <v>-1</v>
      </c>
      <c r="AE36" s="22">
        <f t="shared" si="9"/>
        <v>-2.87588</v>
      </c>
      <c r="AF36" s="21">
        <f t="shared" si="10"/>
        <v>-0.34109</v>
      </c>
      <c r="AG36" s="21">
        <f t="shared" si="11"/>
        <v>-0.35306100000000001</v>
      </c>
      <c r="AH36" s="11">
        <f t="shared" si="12"/>
        <v>-1</v>
      </c>
      <c r="AI36">
        <v>2.5000000000000001E-2</v>
      </c>
      <c r="AJ36">
        <v>-2.5000000000000001E-2</v>
      </c>
      <c r="AK36">
        <v>1.5E-3</v>
      </c>
      <c r="AL36">
        <v>-1.5E-3</v>
      </c>
      <c r="AM36">
        <v>1.5E-3</v>
      </c>
      <c r="AN36">
        <v>-1.5E-3</v>
      </c>
      <c r="AO36" s="16">
        <v>2.5000000000000001E-2</v>
      </c>
      <c r="AP36" s="16">
        <v>-2.5000000000000001E-2</v>
      </c>
      <c r="AQ36">
        <v>1.4999999999999999E-2</v>
      </c>
      <c r="AR36">
        <v>-1.4999999999999999E-2</v>
      </c>
      <c r="AS36">
        <v>1E-3</v>
      </c>
      <c r="AT36">
        <v>-1E-3</v>
      </c>
      <c r="AU36">
        <v>1E-3</v>
      </c>
      <c r="AV36">
        <v>-1E-3</v>
      </c>
      <c r="AW36" s="16">
        <v>1.4999999999999999E-2</v>
      </c>
      <c r="AX36" s="16">
        <v>-1.4999999999999999E-2</v>
      </c>
    </row>
    <row r="37" spans="1:279" customFormat="1">
      <c r="F37" s="17" t="str">
        <f t="shared" si="0"/>
        <v/>
      </c>
      <c r="G37" s="9"/>
      <c r="H37" s="25">
        <v>1</v>
      </c>
      <c r="I37" s="5"/>
      <c r="J37" s="5"/>
      <c r="K37" s="5"/>
      <c r="L37" s="5"/>
      <c r="M37" s="5">
        <v>2</v>
      </c>
      <c r="N37" s="5"/>
      <c r="O37" s="5"/>
      <c r="P37" s="5"/>
      <c r="Q37" s="5"/>
      <c r="R37" s="5">
        <v>3</v>
      </c>
      <c r="S37" s="5"/>
      <c r="T37" s="5"/>
      <c r="U37" s="5"/>
      <c r="V37" s="5"/>
      <c r="W37" s="22">
        <f t="shared" si="1"/>
        <v>-2.8967999999999998</v>
      </c>
      <c r="X37" s="21">
        <f t="shared" si="2"/>
        <v>-0.34178999999999998</v>
      </c>
      <c r="Y37" s="21">
        <f t="shared" si="3"/>
        <v>-0.35648200000000002</v>
      </c>
      <c r="Z37" s="11">
        <f t="shared" si="4"/>
        <v>-1</v>
      </c>
      <c r="AA37" s="22">
        <f t="shared" si="5"/>
        <v>-2.8784399999999999</v>
      </c>
      <c r="AB37" s="21">
        <f t="shared" si="6"/>
        <v>-0.340362</v>
      </c>
      <c r="AC37" s="21">
        <f t="shared" si="7"/>
        <v>-0.35580600000000001</v>
      </c>
      <c r="AD37" s="11">
        <f t="shared" si="8"/>
        <v>-1</v>
      </c>
      <c r="AE37" s="22">
        <f t="shared" si="9"/>
        <v>-2.87588</v>
      </c>
      <c r="AF37" s="21">
        <f t="shared" si="10"/>
        <v>-0.34109</v>
      </c>
      <c r="AG37" s="21">
        <f t="shared" si="11"/>
        <v>-0.35306100000000001</v>
      </c>
      <c r="AH37" s="11">
        <f t="shared" si="12"/>
        <v>-1</v>
      </c>
      <c r="AI37">
        <v>2.5000000000000001E-2</v>
      </c>
      <c r="AJ37">
        <v>-2.5000000000000001E-2</v>
      </c>
      <c r="AK37">
        <v>1.5E-3</v>
      </c>
      <c r="AL37">
        <v>-1.5E-3</v>
      </c>
      <c r="AM37">
        <v>1.5E-3</v>
      </c>
      <c r="AN37">
        <v>-1.5E-3</v>
      </c>
      <c r="AO37" s="16">
        <v>2.5000000000000001E-2</v>
      </c>
      <c r="AP37" s="16">
        <v>-2.5000000000000001E-2</v>
      </c>
      <c r="AQ37">
        <v>1.4999999999999999E-2</v>
      </c>
      <c r="AR37">
        <v>-1.4999999999999999E-2</v>
      </c>
      <c r="AS37">
        <v>1E-3</v>
      </c>
      <c r="AT37">
        <v>-1E-3</v>
      </c>
      <c r="AU37">
        <v>1E-3</v>
      </c>
      <c r="AV37">
        <v>-1E-3</v>
      </c>
      <c r="AW37" s="16">
        <v>1.4999999999999999E-2</v>
      </c>
      <c r="AX37" s="16">
        <v>-1.4999999999999999E-2</v>
      </c>
    </row>
    <row r="38" spans="1:279" customFormat="1">
      <c r="F38" s="17" t="str">
        <f t="shared" si="0"/>
        <v/>
      </c>
      <c r="G38" s="9"/>
      <c r="H38" s="25">
        <v>1</v>
      </c>
      <c r="I38" s="5"/>
      <c r="J38" s="5"/>
      <c r="K38" s="5"/>
      <c r="L38" s="5"/>
      <c r="M38" s="5">
        <v>2</v>
      </c>
      <c r="N38" s="5"/>
      <c r="O38" s="5"/>
      <c r="P38" s="5"/>
      <c r="Q38" s="5"/>
      <c r="R38" s="5">
        <v>3</v>
      </c>
      <c r="S38" s="5"/>
      <c r="T38" s="5"/>
      <c r="U38" s="5"/>
      <c r="V38" s="5"/>
      <c r="W38" s="22">
        <f t="shared" si="1"/>
        <v>-2.8967999999999998</v>
      </c>
      <c r="X38" s="21">
        <f t="shared" si="2"/>
        <v>-0.34178999999999998</v>
      </c>
      <c r="Y38" s="21">
        <f t="shared" si="3"/>
        <v>-0.35648200000000002</v>
      </c>
      <c r="Z38" s="11">
        <f t="shared" si="4"/>
        <v>-1</v>
      </c>
      <c r="AA38" s="22">
        <f t="shared" si="5"/>
        <v>-2.8784399999999999</v>
      </c>
      <c r="AB38" s="21">
        <f t="shared" si="6"/>
        <v>-0.340362</v>
      </c>
      <c r="AC38" s="21">
        <f t="shared" si="7"/>
        <v>-0.35580600000000001</v>
      </c>
      <c r="AD38" s="11">
        <f t="shared" si="8"/>
        <v>-1</v>
      </c>
      <c r="AE38" s="22">
        <f t="shared" si="9"/>
        <v>-2.87588</v>
      </c>
      <c r="AF38" s="21">
        <f t="shared" si="10"/>
        <v>-0.34109</v>
      </c>
      <c r="AG38" s="21">
        <f t="shared" si="11"/>
        <v>-0.35306100000000001</v>
      </c>
      <c r="AH38" s="11">
        <f t="shared" si="12"/>
        <v>-1</v>
      </c>
      <c r="AI38">
        <v>2.5000000000000001E-2</v>
      </c>
      <c r="AJ38">
        <v>-2.5000000000000001E-2</v>
      </c>
      <c r="AK38">
        <v>1.5E-3</v>
      </c>
      <c r="AL38">
        <v>-1.5E-3</v>
      </c>
      <c r="AM38">
        <v>1.5E-3</v>
      </c>
      <c r="AN38">
        <v>-1.5E-3</v>
      </c>
      <c r="AO38" s="16">
        <v>2.5000000000000001E-2</v>
      </c>
      <c r="AP38" s="16">
        <v>-2.5000000000000001E-2</v>
      </c>
      <c r="AQ38">
        <v>1.4999999999999999E-2</v>
      </c>
      <c r="AR38">
        <v>-1.4999999999999999E-2</v>
      </c>
      <c r="AS38">
        <v>1E-3</v>
      </c>
      <c r="AT38">
        <v>-1E-3</v>
      </c>
      <c r="AU38">
        <v>1E-3</v>
      </c>
      <c r="AV38">
        <v>-1E-3</v>
      </c>
      <c r="AW38" s="16">
        <v>1.4999999999999999E-2</v>
      </c>
      <c r="AX38" s="16">
        <v>-1.4999999999999999E-2</v>
      </c>
    </row>
    <row r="39" spans="1:279" customFormat="1">
      <c r="F39" s="17" t="str">
        <f t="shared" si="0"/>
        <v/>
      </c>
      <c r="G39" s="9"/>
      <c r="H39" s="25">
        <v>1</v>
      </c>
      <c r="I39" s="5"/>
      <c r="J39" s="5"/>
      <c r="K39" s="5"/>
      <c r="L39" s="5"/>
      <c r="M39" s="5">
        <v>2</v>
      </c>
      <c r="N39" s="5"/>
      <c r="O39" s="5"/>
      <c r="P39" s="5"/>
      <c r="Q39" s="5"/>
      <c r="R39" s="5">
        <v>3</v>
      </c>
      <c r="S39" s="5"/>
      <c r="T39" s="5"/>
      <c r="U39" s="5"/>
      <c r="V39" s="5"/>
      <c r="W39" s="22">
        <f t="shared" si="1"/>
        <v>-2.8967999999999998</v>
      </c>
      <c r="X39" s="21">
        <f t="shared" si="2"/>
        <v>-0.34178999999999998</v>
      </c>
      <c r="Y39" s="21">
        <f t="shared" si="3"/>
        <v>-0.35648200000000002</v>
      </c>
      <c r="Z39" s="11">
        <f t="shared" si="4"/>
        <v>-1</v>
      </c>
      <c r="AA39" s="22">
        <f t="shared" si="5"/>
        <v>-2.8784399999999999</v>
      </c>
      <c r="AB39" s="21">
        <f t="shared" si="6"/>
        <v>-0.340362</v>
      </c>
      <c r="AC39" s="21">
        <f t="shared" si="7"/>
        <v>-0.35580600000000001</v>
      </c>
      <c r="AD39" s="11">
        <f t="shared" si="8"/>
        <v>-1</v>
      </c>
      <c r="AE39" s="22">
        <f t="shared" si="9"/>
        <v>-2.87588</v>
      </c>
      <c r="AF39" s="21">
        <f t="shared" si="10"/>
        <v>-0.34109</v>
      </c>
      <c r="AG39" s="21">
        <f t="shared" si="11"/>
        <v>-0.35306100000000001</v>
      </c>
      <c r="AH39" s="11">
        <f t="shared" si="12"/>
        <v>-1</v>
      </c>
      <c r="AI39">
        <v>2.5000000000000001E-2</v>
      </c>
      <c r="AJ39">
        <v>-2.5000000000000001E-2</v>
      </c>
      <c r="AK39">
        <v>1.5E-3</v>
      </c>
      <c r="AL39">
        <v>-1.5E-3</v>
      </c>
      <c r="AM39">
        <v>1.5E-3</v>
      </c>
      <c r="AN39">
        <v>-1.5E-3</v>
      </c>
      <c r="AO39" s="16">
        <v>2.5000000000000001E-2</v>
      </c>
      <c r="AP39" s="16">
        <v>-2.5000000000000001E-2</v>
      </c>
      <c r="AQ39">
        <v>1.4999999999999999E-2</v>
      </c>
      <c r="AR39">
        <v>-1.4999999999999999E-2</v>
      </c>
      <c r="AS39">
        <v>1E-3</v>
      </c>
      <c r="AT39">
        <v>-1E-3</v>
      </c>
      <c r="AU39">
        <v>1E-3</v>
      </c>
      <c r="AV39">
        <v>-1E-3</v>
      </c>
      <c r="AW39" s="16">
        <v>1.4999999999999999E-2</v>
      </c>
      <c r="AX39" s="16">
        <v>-1.4999999999999999E-2</v>
      </c>
    </row>
    <row r="40" spans="1:279" customFormat="1">
      <c r="F40" s="17" t="str">
        <f t="shared" si="0"/>
        <v/>
      </c>
      <c r="G40" s="9"/>
      <c r="H40" s="25">
        <v>1</v>
      </c>
      <c r="I40" s="5"/>
      <c r="J40" s="5"/>
      <c r="K40" s="5"/>
      <c r="L40" s="5"/>
      <c r="M40" s="5">
        <v>2</v>
      </c>
      <c r="N40" s="5"/>
      <c r="O40" s="5"/>
      <c r="P40" s="5"/>
      <c r="Q40" s="5"/>
      <c r="R40" s="5">
        <v>3</v>
      </c>
      <c r="S40" s="5"/>
      <c r="T40" s="5"/>
      <c r="U40" s="5"/>
      <c r="V40" s="5"/>
      <c r="W40" s="22">
        <f t="shared" si="1"/>
        <v>-2.8967999999999998</v>
      </c>
      <c r="X40" s="21">
        <f t="shared" si="2"/>
        <v>-0.34178999999999998</v>
      </c>
      <c r="Y40" s="21">
        <f t="shared" si="3"/>
        <v>-0.35648200000000002</v>
      </c>
      <c r="Z40" s="11">
        <f t="shared" si="4"/>
        <v>-1</v>
      </c>
      <c r="AA40" s="22">
        <f t="shared" si="5"/>
        <v>-2.8784399999999999</v>
      </c>
      <c r="AB40" s="21">
        <f t="shared" si="6"/>
        <v>-0.340362</v>
      </c>
      <c r="AC40" s="21">
        <f t="shared" si="7"/>
        <v>-0.35580600000000001</v>
      </c>
      <c r="AD40" s="11">
        <f t="shared" si="8"/>
        <v>-1</v>
      </c>
      <c r="AE40" s="22">
        <f t="shared" si="9"/>
        <v>-2.87588</v>
      </c>
      <c r="AF40" s="21">
        <f t="shared" si="10"/>
        <v>-0.34109</v>
      </c>
      <c r="AG40" s="21">
        <f t="shared" si="11"/>
        <v>-0.35306100000000001</v>
      </c>
      <c r="AH40" s="11">
        <f t="shared" si="12"/>
        <v>-1</v>
      </c>
      <c r="AI40">
        <v>2.5000000000000001E-2</v>
      </c>
      <c r="AJ40">
        <v>-2.5000000000000001E-2</v>
      </c>
      <c r="AK40">
        <v>1.5E-3</v>
      </c>
      <c r="AL40">
        <v>-1.5E-3</v>
      </c>
      <c r="AM40">
        <v>1.5E-3</v>
      </c>
      <c r="AN40">
        <v>-1.5E-3</v>
      </c>
      <c r="AO40" s="16">
        <v>2.5000000000000001E-2</v>
      </c>
      <c r="AP40" s="16">
        <v>-2.5000000000000001E-2</v>
      </c>
      <c r="AQ40">
        <v>1.4999999999999999E-2</v>
      </c>
      <c r="AR40">
        <v>-1.4999999999999999E-2</v>
      </c>
      <c r="AS40">
        <v>1E-3</v>
      </c>
      <c r="AT40">
        <v>-1E-3</v>
      </c>
      <c r="AU40">
        <v>1E-3</v>
      </c>
      <c r="AV40">
        <v>-1E-3</v>
      </c>
      <c r="AW40" s="16">
        <v>1.4999999999999999E-2</v>
      </c>
      <c r="AX40" s="16">
        <v>-1.4999999999999999E-2</v>
      </c>
    </row>
    <row r="41" spans="1:279" customFormat="1">
      <c r="F41" s="17" t="str">
        <f t="shared" si="0"/>
        <v/>
      </c>
      <c r="G41" s="9"/>
      <c r="H41" s="25">
        <v>1</v>
      </c>
      <c r="I41" s="5"/>
      <c r="J41" s="5"/>
      <c r="K41" s="5"/>
      <c r="L41" s="5"/>
      <c r="M41" s="5">
        <v>2</v>
      </c>
      <c r="N41" s="5"/>
      <c r="O41" s="5"/>
      <c r="P41" s="5"/>
      <c r="Q41" s="5"/>
      <c r="R41" s="5">
        <v>3</v>
      </c>
      <c r="S41" s="5"/>
      <c r="T41" s="5"/>
      <c r="U41" s="5"/>
      <c r="V41" s="5"/>
      <c r="W41" s="22">
        <f t="shared" si="1"/>
        <v>-2.8967999999999998</v>
      </c>
      <c r="X41" s="21">
        <f t="shared" si="2"/>
        <v>-0.34178999999999998</v>
      </c>
      <c r="Y41" s="21">
        <f t="shared" si="3"/>
        <v>-0.35648200000000002</v>
      </c>
      <c r="Z41" s="11">
        <f t="shared" si="4"/>
        <v>-1</v>
      </c>
      <c r="AA41" s="22">
        <f t="shared" si="5"/>
        <v>-2.8784399999999999</v>
      </c>
      <c r="AB41" s="21">
        <f t="shared" si="6"/>
        <v>-0.340362</v>
      </c>
      <c r="AC41" s="21">
        <f t="shared" si="7"/>
        <v>-0.35580600000000001</v>
      </c>
      <c r="AD41" s="11">
        <f t="shared" si="8"/>
        <v>-1</v>
      </c>
      <c r="AE41" s="22">
        <f t="shared" si="9"/>
        <v>-2.87588</v>
      </c>
      <c r="AF41" s="21">
        <f t="shared" si="10"/>
        <v>-0.34109</v>
      </c>
      <c r="AG41" s="21">
        <f t="shared" si="11"/>
        <v>-0.35306100000000001</v>
      </c>
      <c r="AH41" s="11">
        <f t="shared" si="12"/>
        <v>-1</v>
      </c>
      <c r="AI41">
        <v>2.5000000000000001E-2</v>
      </c>
      <c r="AJ41">
        <v>-2.5000000000000001E-2</v>
      </c>
      <c r="AK41">
        <v>1.5E-3</v>
      </c>
      <c r="AL41">
        <v>-1.5E-3</v>
      </c>
      <c r="AM41">
        <v>1.5E-3</v>
      </c>
      <c r="AN41">
        <v>-1.5E-3</v>
      </c>
      <c r="AO41" s="16">
        <v>2.5000000000000001E-2</v>
      </c>
      <c r="AP41" s="16">
        <v>-2.5000000000000001E-2</v>
      </c>
      <c r="AQ41">
        <v>1.4999999999999999E-2</v>
      </c>
      <c r="AR41">
        <v>-1.4999999999999999E-2</v>
      </c>
      <c r="AS41">
        <v>1E-3</v>
      </c>
      <c r="AT41">
        <v>-1E-3</v>
      </c>
      <c r="AU41">
        <v>1E-3</v>
      </c>
      <c r="AV41">
        <v>-1E-3</v>
      </c>
      <c r="AW41" s="16">
        <v>1.4999999999999999E-2</v>
      </c>
      <c r="AX41" s="16">
        <v>-1.4999999999999999E-2</v>
      </c>
    </row>
    <row r="42" spans="1:279" customFormat="1">
      <c r="F42" s="17" t="str">
        <f t="shared" si="0"/>
        <v/>
      </c>
      <c r="G42" s="9"/>
      <c r="H42" s="25">
        <v>1</v>
      </c>
      <c r="I42" s="5"/>
      <c r="J42" s="5"/>
      <c r="K42" s="5"/>
      <c r="L42" s="5"/>
      <c r="M42" s="5">
        <v>2</v>
      </c>
      <c r="N42" s="5"/>
      <c r="O42" s="5"/>
      <c r="P42" s="5"/>
      <c r="Q42" s="5"/>
      <c r="R42" s="5">
        <v>3</v>
      </c>
      <c r="S42" s="5"/>
      <c r="T42" s="5"/>
      <c r="U42" s="5"/>
      <c r="V42" s="5"/>
      <c r="W42" s="22">
        <f t="shared" si="1"/>
        <v>-2.8967999999999998</v>
      </c>
      <c r="X42" s="21">
        <f t="shared" si="2"/>
        <v>-0.34178999999999998</v>
      </c>
      <c r="Y42" s="21">
        <f t="shared" si="3"/>
        <v>-0.35648200000000002</v>
      </c>
      <c r="Z42" s="11">
        <f t="shared" si="4"/>
        <v>-1</v>
      </c>
      <c r="AA42" s="22">
        <f t="shared" si="5"/>
        <v>-2.8784399999999999</v>
      </c>
      <c r="AB42" s="21">
        <f t="shared" si="6"/>
        <v>-0.340362</v>
      </c>
      <c r="AC42" s="21">
        <f t="shared" si="7"/>
        <v>-0.35580600000000001</v>
      </c>
      <c r="AD42" s="11">
        <f t="shared" si="8"/>
        <v>-1</v>
      </c>
      <c r="AE42" s="22">
        <f t="shared" si="9"/>
        <v>-2.87588</v>
      </c>
      <c r="AF42" s="21">
        <f t="shared" si="10"/>
        <v>-0.34109</v>
      </c>
      <c r="AG42" s="21">
        <f t="shared" si="11"/>
        <v>-0.35306100000000001</v>
      </c>
      <c r="AH42" s="11">
        <f t="shared" si="12"/>
        <v>-1</v>
      </c>
      <c r="AI42">
        <v>2.5000000000000001E-2</v>
      </c>
      <c r="AJ42">
        <v>-2.5000000000000001E-2</v>
      </c>
      <c r="AK42">
        <v>1.5E-3</v>
      </c>
      <c r="AL42">
        <v>-1.5E-3</v>
      </c>
      <c r="AM42">
        <v>1.5E-3</v>
      </c>
      <c r="AN42">
        <v>-1.5E-3</v>
      </c>
      <c r="AO42" s="16">
        <v>2.5000000000000001E-2</v>
      </c>
      <c r="AP42" s="16">
        <v>-2.5000000000000001E-2</v>
      </c>
      <c r="AQ42">
        <v>1.4999999999999999E-2</v>
      </c>
      <c r="AR42">
        <v>-1.4999999999999999E-2</v>
      </c>
      <c r="AS42">
        <v>1E-3</v>
      </c>
      <c r="AT42">
        <v>-1E-3</v>
      </c>
      <c r="AU42">
        <v>1E-3</v>
      </c>
      <c r="AV42">
        <v>-1E-3</v>
      </c>
      <c r="AW42" s="16">
        <v>1.4999999999999999E-2</v>
      </c>
      <c r="AX42" s="16">
        <v>-1.4999999999999999E-2</v>
      </c>
    </row>
    <row r="43" spans="1:279" customFormat="1">
      <c r="F43" s="17" t="str">
        <f t="shared" si="0"/>
        <v/>
      </c>
      <c r="G43" s="9"/>
      <c r="H43" s="25">
        <v>1</v>
      </c>
      <c r="I43" s="5"/>
      <c r="J43" s="5"/>
      <c r="K43" s="5"/>
      <c r="L43" s="5"/>
      <c r="M43" s="5">
        <v>2</v>
      </c>
      <c r="N43" s="5"/>
      <c r="O43" s="5"/>
      <c r="P43" s="5"/>
      <c r="Q43" s="5"/>
      <c r="R43" s="5">
        <v>3</v>
      </c>
      <c r="S43" s="5"/>
      <c r="T43" s="5"/>
      <c r="U43" s="5"/>
      <c r="V43" s="5"/>
      <c r="W43" s="22">
        <f t="shared" si="1"/>
        <v>-2.8967999999999998</v>
      </c>
      <c r="X43" s="21">
        <f t="shared" si="2"/>
        <v>-0.34178999999999998</v>
      </c>
      <c r="Y43" s="21">
        <f t="shared" si="3"/>
        <v>-0.35648200000000002</v>
      </c>
      <c r="Z43" s="11">
        <f t="shared" si="4"/>
        <v>-1</v>
      </c>
      <c r="AA43" s="22">
        <f t="shared" si="5"/>
        <v>-2.8784399999999999</v>
      </c>
      <c r="AB43" s="21">
        <f t="shared" si="6"/>
        <v>-0.340362</v>
      </c>
      <c r="AC43" s="21">
        <f t="shared" si="7"/>
        <v>-0.35580600000000001</v>
      </c>
      <c r="AD43" s="11">
        <f t="shared" si="8"/>
        <v>-1</v>
      </c>
      <c r="AE43" s="22">
        <f t="shared" si="9"/>
        <v>-2.87588</v>
      </c>
      <c r="AF43" s="21">
        <f t="shared" si="10"/>
        <v>-0.34109</v>
      </c>
      <c r="AG43" s="21">
        <f t="shared" si="11"/>
        <v>-0.35306100000000001</v>
      </c>
      <c r="AH43" s="11">
        <f t="shared" si="12"/>
        <v>-1</v>
      </c>
      <c r="AI43">
        <v>2.5000000000000001E-2</v>
      </c>
      <c r="AJ43">
        <v>-2.5000000000000001E-2</v>
      </c>
      <c r="AK43">
        <v>1.5E-3</v>
      </c>
      <c r="AL43">
        <v>-1.5E-3</v>
      </c>
      <c r="AM43">
        <v>1.5E-3</v>
      </c>
      <c r="AN43">
        <v>-1.5E-3</v>
      </c>
      <c r="AO43" s="16">
        <v>2.5000000000000001E-2</v>
      </c>
      <c r="AP43" s="16">
        <v>-2.5000000000000001E-2</v>
      </c>
      <c r="AQ43">
        <v>1.4999999999999999E-2</v>
      </c>
      <c r="AR43">
        <v>-1.4999999999999999E-2</v>
      </c>
      <c r="AS43">
        <v>1E-3</v>
      </c>
      <c r="AT43">
        <v>-1E-3</v>
      </c>
      <c r="AU43">
        <v>1E-3</v>
      </c>
      <c r="AV43">
        <v>-1E-3</v>
      </c>
      <c r="AW43" s="16">
        <v>1.4999999999999999E-2</v>
      </c>
      <c r="AX43" s="16">
        <v>-1.4999999999999999E-2</v>
      </c>
    </row>
    <row r="44" spans="1:279" customFormat="1">
      <c r="F44" s="17" t="str">
        <f t="shared" si="0"/>
        <v/>
      </c>
      <c r="G44" s="9"/>
      <c r="H44" s="25">
        <v>1</v>
      </c>
      <c r="I44" s="5"/>
      <c r="J44" s="5"/>
      <c r="K44" s="5"/>
      <c r="L44" s="5"/>
      <c r="M44" s="5">
        <v>2</v>
      </c>
      <c r="N44" s="5"/>
      <c r="O44" s="5"/>
      <c r="P44" s="5"/>
      <c r="Q44" s="5"/>
      <c r="R44" s="5">
        <v>3</v>
      </c>
      <c r="S44" s="5"/>
      <c r="T44" s="5"/>
      <c r="U44" s="5"/>
      <c r="V44" s="5"/>
      <c r="W44" s="22">
        <f t="shared" si="1"/>
        <v>-2.8967999999999998</v>
      </c>
      <c r="X44" s="21">
        <f t="shared" si="2"/>
        <v>-0.34178999999999998</v>
      </c>
      <c r="Y44" s="21">
        <f t="shared" si="3"/>
        <v>-0.35648200000000002</v>
      </c>
      <c r="Z44" s="11">
        <f t="shared" si="4"/>
        <v>-1</v>
      </c>
      <c r="AA44" s="22">
        <f t="shared" si="5"/>
        <v>-2.8784399999999999</v>
      </c>
      <c r="AB44" s="21">
        <f t="shared" si="6"/>
        <v>-0.340362</v>
      </c>
      <c r="AC44" s="21">
        <f t="shared" si="7"/>
        <v>-0.35580600000000001</v>
      </c>
      <c r="AD44" s="11">
        <f t="shared" si="8"/>
        <v>-1</v>
      </c>
      <c r="AE44" s="22">
        <f t="shared" si="9"/>
        <v>-2.87588</v>
      </c>
      <c r="AF44" s="21">
        <f t="shared" si="10"/>
        <v>-0.34109</v>
      </c>
      <c r="AG44" s="21">
        <f t="shared" si="11"/>
        <v>-0.35306100000000001</v>
      </c>
      <c r="AH44" s="11">
        <f t="shared" si="12"/>
        <v>-1</v>
      </c>
      <c r="AI44">
        <v>2.5000000000000001E-2</v>
      </c>
      <c r="AJ44">
        <v>-2.5000000000000001E-2</v>
      </c>
      <c r="AK44">
        <v>1.5E-3</v>
      </c>
      <c r="AL44">
        <v>-1.5E-3</v>
      </c>
      <c r="AM44">
        <v>1.5E-3</v>
      </c>
      <c r="AN44">
        <v>-1.5E-3</v>
      </c>
      <c r="AO44" s="16">
        <v>2.5000000000000001E-2</v>
      </c>
      <c r="AP44" s="16">
        <v>-2.5000000000000001E-2</v>
      </c>
      <c r="AQ44">
        <v>1.4999999999999999E-2</v>
      </c>
      <c r="AR44">
        <v>-1.4999999999999999E-2</v>
      </c>
      <c r="AS44">
        <v>1E-3</v>
      </c>
      <c r="AT44">
        <v>-1E-3</v>
      </c>
      <c r="AU44">
        <v>1E-3</v>
      </c>
      <c r="AV44">
        <v>-1E-3</v>
      </c>
      <c r="AW44" s="16">
        <v>1.4999999999999999E-2</v>
      </c>
      <c r="AX44" s="16">
        <v>-1.4999999999999999E-2</v>
      </c>
    </row>
    <row r="45" spans="1:279" customFormat="1">
      <c r="F45" s="17" t="str">
        <f t="shared" si="0"/>
        <v/>
      </c>
      <c r="G45" s="9"/>
      <c r="H45" s="25">
        <v>1</v>
      </c>
      <c r="I45" s="5"/>
      <c r="J45" s="5"/>
      <c r="K45" s="5"/>
      <c r="L45" s="5"/>
      <c r="M45" s="5">
        <v>2</v>
      </c>
      <c r="N45" s="5"/>
      <c r="O45" s="5"/>
      <c r="P45" s="5"/>
      <c r="Q45" s="5"/>
      <c r="R45" s="5">
        <v>3</v>
      </c>
      <c r="S45" s="5"/>
      <c r="T45" s="5"/>
      <c r="U45" s="5"/>
      <c r="V45" s="5"/>
      <c r="W45" s="22">
        <f t="shared" si="1"/>
        <v>-2.8967999999999998</v>
      </c>
      <c r="X45" s="21">
        <f t="shared" si="2"/>
        <v>-0.34178999999999998</v>
      </c>
      <c r="Y45" s="21">
        <f t="shared" si="3"/>
        <v>-0.35648200000000002</v>
      </c>
      <c r="Z45" s="11">
        <f t="shared" si="4"/>
        <v>-1</v>
      </c>
      <c r="AA45" s="22">
        <f t="shared" si="5"/>
        <v>-2.8784399999999999</v>
      </c>
      <c r="AB45" s="21">
        <f t="shared" si="6"/>
        <v>-0.340362</v>
      </c>
      <c r="AC45" s="21">
        <f t="shared" si="7"/>
        <v>-0.35580600000000001</v>
      </c>
      <c r="AD45" s="11">
        <f t="shared" si="8"/>
        <v>-1</v>
      </c>
      <c r="AE45" s="22">
        <f t="shared" si="9"/>
        <v>-2.87588</v>
      </c>
      <c r="AF45" s="21">
        <f t="shared" si="10"/>
        <v>-0.34109</v>
      </c>
      <c r="AG45" s="21">
        <f t="shared" si="11"/>
        <v>-0.35306100000000001</v>
      </c>
      <c r="AH45" s="11">
        <f t="shared" si="12"/>
        <v>-1</v>
      </c>
      <c r="AI45">
        <v>2.5000000000000001E-2</v>
      </c>
      <c r="AJ45">
        <v>-2.5000000000000001E-2</v>
      </c>
      <c r="AK45">
        <v>1.5E-3</v>
      </c>
      <c r="AL45">
        <v>-1.5E-3</v>
      </c>
      <c r="AM45">
        <v>1.5E-3</v>
      </c>
      <c r="AN45">
        <v>-1.5E-3</v>
      </c>
      <c r="AO45" s="16">
        <v>2.5000000000000001E-2</v>
      </c>
      <c r="AP45" s="16">
        <v>-2.5000000000000001E-2</v>
      </c>
      <c r="AQ45">
        <v>1.4999999999999999E-2</v>
      </c>
      <c r="AR45">
        <v>-1.4999999999999999E-2</v>
      </c>
      <c r="AS45">
        <v>1E-3</v>
      </c>
      <c r="AT45">
        <v>-1E-3</v>
      </c>
      <c r="AU45">
        <v>1E-3</v>
      </c>
      <c r="AV45">
        <v>-1E-3</v>
      </c>
      <c r="AW45" s="16">
        <v>1.4999999999999999E-2</v>
      </c>
      <c r="AX45" s="16">
        <v>-1.4999999999999999E-2</v>
      </c>
    </row>
    <row r="46" spans="1:279" customFormat="1">
      <c r="F46" s="17" t="str">
        <f t="shared" si="0"/>
        <v/>
      </c>
      <c r="G46" s="9"/>
      <c r="H46" s="25">
        <v>1</v>
      </c>
      <c r="I46" s="5"/>
      <c r="J46" s="5"/>
      <c r="K46" s="5"/>
      <c r="L46" s="5"/>
      <c r="M46" s="5">
        <v>2</v>
      </c>
      <c r="N46" s="5"/>
      <c r="O46" s="5"/>
      <c r="P46" s="5"/>
      <c r="Q46" s="5"/>
      <c r="R46" s="5">
        <v>3</v>
      </c>
      <c r="S46" s="5"/>
      <c r="T46" s="5"/>
      <c r="U46" s="5"/>
      <c r="V46" s="5"/>
      <c r="W46" s="22">
        <f t="shared" si="1"/>
        <v>-2.8967999999999998</v>
      </c>
      <c r="X46" s="21">
        <f t="shared" si="2"/>
        <v>-0.34178999999999998</v>
      </c>
      <c r="Y46" s="21">
        <f t="shared" si="3"/>
        <v>-0.35648200000000002</v>
      </c>
      <c r="Z46" s="11">
        <f t="shared" si="4"/>
        <v>-1</v>
      </c>
      <c r="AA46" s="22">
        <f t="shared" si="5"/>
        <v>-2.8784399999999999</v>
      </c>
      <c r="AB46" s="21">
        <f t="shared" si="6"/>
        <v>-0.340362</v>
      </c>
      <c r="AC46" s="21">
        <f t="shared" si="7"/>
        <v>-0.35580600000000001</v>
      </c>
      <c r="AD46" s="11">
        <f t="shared" si="8"/>
        <v>-1</v>
      </c>
      <c r="AE46" s="22">
        <f t="shared" si="9"/>
        <v>-2.87588</v>
      </c>
      <c r="AF46" s="21">
        <f t="shared" si="10"/>
        <v>-0.34109</v>
      </c>
      <c r="AG46" s="21">
        <f t="shared" si="11"/>
        <v>-0.35306100000000001</v>
      </c>
      <c r="AH46" s="11">
        <f t="shared" si="12"/>
        <v>-1</v>
      </c>
      <c r="AI46">
        <v>2.5000000000000001E-2</v>
      </c>
      <c r="AJ46">
        <v>-2.5000000000000001E-2</v>
      </c>
      <c r="AK46">
        <v>1.5E-3</v>
      </c>
      <c r="AL46">
        <v>-1.5E-3</v>
      </c>
      <c r="AM46">
        <v>1.5E-3</v>
      </c>
      <c r="AN46">
        <v>-1.5E-3</v>
      </c>
      <c r="AO46" s="16">
        <v>2.5000000000000001E-2</v>
      </c>
      <c r="AP46" s="16">
        <v>-2.5000000000000001E-2</v>
      </c>
      <c r="AQ46">
        <v>1.4999999999999999E-2</v>
      </c>
      <c r="AR46">
        <v>-1.4999999999999999E-2</v>
      </c>
      <c r="AS46">
        <v>1E-3</v>
      </c>
      <c r="AT46">
        <v>-1E-3</v>
      </c>
      <c r="AU46">
        <v>1E-3</v>
      </c>
      <c r="AV46">
        <v>-1E-3</v>
      </c>
      <c r="AW46" s="16">
        <v>1.4999999999999999E-2</v>
      </c>
      <c r="AX46" s="16">
        <v>-1.4999999999999999E-2</v>
      </c>
      <c r="JR46">
        <v>12.849506578947368</v>
      </c>
      <c r="JS46">
        <v>25.699013157894736</v>
      </c>
    </row>
    <row r="47" spans="1:279" customFormat="1">
      <c r="F47" s="17" t="str">
        <f t="shared" si="0"/>
        <v/>
      </c>
      <c r="G47" s="9"/>
      <c r="H47" s="2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22" t="e">
        <f t="shared" si="1"/>
        <v>#N/A</v>
      </c>
      <c r="X47" s="21" t="e">
        <f t="shared" si="2"/>
        <v>#N/A</v>
      </c>
      <c r="Y47" s="21" t="e">
        <f t="shared" si="3"/>
        <v>#N/A</v>
      </c>
      <c r="Z47" s="11" t="e">
        <f t="shared" si="4"/>
        <v>#N/A</v>
      </c>
      <c r="AA47" s="22" t="e">
        <f t="shared" si="5"/>
        <v>#N/A</v>
      </c>
      <c r="AB47" s="21" t="e">
        <f t="shared" si="6"/>
        <v>#N/A</v>
      </c>
      <c r="AC47" s="21" t="e">
        <f t="shared" si="7"/>
        <v>#N/A</v>
      </c>
      <c r="AD47" s="11" t="e">
        <f t="shared" si="8"/>
        <v>#N/A</v>
      </c>
      <c r="AE47" s="22" t="e">
        <f t="shared" si="9"/>
        <v>#N/A</v>
      </c>
      <c r="AF47" s="21" t="e">
        <f t="shared" si="10"/>
        <v>#N/A</v>
      </c>
      <c r="AG47" s="21" t="e">
        <f t="shared" si="11"/>
        <v>#N/A</v>
      </c>
      <c r="AH47" s="11" t="e">
        <f t="shared" si="12"/>
        <v>#N/A</v>
      </c>
      <c r="AI47">
        <v>2.5000000000000001E-2</v>
      </c>
      <c r="AJ47">
        <v>-2.5000000000000001E-2</v>
      </c>
      <c r="AK47">
        <v>1.5E-3</v>
      </c>
      <c r="AL47">
        <v>-1.5E-3</v>
      </c>
      <c r="AM47">
        <v>1.5E-3</v>
      </c>
      <c r="AN47">
        <v>-1.5E-3</v>
      </c>
      <c r="AO47" s="16">
        <v>2.5000000000000001E-2</v>
      </c>
      <c r="AP47" s="16">
        <v>-2.5000000000000001E-2</v>
      </c>
      <c r="AQ47">
        <v>1.4999999999999999E-2</v>
      </c>
      <c r="AR47">
        <v>-1.4999999999999999E-2</v>
      </c>
      <c r="AS47">
        <v>1E-3</v>
      </c>
      <c r="AT47">
        <v>-1E-3</v>
      </c>
      <c r="AU47">
        <v>1E-3</v>
      </c>
      <c r="AV47">
        <v>-1E-3</v>
      </c>
      <c r="AW47" s="16">
        <v>1.4999999999999999E-2</v>
      </c>
      <c r="AX47" s="16">
        <v>-1.4999999999999999E-2</v>
      </c>
    </row>
    <row r="48" spans="1:279" customFormat="1">
      <c r="F48" s="17" t="str">
        <f t="shared" si="0"/>
        <v/>
      </c>
      <c r="G48" s="9"/>
      <c r="H48" s="2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22" t="e">
        <f t="shared" si="1"/>
        <v>#N/A</v>
      </c>
      <c r="X48" s="21" t="e">
        <f t="shared" si="2"/>
        <v>#N/A</v>
      </c>
      <c r="Y48" s="21" t="e">
        <f t="shared" si="3"/>
        <v>#N/A</v>
      </c>
      <c r="Z48" s="11" t="e">
        <f t="shared" si="4"/>
        <v>#N/A</v>
      </c>
      <c r="AA48" s="22" t="e">
        <f t="shared" si="5"/>
        <v>#N/A</v>
      </c>
      <c r="AB48" s="21" t="e">
        <f t="shared" si="6"/>
        <v>#N/A</v>
      </c>
      <c r="AC48" s="21" t="e">
        <f t="shared" si="7"/>
        <v>#N/A</v>
      </c>
      <c r="AD48" s="11" t="e">
        <f t="shared" si="8"/>
        <v>#N/A</v>
      </c>
      <c r="AE48" s="22" t="e">
        <f t="shared" si="9"/>
        <v>#N/A</v>
      </c>
      <c r="AF48" s="21" t="e">
        <f t="shared" si="10"/>
        <v>#N/A</v>
      </c>
      <c r="AG48" s="21" t="e">
        <f t="shared" si="11"/>
        <v>#N/A</v>
      </c>
      <c r="AH48" s="11" t="e">
        <f t="shared" si="12"/>
        <v>#N/A</v>
      </c>
      <c r="AI48">
        <v>2.5000000000000001E-2</v>
      </c>
      <c r="AJ48">
        <v>-2.5000000000000001E-2</v>
      </c>
      <c r="AK48">
        <v>1.5E-3</v>
      </c>
      <c r="AL48">
        <v>-1.5E-3</v>
      </c>
      <c r="AM48">
        <v>1.5E-3</v>
      </c>
      <c r="AN48">
        <v>-1.5E-3</v>
      </c>
      <c r="AO48" s="16">
        <v>2.5000000000000001E-2</v>
      </c>
      <c r="AP48" s="16">
        <v>-2.5000000000000001E-2</v>
      </c>
      <c r="AQ48">
        <v>1.4999999999999999E-2</v>
      </c>
      <c r="AR48">
        <v>-1.4999999999999999E-2</v>
      </c>
      <c r="AS48">
        <v>1E-3</v>
      </c>
      <c r="AT48">
        <v>-1E-3</v>
      </c>
      <c r="AU48">
        <v>1E-3</v>
      </c>
      <c r="AV48">
        <v>-1E-3</v>
      </c>
      <c r="AW48" s="16">
        <v>1.4999999999999999E-2</v>
      </c>
      <c r="AX48" s="16">
        <v>-1.4999999999999999E-2</v>
      </c>
      <c r="JQ48">
        <v>12.849506578947368</v>
      </c>
      <c r="JR48">
        <v>12.849506578947368</v>
      </c>
      <c r="JS48">
        <v>12.849506578947368</v>
      </c>
    </row>
    <row r="49" spans="6:279" customFormat="1">
      <c r="F49" s="17" t="str">
        <f t="shared" si="0"/>
        <v/>
      </c>
      <c r="G49" s="9"/>
      <c r="H49" s="2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22" t="e">
        <f t="shared" si="1"/>
        <v>#N/A</v>
      </c>
      <c r="X49" s="21" t="e">
        <f t="shared" si="2"/>
        <v>#N/A</v>
      </c>
      <c r="Y49" s="21" t="e">
        <f t="shared" si="3"/>
        <v>#N/A</v>
      </c>
      <c r="Z49" s="11" t="e">
        <f t="shared" si="4"/>
        <v>#N/A</v>
      </c>
      <c r="AA49" s="22" t="e">
        <f t="shared" si="5"/>
        <v>#N/A</v>
      </c>
      <c r="AB49" s="21" t="e">
        <f t="shared" si="6"/>
        <v>#N/A</v>
      </c>
      <c r="AC49" s="21" t="e">
        <f t="shared" si="7"/>
        <v>#N/A</v>
      </c>
      <c r="AD49" s="11" t="e">
        <f t="shared" si="8"/>
        <v>#N/A</v>
      </c>
      <c r="AE49" s="22" t="e">
        <f t="shared" si="9"/>
        <v>#N/A</v>
      </c>
      <c r="AF49" s="21" t="e">
        <f t="shared" si="10"/>
        <v>#N/A</v>
      </c>
      <c r="AG49" s="21" t="e">
        <f t="shared" si="11"/>
        <v>#N/A</v>
      </c>
      <c r="AH49" s="11" t="e">
        <f t="shared" si="12"/>
        <v>#N/A</v>
      </c>
      <c r="AI49">
        <v>2.5000000000000001E-2</v>
      </c>
      <c r="AJ49">
        <v>-2.5000000000000001E-2</v>
      </c>
      <c r="AK49">
        <v>1.5E-3</v>
      </c>
      <c r="AL49">
        <v>-1.5E-3</v>
      </c>
      <c r="AM49">
        <v>1.5E-3</v>
      </c>
      <c r="AN49">
        <v>-1.5E-3</v>
      </c>
      <c r="AO49" s="16">
        <v>2.5000000000000001E-2</v>
      </c>
      <c r="AP49" s="16">
        <v>-2.5000000000000001E-2</v>
      </c>
      <c r="AQ49">
        <v>1.4999999999999999E-2</v>
      </c>
      <c r="AR49">
        <v>-1.4999999999999999E-2</v>
      </c>
      <c r="AS49">
        <v>1E-3</v>
      </c>
      <c r="AT49">
        <v>-1E-3</v>
      </c>
      <c r="AU49">
        <v>1E-3</v>
      </c>
      <c r="AV49">
        <v>-1E-3</v>
      </c>
      <c r="AW49" s="16">
        <v>1.4999999999999999E-2</v>
      </c>
      <c r="AX49" s="16">
        <v>-1.4999999999999999E-2</v>
      </c>
    </row>
    <row r="50" spans="6:279" customFormat="1">
      <c r="F50" s="17" t="str">
        <f t="shared" si="0"/>
        <v/>
      </c>
      <c r="G50" s="9"/>
      <c r="H50" s="2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22" t="e">
        <f t="shared" si="1"/>
        <v>#N/A</v>
      </c>
      <c r="X50" s="21" t="e">
        <f t="shared" si="2"/>
        <v>#N/A</v>
      </c>
      <c r="Y50" s="21" t="e">
        <f t="shared" si="3"/>
        <v>#N/A</v>
      </c>
      <c r="Z50" s="11" t="e">
        <f t="shared" si="4"/>
        <v>#N/A</v>
      </c>
      <c r="AA50" s="22" t="e">
        <f t="shared" si="5"/>
        <v>#N/A</v>
      </c>
      <c r="AB50" s="21" t="e">
        <f t="shared" si="6"/>
        <v>#N/A</v>
      </c>
      <c r="AC50" s="21" t="e">
        <f t="shared" si="7"/>
        <v>#N/A</v>
      </c>
      <c r="AD50" s="11" t="e">
        <f t="shared" si="8"/>
        <v>#N/A</v>
      </c>
      <c r="AE50" s="22" t="e">
        <f t="shared" si="9"/>
        <v>#N/A</v>
      </c>
      <c r="AF50" s="21" t="e">
        <f t="shared" si="10"/>
        <v>#N/A</v>
      </c>
      <c r="AG50" s="21" t="e">
        <f t="shared" si="11"/>
        <v>#N/A</v>
      </c>
      <c r="AH50" s="11" t="e">
        <f t="shared" si="12"/>
        <v>#N/A</v>
      </c>
      <c r="AI50">
        <v>2.5000000000000001E-2</v>
      </c>
      <c r="AJ50">
        <v>-2.5000000000000001E-2</v>
      </c>
      <c r="AK50">
        <v>1.5E-3</v>
      </c>
      <c r="AL50">
        <v>-1.5E-3</v>
      </c>
      <c r="AM50">
        <v>1.5E-3</v>
      </c>
      <c r="AN50">
        <v>-1.5E-3</v>
      </c>
      <c r="AO50" s="16">
        <v>2.5000000000000001E-2</v>
      </c>
      <c r="AP50" s="16">
        <v>-2.5000000000000001E-2</v>
      </c>
      <c r="AQ50">
        <v>1.4999999999999999E-2</v>
      </c>
      <c r="AR50">
        <v>-1.4999999999999999E-2</v>
      </c>
      <c r="AS50">
        <v>1E-3</v>
      </c>
      <c r="AT50">
        <v>-1E-3</v>
      </c>
      <c r="AU50">
        <v>1E-3</v>
      </c>
      <c r="AV50">
        <v>-1E-3</v>
      </c>
      <c r="AW50" s="16">
        <v>1.4999999999999999E-2</v>
      </c>
      <c r="AX50" s="16">
        <v>-1.4999999999999999E-2</v>
      </c>
    </row>
    <row r="51" spans="6:279" customFormat="1">
      <c r="F51" s="17" t="str">
        <f t="shared" si="0"/>
        <v/>
      </c>
      <c r="G51" s="9"/>
      <c r="H51" s="2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22" t="e">
        <f t="shared" si="1"/>
        <v>#N/A</v>
      </c>
      <c r="X51" s="21" t="e">
        <f t="shared" si="2"/>
        <v>#N/A</v>
      </c>
      <c r="Y51" s="21" t="e">
        <f t="shared" si="3"/>
        <v>#N/A</v>
      </c>
      <c r="Z51" s="11" t="e">
        <f t="shared" si="4"/>
        <v>#N/A</v>
      </c>
      <c r="AA51" s="22" t="e">
        <f t="shared" si="5"/>
        <v>#N/A</v>
      </c>
      <c r="AB51" s="21" t="e">
        <f t="shared" si="6"/>
        <v>#N/A</v>
      </c>
      <c r="AC51" s="21" t="e">
        <f t="shared" si="7"/>
        <v>#N/A</v>
      </c>
      <c r="AD51" s="11" t="e">
        <f t="shared" si="8"/>
        <v>#N/A</v>
      </c>
      <c r="AE51" s="22" t="e">
        <f t="shared" si="9"/>
        <v>#N/A</v>
      </c>
      <c r="AF51" s="21" t="e">
        <f t="shared" si="10"/>
        <v>#N/A</v>
      </c>
      <c r="AG51" s="21" t="e">
        <f t="shared" si="11"/>
        <v>#N/A</v>
      </c>
      <c r="AH51" s="11" t="e">
        <f t="shared" si="12"/>
        <v>#N/A</v>
      </c>
      <c r="AI51">
        <v>2.5000000000000001E-2</v>
      </c>
      <c r="AJ51">
        <v>-2.5000000000000001E-2</v>
      </c>
      <c r="AK51">
        <v>1.5E-3</v>
      </c>
      <c r="AL51">
        <v>-1.5E-3</v>
      </c>
      <c r="AM51">
        <v>1.5E-3</v>
      </c>
      <c r="AN51">
        <v>-1.5E-3</v>
      </c>
      <c r="AO51" s="16">
        <v>2.5000000000000001E-2</v>
      </c>
      <c r="AP51" s="16">
        <v>-2.5000000000000001E-2</v>
      </c>
      <c r="AQ51">
        <v>1.4999999999999999E-2</v>
      </c>
      <c r="AR51">
        <v>-1.4999999999999999E-2</v>
      </c>
      <c r="AS51">
        <v>1E-3</v>
      </c>
      <c r="AT51">
        <v>-1E-3</v>
      </c>
      <c r="AU51">
        <v>1E-3</v>
      </c>
      <c r="AV51">
        <v>-1E-3</v>
      </c>
      <c r="AW51" s="16">
        <v>1.4999999999999999E-2</v>
      </c>
      <c r="AX51" s="16">
        <v>-1.4999999999999999E-2</v>
      </c>
    </row>
    <row r="52" spans="6:279" customFormat="1">
      <c r="F52" s="17" t="str">
        <f t="shared" si="0"/>
        <v/>
      </c>
      <c r="G52" s="9"/>
      <c r="H52" s="2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22" t="e">
        <f t="shared" si="1"/>
        <v>#N/A</v>
      </c>
      <c r="X52" s="21" t="e">
        <f t="shared" si="2"/>
        <v>#N/A</v>
      </c>
      <c r="Y52" s="21" t="e">
        <f t="shared" si="3"/>
        <v>#N/A</v>
      </c>
      <c r="Z52" s="11" t="e">
        <f t="shared" si="4"/>
        <v>#N/A</v>
      </c>
      <c r="AA52" s="22" t="e">
        <f t="shared" si="5"/>
        <v>#N/A</v>
      </c>
      <c r="AB52" s="21" t="e">
        <f t="shared" si="6"/>
        <v>#N/A</v>
      </c>
      <c r="AC52" s="21" t="e">
        <f t="shared" si="7"/>
        <v>#N/A</v>
      </c>
      <c r="AD52" s="11" t="e">
        <f t="shared" si="8"/>
        <v>#N/A</v>
      </c>
      <c r="AE52" s="22" t="e">
        <f t="shared" si="9"/>
        <v>#N/A</v>
      </c>
      <c r="AF52" s="21" t="e">
        <f t="shared" si="10"/>
        <v>#N/A</v>
      </c>
      <c r="AG52" s="21" t="e">
        <f t="shared" si="11"/>
        <v>#N/A</v>
      </c>
      <c r="AH52" s="11" t="e">
        <f t="shared" si="12"/>
        <v>#N/A</v>
      </c>
      <c r="AI52">
        <v>2.5000000000000001E-2</v>
      </c>
      <c r="AJ52">
        <v>-2.5000000000000001E-2</v>
      </c>
      <c r="AK52">
        <v>1.5E-3</v>
      </c>
      <c r="AL52">
        <v>-1.5E-3</v>
      </c>
      <c r="AM52">
        <v>1.5E-3</v>
      </c>
      <c r="AN52">
        <v>-1.5E-3</v>
      </c>
      <c r="AO52" s="16">
        <v>2.5000000000000001E-2</v>
      </c>
      <c r="AP52" s="16">
        <v>-2.5000000000000001E-2</v>
      </c>
      <c r="AQ52">
        <v>1.4999999999999999E-2</v>
      </c>
      <c r="AR52">
        <v>-1.4999999999999999E-2</v>
      </c>
      <c r="AS52">
        <v>1E-3</v>
      </c>
      <c r="AT52">
        <v>-1E-3</v>
      </c>
      <c r="AU52">
        <v>1E-3</v>
      </c>
      <c r="AV52">
        <v>-1E-3</v>
      </c>
      <c r="AW52" s="16">
        <v>1.4999999999999999E-2</v>
      </c>
      <c r="AX52" s="16">
        <v>-1.4999999999999999E-2</v>
      </c>
    </row>
    <row r="53" spans="6:279" customFormat="1">
      <c r="F53" s="17" t="str">
        <f t="shared" si="0"/>
        <v/>
      </c>
      <c r="G53" s="9"/>
      <c r="H53" s="2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22" t="e">
        <f t="shared" si="1"/>
        <v>#N/A</v>
      </c>
      <c r="X53" s="21" t="e">
        <f t="shared" si="2"/>
        <v>#N/A</v>
      </c>
      <c r="Y53" s="21" t="e">
        <f t="shared" si="3"/>
        <v>#N/A</v>
      </c>
      <c r="Z53" s="11" t="e">
        <f t="shared" si="4"/>
        <v>#N/A</v>
      </c>
      <c r="AA53" s="22" t="e">
        <f t="shared" si="5"/>
        <v>#N/A</v>
      </c>
      <c r="AB53" s="21" t="e">
        <f t="shared" si="6"/>
        <v>#N/A</v>
      </c>
      <c r="AC53" s="21" t="e">
        <f t="shared" si="7"/>
        <v>#N/A</v>
      </c>
      <c r="AD53" s="11" t="e">
        <f t="shared" si="8"/>
        <v>#N/A</v>
      </c>
      <c r="AE53" s="22" t="e">
        <f t="shared" si="9"/>
        <v>#N/A</v>
      </c>
      <c r="AF53" s="21" t="e">
        <f t="shared" si="10"/>
        <v>#N/A</v>
      </c>
      <c r="AG53" s="21" t="e">
        <f t="shared" si="11"/>
        <v>#N/A</v>
      </c>
      <c r="AH53" s="11" t="e">
        <f t="shared" si="12"/>
        <v>#N/A</v>
      </c>
      <c r="AI53">
        <v>2.5000000000000001E-2</v>
      </c>
      <c r="AJ53">
        <v>-2.5000000000000001E-2</v>
      </c>
      <c r="AK53">
        <v>1.5E-3</v>
      </c>
      <c r="AL53">
        <v>-1.5E-3</v>
      </c>
      <c r="AM53">
        <v>1.5E-3</v>
      </c>
      <c r="AN53">
        <v>-1.5E-3</v>
      </c>
      <c r="AO53" s="16">
        <v>2.5000000000000001E-2</v>
      </c>
      <c r="AP53" s="16">
        <v>-2.5000000000000001E-2</v>
      </c>
      <c r="AQ53">
        <v>1.4999999999999999E-2</v>
      </c>
      <c r="AR53">
        <v>-1.4999999999999999E-2</v>
      </c>
      <c r="AS53">
        <v>1E-3</v>
      </c>
      <c r="AT53">
        <v>-1E-3</v>
      </c>
      <c r="AU53">
        <v>1E-3</v>
      </c>
      <c r="AV53">
        <v>-1E-3</v>
      </c>
      <c r="AW53" s="16">
        <v>1.4999999999999999E-2</v>
      </c>
      <c r="AX53" s="16">
        <v>-1.4999999999999999E-2</v>
      </c>
      <c r="JR53">
        <v>12.849506578947368</v>
      </c>
    </row>
    <row r="54" spans="6:279" customFormat="1">
      <c r="F54" s="17" t="str">
        <f t="shared" si="0"/>
        <v/>
      </c>
      <c r="G54" s="9"/>
      <c r="H54" s="2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22" t="e">
        <f t="shared" si="1"/>
        <v>#N/A</v>
      </c>
      <c r="X54" s="21" t="e">
        <f t="shared" si="2"/>
        <v>#N/A</v>
      </c>
      <c r="Y54" s="21" t="e">
        <f t="shared" si="3"/>
        <v>#N/A</v>
      </c>
      <c r="Z54" s="11" t="e">
        <f t="shared" si="4"/>
        <v>#N/A</v>
      </c>
      <c r="AA54" s="22" t="e">
        <f t="shared" si="5"/>
        <v>#N/A</v>
      </c>
      <c r="AB54" s="21" t="e">
        <f t="shared" si="6"/>
        <v>#N/A</v>
      </c>
      <c r="AC54" s="21" t="e">
        <f t="shared" si="7"/>
        <v>#N/A</v>
      </c>
      <c r="AD54" s="11" t="e">
        <f t="shared" si="8"/>
        <v>#N/A</v>
      </c>
      <c r="AE54" s="22" t="e">
        <f t="shared" si="9"/>
        <v>#N/A</v>
      </c>
      <c r="AF54" s="21" t="e">
        <f t="shared" si="10"/>
        <v>#N/A</v>
      </c>
      <c r="AG54" s="21" t="e">
        <f t="shared" si="11"/>
        <v>#N/A</v>
      </c>
      <c r="AH54" s="11" t="e">
        <f t="shared" si="12"/>
        <v>#N/A</v>
      </c>
      <c r="AI54">
        <v>2.5000000000000001E-2</v>
      </c>
      <c r="AJ54">
        <v>-2.5000000000000001E-2</v>
      </c>
      <c r="AK54">
        <v>1.5E-3</v>
      </c>
      <c r="AL54">
        <v>-1.5E-3</v>
      </c>
      <c r="AM54">
        <v>1.5E-3</v>
      </c>
      <c r="AN54">
        <v>-1.5E-3</v>
      </c>
      <c r="AO54" s="16">
        <v>2.5000000000000001E-2</v>
      </c>
      <c r="AP54" s="16">
        <v>-2.5000000000000001E-2</v>
      </c>
      <c r="AQ54">
        <v>1.4999999999999999E-2</v>
      </c>
      <c r="AR54">
        <v>-1.4999999999999999E-2</v>
      </c>
      <c r="AS54">
        <v>1E-3</v>
      </c>
      <c r="AT54">
        <v>-1E-3</v>
      </c>
      <c r="AU54">
        <v>1E-3</v>
      </c>
      <c r="AV54">
        <v>-1E-3</v>
      </c>
      <c r="AW54" s="16">
        <v>1.4999999999999999E-2</v>
      </c>
      <c r="AX54" s="16">
        <v>-1.4999999999999999E-2</v>
      </c>
    </row>
    <row r="55" spans="6:279" customFormat="1">
      <c r="F55" s="17" t="str">
        <f t="shared" si="0"/>
        <v/>
      </c>
      <c r="G55" s="9"/>
      <c r="H55" s="2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22" t="e">
        <f t="shared" si="1"/>
        <v>#N/A</v>
      </c>
      <c r="X55" s="21" t="e">
        <f t="shared" si="2"/>
        <v>#N/A</v>
      </c>
      <c r="Y55" s="21" t="e">
        <f t="shared" si="3"/>
        <v>#N/A</v>
      </c>
      <c r="Z55" s="11" t="e">
        <f t="shared" si="4"/>
        <v>#N/A</v>
      </c>
      <c r="AA55" s="22" t="e">
        <f t="shared" si="5"/>
        <v>#N/A</v>
      </c>
      <c r="AB55" s="21" t="e">
        <f t="shared" si="6"/>
        <v>#N/A</v>
      </c>
      <c r="AC55" s="21" t="e">
        <f t="shared" si="7"/>
        <v>#N/A</v>
      </c>
      <c r="AD55" s="11" t="e">
        <f t="shared" si="8"/>
        <v>#N/A</v>
      </c>
      <c r="AE55" s="22" t="e">
        <f t="shared" si="9"/>
        <v>#N/A</v>
      </c>
      <c r="AF55" s="21" t="e">
        <f t="shared" si="10"/>
        <v>#N/A</v>
      </c>
      <c r="AG55" s="21" t="e">
        <f t="shared" si="11"/>
        <v>#N/A</v>
      </c>
      <c r="AH55" s="11" t="e">
        <f t="shared" si="12"/>
        <v>#N/A</v>
      </c>
      <c r="AI55">
        <v>2.5000000000000001E-2</v>
      </c>
      <c r="AJ55">
        <v>-2.5000000000000001E-2</v>
      </c>
      <c r="AK55">
        <v>1.5E-3</v>
      </c>
      <c r="AL55">
        <v>-1.5E-3</v>
      </c>
      <c r="AM55">
        <v>1.5E-3</v>
      </c>
      <c r="AN55">
        <v>-1.5E-3</v>
      </c>
      <c r="AO55" s="16">
        <v>2.5000000000000001E-2</v>
      </c>
      <c r="AP55" s="16">
        <v>-2.5000000000000001E-2</v>
      </c>
      <c r="AQ55">
        <v>1.4999999999999999E-2</v>
      </c>
      <c r="AR55">
        <v>-1.4999999999999999E-2</v>
      </c>
      <c r="AS55">
        <v>1E-3</v>
      </c>
      <c r="AT55">
        <v>-1E-3</v>
      </c>
      <c r="AU55">
        <v>1E-3</v>
      </c>
      <c r="AV55">
        <v>-1E-3</v>
      </c>
      <c r="AW55" s="16">
        <v>1.4999999999999999E-2</v>
      </c>
      <c r="AX55" s="16">
        <v>-1.4999999999999999E-2</v>
      </c>
      <c r="JR55">
        <v>12.849506578947368</v>
      </c>
      <c r="JS55">
        <v>12.849506578947368</v>
      </c>
    </row>
    <row r="56" spans="6:279" customFormat="1">
      <c r="F56" s="17" t="str">
        <f t="shared" si="0"/>
        <v/>
      </c>
      <c r="G56" s="9"/>
      <c r="H56" s="2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22" t="e">
        <f t="shared" si="1"/>
        <v>#N/A</v>
      </c>
      <c r="X56" s="21" t="e">
        <f t="shared" si="2"/>
        <v>#N/A</v>
      </c>
      <c r="Y56" s="21" t="e">
        <f t="shared" si="3"/>
        <v>#N/A</v>
      </c>
      <c r="Z56" s="11" t="e">
        <f t="shared" si="4"/>
        <v>#N/A</v>
      </c>
      <c r="AA56" s="22" t="e">
        <f t="shared" si="5"/>
        <v>#N/A</v>
      </c>
      <c r="AB56" s="21" t="e">
        <f t="shared" si="6"/>
        <v>#N/A</v>
      </c>
      <c r="AC56" s="21" t="e">
        <f t="shared" si="7"/>
        <v>#N/A</v>
      </c>
      <c r="AD56" s="11" t="e">
        <f t="shared" si="8"/>
        <v>#N/A</v>
      </c>
      <c r="AE56" s="22" t="e">
        <f t="shared" si="9"/>
        <v>#N/A</v>
      </c>
      <c r="AF56" s="21" t="e">
        <f t="shared" si="10"/>
        <v>#N/A</v>
      </c>
      <c r="AG56" s="21" t="e">
        <f t="shared" si="11"/>
        <v>#N/A</v>
      </c>
      <c r="AH56" s="11" t="e">
        <f t="shared" si="12"/>
        <v>#N/A</v>
      </c>
      <c r="AI56">
        <v>2.5000000000000001E-2</v>
      </c>
      <c r="AJ56">
        <v>-2.5000000000000001E-2</v>
      </c>
      <c r="AK56">
        <v>1.5E-3</v>
      </c>
      <c r="AL56">
        <v>-1.5E-3</v>
      </c>
      <c r="AM56">
        <v>1.5E-3</v>
      </c>
      <c r="AN56">
        <v>-1.5E-3</v>
      </c>
      <c r="AO56" s="16">
        <v>2.5000000000000001E-2</v>
      </c>
      <c r="AP56" s="16">
        <v>-2.5000000000000001E-2</v>
      </c>
      <c r="AQ56">
        <v>1.4999999999999999E-2</v>
      </c>
      <c r="AR56">
        <v>-1.4999999999999999E-2</v>
      </c>
      <c r="AS56">
        <v>1E-3</v>
      </c>
      <c r="AT56">
        <v>-1E-3</v>
      </c>
      <c r="AU56">
        <v>1E-3</v>
      </c>
      <c r="AV56">
        <v>-1E-3</v>
      </c>
      <c r="AW56" s="16">
        <v>1.4999999999999999E-2</v>
      </c>
      <c r="AX56" s="16">
        <v>-1.4999999999999999E-2</v>
      </c>
      <c r="JP56">
        <v>12.849506578947368</v>
      </c>
    </row>
    <row r="57" spans="6:279" customFormat="1">
      <c r="F57" s="17" t="str">
        <f t="shared" si="0"/>
        <v/>
      </c>
      <c r="G57" s="9"/>
      <c r="H57" s="2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22" t="e">
        <f t="shared" si="1"/>
        <v>#N/A</v>
      </c>
      <c r="X57" s="21" t="e">
        <f t="shared" si="2"/>
        <v>#N/A</v>
      </c>
      <c r="Y57" s="21" t="e">
        <f t="shared" si="3"/>
        <v>#N/A</v>
      </c>
      <c r="Z57" s="11" t="e">
        <f t="shared" si="4"/>
        <v>#N/A</v>
      </c>
      <c r="AA57" s="22" t="e">
        <f t="shared" si="5"/>
        <v>#N/A</v>
      </c>
      <c r="AB57" s="21" t="e">
        <f t="shared" si="6"/>
        <v>#N/A</v>
      </c>
      <c r="AC57" s="21" t="e">
        <f t="shared" si="7"/>
        <v>#N/A</v>
      </c>
      <c r="AD57" s="11" t="e">
        <f t="shared" si="8"/>
        <v>#N/A</v>
      </c>
      <c r="AE57" s="22" t="e">
        <f t="shared" si="9"/>
        <v>#N/A</v>
      </c>
      <c r="AF57" s="21" t="e">
        <f t="shared" si="10"/>
        <v>#N/A</v>
      </c>
      <c r="AG57" s="21" t="e">
        <f t="shared" si="11"/>
        <v>#N/A</v>
      </c>
      <c r="AH57" s="11" t="e">
        <f t="shared" si="12"/>
        <v>#N/A</v>
      </c>
      <c r="AI57">
        <v>2.5000000000000001E-2</v>
      </c>
      <c r="AJ57">
        <v>-2.5000000000000001E-2</v>
      </c>
      <c r="AK57">
        <v>1.5E-3</v>
      </c>
      <c r="AL57">
        <v>-1.5E-3</v>
      </c>
      <c r="AM57">
        <v>1.5E-3</v>
      </c>
      <c r="AN57">
        <v>-1.5E-3</v>
      </c>
      <c r="AO57" s="16">
        <v>2.5000000000000001E-2</v>
      </c>
      <c r="AP57" s="16">
        <v>-2.5000000000000001E-2</v>
      </c>
      <c r="AQ57">
        <v>1.4999999999999999E-2</v>
      </c>
      <c r="AR57">
        <v>-1.4999999999999999E-2</v>
      </c>
      <c r="AS57">
        <v>1E-3</v>
      </c>
      <c r="AT57">
        <v>-1E-3</v>
      </c>
      <c r="AU57">
        <v>1E-3</v>
      </c>
      <c r="AV57">
        <v>-1E-3</v>
      </c>
      <c r="AW57" s="16">
        <v>1.4999999999999999E-2</v>
      </c>
      <c r="AX57" s="16">
        <v>-1.4999999999999999E-2</v>
      </c>
      <c r="JP57">
        <v>38.548519736842103</v>
      </c>
      <c r="JR57">
        <v>12.849506578947368</v>
      </c>
      <c r="JS57">
        <v>12.849506578947368</v>
      </c>
    </row>
    <row r="58" spans="6:279" customFormat="1">
      <c r="F58" s="17" t="str">
        <f t="shared" si="0"/>
        <v/>
      </c>
      <c r="G58" s="9"/>
      <c r="H58" s="2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22" t="e">
        <f t="shared" si="1"/>
        <v>#N/A</v>
      </c>
      <c r="X58" s="21" t="e">
        <f t="shared" si="2"/>
        <v>#N/A</v>
      </c>
      <c r="Y58" s="21" t="e">
        <f t="shared" si="3"/>
        <v>#N/A</v>
      </c>
      <c r="Z58" s="11" t="e">
        <f t="shared" si="4"/>
        <v>#N/A</v>
      </c>
      <c r="AA58" s="22" t="e">
        <f t="shared" si="5"/>
        <v>#N/A</v>
      </c>
      <c r="AB58" s="21" t="e">
        <f t="shared" si="6"/>
        <v>#N/A</v>
      </c>
      <c r="AC58" s="21" t="e">
        <f t="shared" si="7"/>
        <v>#N/A</v>
      </c>
      <c r="AD58" s="11" t="e">
        <f t="shared" si="8"/>
        <v>#N/A</v>
      </c>
      <c r="AE58" s="22" t="e">
        <f t="shared" si="9"/>
        <v>#N/A</v>
      </c>
      <c r="AF58" s="21" t="e">
        <f t="shared" si="10"/>
        <v>#N/A</v>
      </c>
      <c r="AG58" s="21" t="e">
        <f t="shared" si="11"/>
        <v>#N/A</v>
      </c>
      <c r="AH58" s="11" t="e">
        <f t="shared" si="12"/>
        <v>#N/A</v>
      </c>
      <c r="AI58">
        <v>2.5000000000000001E-2</v>
      </c>
      <c r="AJ58">
        <v>-2.5000000000000001E-2</v>
      </c>
      <c r="AK58">
        <v>1.5E-3</v>
      </c>
      <c r="AL58">
        <v>-1.5E-3</v>
      </c>
      <c r="AM58">
        <v>1.5E-3</v>
      </c>
      <c r="AN58">
        <v>-1.5E-3</v>
      </c>
      <c r="AO58" s="16">
        <v>2.5000000000000001E-2</v>
      </c>
      <c r="AP58" s="16">
        <v>-2.5000000000000001E-2</v>
      </c>
      <c r="AQ58">
        <v>1.4999999999999999E-2</v>
      </c>
      <c r="AR58">
        <v>-1.4999999999999999E-2</v>
      </c>
      <c r="AS58">
        <v>1E-3</v>
      </c>
      <c r="AT58">
        <v>-1E-3</v>
      </c>
      <c r="AU58">
        <v>1E-3</v>
      </c>
      <c r="AV58">
        <v>-1E-3</v>
      </c>
      <c r="AW58" s="16">
        <v>1.4999999999999999E-2</v>
      </c>
      <c r="AX58" s="16">
        <v>-1.4999999999999999E-2</v>
      </c>
    </row>
    <row r="59" spans="6:279" customFormat="1">
      <c r="F59" s="17" t="str">
        <f t="shared" si="0"/>
        <v/>
      </c>
      <c r="G59" s="9"/>
      <c r="H59" s="2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22" t="e">
        <f t="shared" si="1"/>
        <v>#N/A</v>
      </c>
      <c r="X59" s="21" t="e">
        <f t="shared" si="2"/>
        <v>#N/A</v>
      </c>
      <c r="Y59" s="21" t="e">
        <f t="shared" si="3"/>
        <v>#N/A</v>
      </c>
      <c r="Z59" s="11" t="e">
        <f t="shared" si="4"/>
        <v>#N/A</v>
      </c>
      <c r="AA59" s="22" t="e">
        <f t="shared" si="5"/>
        <v>#N/A</v>
      </c>
      <c r="AB59" s="21" t="e">
        <f t="shared" si="6"/>
        <v>#N/A</v>
      </c>
      <c r="AC59" s="21" t="e">
        <f t="shared" si="7"/>
        <v>#N/A</v>
      </c>
      <c r="AD59" s="11" t="e">
        <f t="shared" si="8"/>
        <v>#N/A</v>
      </c>
      <c r="AE59" s="22" t="e">
        <f t="shared" si="9"/>
        <v>#N/A</v>
      </c>
      <c r="AF59" s="21" t="e">
        <f t="shared" si="10"/>
        <v>#N/A</v>
      </c>
      <c r="AG59" s="21" t="e">
        <f t="shared" si="11"/>
        <v>#N/A</v>
      </c>
      <c r="AH59" s="11" t="e">
        <f t="shared" si="12"/>
        <v>#N/A</v>
      </c>
      <c r="AI59">
        <v>2.5000000000000001E-2</v>
      </c>
      <c r="AJ59">
        <v>-2.5000000000000001E-2</v>
      </c>
      <c r="AK59">
        <v>1.5E-3</v>
      </c>
      <c r="AL59">
        <v>-1.5E-3</v>
      </c>
      <c r="AM59">
        <v>1.5E-3</v>
      </c>
      <c r="AN59">
        <v>-1.5E-3</v>
      </c>
      <c r="AO59" s="16">
        <v>2.5000000000000001E-2</v>
      </c>
      <c r="AP59" s="16">
        <v>-2.5000000000000001E-2</v>
      </c>
      <c r="AQ59">
        <v>1.4999999999999999E-2</v>
      </c>
      <c r="AR59">
        <v>-1.4999999999999999E-2</v>
      </c>
      <c r="AS59">
        <v>1E-3</v>
      </c>
      <c r="AT59">
        <v>-1E-3</v>
      </c>
      <c r="AU59">
        <v>1E-3</v>
      </c>
      <c r="AV59">
        <v>-1E-3</v>
      </c>
      <c r="AW59" s="16">
        <v>1.4999999999999999E-2</v>
      </c>
      <c r="AX59" s="16">
        <v>-1.4999999999999999E-2</v>
      </c>
      <c r="JQ59">
        <v>12.849506578947368</v>
      </c>
      <c r="JR59">
        <v>12.849506578947368</v>
      </c>
      <c r="JS59">
        <v>38.548519736842103</v>
      </c>
    </row>
    <row r="60" spans="6:279" customFormat="1">
      <c r="F60" s="17" t="str">
        <f t="shared" si="0"/>
        <v/>
      </c>
      <c r="G60" s="9"/>
      <c r="H60" s="2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22" t="e">
        <f t="shared" si="1"/>
        <v>#N/A</v>
      </c>
      <c r="X60" s="21" t="e">
        <f t="shared" si="2"/>
        <v>#N/A</v>
      </c>
      <c r="Y60" s="21" t="e">
        <f t="shared" si="3"/>
        <v>#N/A</v>
      </c>
      <c r="Z60" s="11" t="e">
        <f t="shared" si="4"/>
        <v>#N/A</v>
      </c>
      <c r="AA60" s="22" t="e">
        <f t="shared" si="5"/>
        <v>#N/A</v>
      </c>
      <c r="AB60" s="21" t="e">
        <f t="shared" si="6"/>
        <v>#N/A</v>
      </c>
      <c r="AC60" s="21" t="e">
        <f t="shared" si="7"/>
        <v>#N/A</v>
      </c>
      <c r="AD60" s="11" t="e">
        <f t="shared" si="8"/>
        <v>#N/A</v>
      </c>
      <c r="AE60" s="22" t="e">
        <f t="shared" si="9"/>
        <v>#N/A</v>
      </c>
      <c r="AF60" s="21" t="e">
        <f t="shared" si="10"/>
        <v>#N/A</v>
      </c>
      <c r="AG60" s="21" t="e">
        <f t="shared" si="11"/>
        <v>#N/A</v>
      </c>
      <c r="AH60" s="11" t="e">
        <f t="shared" si="12"/>
        <v>#N/A</v>
      </c>
      <c r="AI60">
        <v>2.5000000000000001E-2</v>
      </c>
      <c r="AJ60">
        <v>-2.5000000000000001E-2</v>
      </c>
      <c r="AK60">
        <v>1.5E-3</v>
      </c>
      <c r="AL60">
        <v>-1.5E-3</v>
      </c>
      <c r="AM60">
        <v>1.5E-3</v>
      </c>
      <c r="AN60">
        <v>-1.5E-3</v>
      </c>
      <c r="AO60" s="16">
        <v>2.5000000000000001E-2</v>
      </c>
      <c r="AP60" s="16">
        <v>-2.5000000000000001E-2</v>
      </c>
      <c r="AQ60">
        <v>1.4999999999999999E-2</v>
      </c>
      <c r="AR60">
        <v>-1.4999999999999999E-2</v>
      </c>
      <c r="AS60">
        <v>1E-3</v>
      </c>
      <c r="AT60">
        <v>-1E-3</v>
      </c>
      <c r="AU60">
        <v>1E-3</v>
      </c>
      <c r="AV60">
        <v>-1E-3</v>
      </c>
      <c r="AW60" s="16">
        <v>1.4999999999999999E-2</v>
      </c>
      <c r="AX60" s="16">
        <v>-1.4999999999999999E-2</v>
      </c>
    </row>
    <row r="61" spans="6:279" customFormat="1">
      <c r="F61" s="17" t="str">
        <f t="shared" si="0"/>
        <v/>
      </c>
      <c r="G61" s="9"/>
      <c r="H61" s="2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22" t="e">
        <f t="shared" si="1"/>
        <v>#N/A</v>
      </c>
      <c r="X61" s="21" t="e">
        <f t="shared" si="2"/>
        <v>#N/A</v>
      </c>
      <c r="Y61" s="21" t="e">
        <f t="shared" si="3"/>
        <v>#N/A</v>
      </c>
      <c r="Z61" s="11" t="e">
        <f t="shared" si="4"/>
        <v>#N/A</v>
      </c>
      <c r="AA61" s="22" t="e">
        <f t="shared" si="5"/>
        <v>#N/A</v>
      </c>
      <c r="AB61" s="21" t="e">
        <f t="shared" si="6"/>
        <v>#N/A</v>
      </c>
      <c r="AC61" s="21" t="e">
        <f t="shared" si="7"/>
        <v>#N/A</v>
      </c>
      <c r="AD61" s="11" t="e">
        <f t="shared" si="8"/>
        <v>#N/A</v>
      </c>
      <c r="AE61" s="22" t="e">
        <f t="shared" si="9"/>
        <v>#N/A</v>
      </c>
      <c r="AF61" s="21" t="e">
        <f t="shared" si="10"/>
        <v>#N/A</v>
      </c>
      <c r="AG61" s="21" t="e">
        <f t="shared" si="11"/>
        <v>#N/A</v>
      </c>
      <c r="AH61" s="11" t="e">
        <f t="shared" si="12"/>
        <v>#N/A</v>
      </c>
      <c r="AI61">
        <v>2.5000000000000001E-2</v>
      </c>
      <c r="AJ61">
        <v>-2.5000000000000001E-2</v>
      </c>
      <c r="AK61">
        <v>1.5E-3</v>
      </c>
      <c r="AL61">
        <v>-1.5E-3</v>
      </c>
      <c r="AM61">
        <v>1.5E-3</v>
      </c>
      <c r="AN61">
        <v>-1.5E-3</v>
      </c>
      <c r="AO61" s="16">
        <v>2.5000000000000001E-2</v>
      </c>
      <c r="AP61" s="16">
        <v>-2.5000000000000001E-2</v>
      </c>
      <c r="AQ61">
        <v>1.4999999999999999E-2</v>
      </c>
      <c r="AR61">
        <v>-1.4999999999999999E-2</v>
      </c>
      <c r="AS61">
        <v>1E-3</v>
      </c>
      <c r="AT61">
        <v>-1E-3</v>
      </c>
      <c r="AU61">
        <v>1E-3</v>
      </c>
      <c r="AV61">
        <v>-1E-3</v>
      </c>
      <c r="AW61" s="16">
        <v>1.4999999999999999E-2</v>
      </c>
      <c r="AX61" s="16">
        <v>-1.4999999999999999E-2</v>
      </c>
      <c r="JS61">
        <v>12.849506578947368</v>
      </c>
    </row>
    <row r="62" spans="6:279" customFormat="1">
      <c r="F62" s="17" t="str">
        <f t="shared" si="0"/>
        <v/>
      </c>
      <c r="G62" s="9"/>
      <c r="H62" s="2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22" t="e">
        <f t="shared" si="1"/>
        <v>#N/A</v>
      </c>
      <c r="X62" s="21" t="e">
        <f t="shared" si="2"/>
        <v>#N/A</v>
      </c>
      <c r="Y62" s="21" t="e">
        <f t="shared" si="3"/>
        <v>#N/A</v>
      </c>
      <c r="Z62" s="11" t="e">
        <f t="shared" si="4"/>
        <v>#N/A</v>
      </c>
      <c r="AA62" s="22" t="e">
        <f t="shared" si="5"/>
        <v>#N/A</v>
      </c>
      <c r="AB62" s="21" t="e">
        <f t="shared" si="6"/>
        <v>#N/A</v>
      </c>
      <c r="AC62" s="21" t="e">
        <f t="shared" si="7"/>
        <v>#N/A</v>
      </c>
      <c r="AD62" s="11" t="e">
        <f t="shared" si="8"/>
        <v>#N/A</v>
      </c>
      <c r="AE62" s="22" t="e">
        <f t="shared" si="9"/>
        <v>#N/A</v>
      </c>
      <c r="AF62" s="21" t="e">
        <f t="shared" si="10"/>
        <v>#N/A</v>
      </c>
      <c r="AG62" s="21" t="e">
        <f t="shared" si="11"/>
        <v>#N/A</v>
      </c>
      <c r="AH62" s="11" t="e">
        <f t="shared" si="12"/>
        <v>#N/A</v>
      </c>
      <c r="AI62">
        <v>2.5000000000000001E-2</v>
      </c>
      <c r="AJ62">
        <v>-2.5000000000000001E-2</v>
      </c>
      <c r="AK62">
        <v>1.5E-3</v>
      </c>
      <c r="AL62">
        <v>-1.5E-3</v>
      </c>
      <c r="AM62">
        <v>1.5E-3</v>
      </c>
      <c r="AN62">
        <v>-1.5E-3</v>
      </c>
      <c r="AO62" s="16">
        <v>2.5000000000000001E-2</v>
      </c>
      <c r="AP62" s="16">
        <v>-2.5000000000000001E-2</v>
      </c>
      <c r="AQ62">
        <v>1.4999999999999999E-2</v>
      </c>
      <c r="AR62">
        <v>-1.4999999999999999E-2</v>
      </c>
      <c r="AS62">
        <v>1E-3</v>
      </c>
      <c r="AT62">
        <v>-1E-3</v>
      </c>
      <c r="AU62">
        <v>1E-3</v>
      </c>
      <c r="AV62">
        <v>-1E-3</v>
      </c>
      <c r="AW62" s="16">
        <v>1.4999999999999999E-2</v>
      </c>
      <c r="AX62" s="16">
        <v>-1.4999999999999999E-2</v>
      </c>
      <c r="JS62">
        <v>12.849506578947368</v>
      </c>
    </row>
    <row r="63" spans="6:279" customFormat="1">
      <c r="F63" s="17" t="str">
        <f t="shared" si="0"/>
        <v/>
      </c>
      <c r="G63" s="9"/>
      <c r="H63" s="2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22" t="e">
        <f t="shared" si="1"/>
        <v>#N/A</v>
      </c>
      <c r="X63" s="21" t="e">
        <f t="shared" si="2"/>
        <v>#N/A</v>
      </c>
      <c r="Y63" s="21" t="e">
        <f t="shared" si="3"/>
        <v>#N/A</v>
      </c>
      <c r="Z63" s="11" t="e">
        <f t="shared" si="4"/>
        <v>#N/A</v>
      </c>
      <c r="AA63" s="22" t="e">
        <f t="shared" si="5"/>
        <v>#N/A</v>
      </c>
      <c r="AB63" s="21" t="e">
        <f t="shared" si="6"/>
        <v>#N/A</v>
      </c>
      <c r="AC63" s="21" t="e">
        <f t="shared" si="7"/>
        <v>#N/A</v>
      </c>
      <c r="AD63" s="11" t="e">
        <f t="shared" si="8"/>
        <v>#N/A</v>
      </c>
      <c r="AE63" s="22" t="e">
        <f t="shared" si="9"/>
        <v>#N/A</v>
      </c>
      <c r="AF63" s="21" t="e">
        <f t="shared" si="10"/>
        <v>#N/A</v>
      </c>
      <c r="AG63" s="21" t="e">
        <f t="shared" si="11"/>
        <v>#N/A</v>
      </c>
      <c r="AH63" s="11" t="e">
        <f t="shared" si="12"/>
        <v>#N/A</v>
      </c>
      <c r="AI63">
        <v>2.5000000000000001E-2</v>
      </c>
      <c r="AJ63">
        <v>-2.5000000000000001E-2</v>
      </c>
      <c r="AK63">
        <v>1.5E-3</v>
      </c>
      <c r="AL63">
        <v>-1.5E-3</v>
      </c>
      <c r="AM63">
        <v>1.5E-3</v>
      </c>
      <c r="AN63">
        <v>-1.5E-3</v>
      </c>
      <c r="AO63" s="16">
        <v>2.5000000000000001E-2</v>
      </c>
      <c r="AP63" s="16">
        <v>-2.5000000000000001E-2</v>
      </c>
      <c r="AQ63">
        <v>1.4999999999999999E-2</v>
      </c>
      <c r="AR63">
        <v>-1.4999999999999999E-2</v>
      </c>
      <c r="AS63">
        <v>1E-3</v>
      </c>
      <c r="AT63">
        <v>-1E-3</v>
      </c>
      <c r="AU63">
        <v>1E-3</v>
      </c>
      <c r="AV63">
        <v>-1E-3</v>
      </c>
      <c r="AW63" s="16">
        <v>1.4999999999999999E-2</v>
      </c>
      <c r="AX63" s="16">
        <v>-1.4999999999999999E-2</v>
      </c>
      <c r="JR63">
        <v>12.849506578947368</v>
      </c>
    </row>
    <row r="64" spans="6:279" customFormat="1">
      <c r="F64" s="17" t="str">
        <f t="shared" si="0"/>
        <v/>
      </c>
      <c r="G64" s="9"/>
      <c r="H64" s="2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22" t="e">
        <f t="shared" si="1"/>
        <v>#N/A</v>
      </c>
      <c r="X64" s="21" t="e">
        <f t="shared" si="2"/>
        <v>#N/A</v>
      </c>
      <c r="Y64" s="21" t="e">
        <f t="shared" si="3"/>
        <v>#N/A</v>
      </c>
      <c r="Z64" s="11" t="e">
        <f t="shared" si="4"/>
        <v>#N/A</v>
      </c>
      <c r="AA64" s="22" t="e">
        <f t="shared" si="5"/>
        <v>#N/A</v>
      </c>
      <c r="AB64" s="21" t="e">
        <f t="shared" si="6"/>
        <v>#N/A</v>
      </c>
      <c r="AC64" s="21" t="e">
        <f t="shared" si="7"/>
        <v>#N/A</v>
      </c>
      <c r="AD64" s="11" t="e">
        <f t="shared" si="8"/>
        <v>#N/A</v>
      </c>
      <c r="AE64" s="22" t="e">
        <f t="shared" si="9"/>
        <v>#N/A</v>
      </c>
      <c r="AF64" s="21" t="e">
        <f t="shared" si="10"/>
        <v>#N/A</v>
      </c>
      <c r="AG64" s="21" t="e">
        <f t="shared" si="11"/>
        <v>#N/A</v>
      </c>
      <c r="AH64" s="11" t="e">
        <f t="shared" si="12"/>
        <v>#N/A</v>
      </c>
      <c r="AI64">
        <v>2.5000000000000001E-2</v>
      </c>
      <c r="AJ64">
        <v>-2.5000000000000001E-2</v>
      </c>
      <c r="AK64">
        <v>1.5E-3</v>
      </c>
      <c r="AL64">
        <v>-1.5E-3</v>
      </c>
      <c r="AM64">
        <v>1.5E-3</v>
      </c>
      <c r="AN64">
        <v>-1.5E-3</v>
      </c>
      <c r="AO64" s="16">
        <v>2.5000000000000001E-2</v>
      </c>
      <c r="AP64" s="16">
        <v>-2.5000000000000001E-2</v>
      </c>
      <c r="AQ64">
        <v>1.4999999999999999E-2</v>
      </c>
      <c r="AR64">
        <v>-1.4999999999999999E-2</v>
      </c>
      <c r="AS64">
        <v>1E-3</v>
      </c>
      <c r="AT64">
        <v>-1E-3</v>
      </c>
      <c r="AU64">
        <v>1E-3</v>
      </c>
      <c r="AV64">
        <v>-1E-3</v>
      </c>
      <c r="AW64" s="16">
        <v>1.4999999999999999E-2</v>
      </c>
      <c r="AX64" s="16">
        <v>-1.4999999999999999E-2</v>
      </c>
    </row>
    <row r="65" spans="6:278" customFormat="1">
      <c r="F65" s="17" t="str">
        <f t="shared" si="0"/>
        <v/>
      </c>
      <c r="G65" s="9"/>
      <c r="H65" s="2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22" t="e">
        <f t="shared" si="1"/>
        <v>#N/A</v>
      </c>
      <c r="X65" s="21" t="e">
        <f t="shared" si="2"/>
        <v>#N/A</v>
      </c>
      <c r="Y65" s="21" t="e">
        <f t="shared" si="3"/>
        <v>#N/A</v>
      </c>
      <c r="Z65" s="11" t="e">
        <f t="shared" si="4"/>
        <v>#N/A</v>
      </c>
      <c r="AA65" s="22" t="e">
        <f t="shared" si="5"/>
        <v>#N/A</v>
      </c>
      <c r="AB65" s="21" t="e">
        <f t="shared" si="6"/>
        <v>#N/A</v>
      </c>
      <c r="AC65" s="21" t="e">
        <f t="shared" si="7"/>
        <v>#N/A</v>
      </c>
      <c r="AD65" s="11" t="e">
        <f t="shared" si="8"/>
        <v>#N/A</v>
      </c>
      <c r="AE65" s="22" t="e">
        <f t="shared" si="9"/>
        <v>#N/A</v>
      </c>
      <c r="AF65" s="21" t="e">
        <f t="shared" si="10"/>
        <v>#N/A</v>
      </c>
      <c r="AG65" s="21" t="e">
        <f t="shared" si="11"/>
        <v>#N/A</v>
      </c>
      <c r="AH65" s="11" t="e">
        <f t="shared" si="12"/>
        <v>#N/A</v>
      </c>
      <c r="AI65">
        <v>2.5000000000000001E-2</v>
      </c>
      <c r="AJ65">
        <v>-2.5000000000000001E-2</v>
      </c>
      <c r="AK65">
        <v>1.5E-3</v>
      </c>
      <c r="AL65">
        <v>-1.5E-3</v>
      </c>
      <c r="AM65">
        <v>1.5E-3</v>
      </c>
      <c r="AN65">
        <v>-1.5E-3</v>
      </c>
      <c r="AO65" s="16">
        <v>2.5000000000000001E-2</v>
      </c>
      <c r="AP65" s="16">
        <v>-2.5000000000000001E-2</v>
      </c>
      <c r="AQ65">
        <v>1.4999999999999999E-2</v>
      </c>
      <c r="AR65">
        <v>-1.4999999999999999E-2</v>
      </c>
      <c r="AS65">
        <v>1E-3</v>
      </c>
      <c r="AT65">
        <v>-1E-3</v>
      </c>
      <c r="AU65">
        <v>1E-3</v>
      </c>
      <c r="AV65">
        <v>-1E-3</v>
      </c>
      <c r="AW65" s="16">
        <v>1.4999999999999999E-2</v>
      </c>
      <c r="AX65" s="16">
        <v>-1.4999999999999999E-2</v>
      </c>
      <c r="JR65">
        <v>12.849506578947368</v>
      </c>
    </row>
    <row r="66" spans="6:278" customFormat="1">
      <c r="F66" s="17" t="str">
        <f t="shared" si="0"/>
        <v/>
      </c>
      <c r="G66" s="9"/>
      <c r="H66" s="2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22" t="e">
        <f t="shared" si="1"/>
        <v>#N/A</v>
      </c>
      <c r="X66" s="21" t="e">
        <f t="shared" si="2"/>
        <v>#N/A</v>
      </c>
      <c r="Y66" s="21" t="e">
        <f t="shared" si="3"/>
        <v>#N/A</v>
      </c>
      <c r="Z66" s="11" t="e">
        <f t="shared" si="4"/>
        <v>#N/A</v>
      </c>
      <c r="AA66" s="22" t="e">
        <f t="shared" si="5"/>
        <v>#N/A</v>
      </c>
      <c r="AB66" s="21" t="e">
        <f t="shared" si="6"/>
        <v>#N/A</v>
      </c>
      <c r="AC66" s="21" t="e">
        <f t="shared" si="7"/>
        <v>#N/A</v>
      </c>
      <c r="AD66" s="11" t="e">
        <f t="shared" si="8"/>
        <v>#N/A</v>
      </c>
      <c r="AE66" s="22" t="e">
        <f t="shared" si="9"/>
        <v>#N/A</v>
      </c>
      <c r="AF66" s="21" t="e">
        <f t="shared" si="10"/>
        <v>#N/A</v>
      </c>
      <c r="AG66" s="21" t="e">
        <f t="shared" si="11"/>
        <v>#N/A</v>
      </c>
      <c r="AH66" s="11" t="e">
        <f t="shared" si="12"/>
        <v>#N/A</v>
      </c>
      <c r="AI66">
        <v>2.5000000000000001E-2</v>
      </c>
      <c r="AJ66">
        <v>-2.5000000000000001E-2</v>
      </c>
      <c r="AK66">
        <v>1.5E-3</v>
      </c>
      <c r="AL66">
        <v>-1.5E-3</v>
      </c>
      <c r="AM66">
        <v>1.5E-3</v>
      </c>
      <c r="AN66">
        <v>-1.5E-3</v>
      </c>
      <c r="AO66" s="16">
        <v>2.5000000000000001E-2</v>
      </c>
      <c r="AP66" s="16">
        <v>-2.5000000000000001E-2</v>
      </c>
      <c r="AQ66">
        <v>1.4999999999999999E-2</v>
      </c>
      <c r="AR66">
        <v>-1.4999999999999999E-2</v>
      </c>
      <c r="AS66">
        <v>1E-3</v>
      </c>
      <c r="AT66">
        <v>-1E-3</v>
      </c>
      <c r="AU66">
        <v>1E-3</v>
      </c>
      <c r="AV66">
        <v>-1E-3</v>
      </c>
      <c r="AW66" s="16">
        <v>1.4999999999999999E-2</v>
      </c>
      <c r="AX66" s="16">
        <v>-1.4999999999999999E-2</v>
      </c>
      <c r="JR66">
        <v>24.187306501547987</v>
      </c>
    </row>
    <row r="67" spans="6:278" customFormat="1">
      <c r="F67" s="17" t="str">
        <f t="shared" si="0"/>
        <v/>
      </c>
      <c r="G67" s="9"/>
      <c r="H67" s="2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22" t="e">
        <f t="shared" si="1"/>
        <v>#N/A</v>
      </c>
      <c r="X67" s="21" t="e">
        <f t="shared" si="2"/>
        <v>#N/A</v>
      </c>
      <c r="Y67" s="21" t="e">
        <f t="shared" si="3"/>
        <v>#N/A</v>
      </c>
      <c r="Z67" s="11" t="e">
        <f t="shared" si="4"/>
        <v>#N/A</v>
      </c>
      <c r="AA67" s="22" t="e">
        <f t="shared" si="5"/>
        <v>#N/A</v>
      </c>
      <c r="AB67" s="21" t="e">
        <f t="shared" si="6"/>
        <v>#N/A</v>
      </c>
      <c r="AC67" s="21" t="e">
        <f t="shared" si="7"/>
        <v>#N/A</v>
      </c>
      <c r="AD67" s="11" t="e">
        <f t="shared" si="8"/>
        <v>#N/A</v>
      </c>
      <c r="AE67" s="22" t="e">
        <f t="shared" si="9"/>
        <v>#N/A</v>
      </c>
      <c r="AF67" s="21" t="e">
        <f t="shared" si="10"/>
        <v>#N/A</v>
      </c>
      <c r="AG67" s="21" t="e">
        <f t="shared" si="11"/>
        <v>#N/A</v>
      </c>
      <c r="AH67" s="11" t="e">
        <f t="shared" si="12"/>
        <v>#N/A</v>
      </c>
      <c r="AI67">
        <v>2.5000000000000001E-2</v>
      </c>
      <c r="AJ67">
        <v>-2.5000000000000001E-2</v>
      </c>
      <c r="AK67">
        <v>1.5E-3</v>
      </c>
      <c r="AL67">
        <v>-1.5E-3</v>
      </c>
      <c r="AM67">
        <v>1.5E-3</v>
      </c>
      <c r="AN67">
        <v>-1.5E-3</v>
      </c>
      <c r="AO67" s="16">
        <v>2.5000000000000001E-2</v>
      </c>
      <c r="AP67" s="16">
        <v>-2.5000000000000001E-2</v>
      </c>
      <c r="AQ67">
        <v>1.4999999999999999E-2</v>
      </c>
      <c r="AR67">
        <v>-1.4999999999999999E-2</v>
      </c>
      <c r="AS67">
        <v>1E-3</v>
      </c>
      <c r="AT67">
        <v>-1E-3</v>
      </c>
      <c r="AU67">
        <v>1E-3</v>
      </c>
      <c r="AV67">
        <v>-1E-3</v>
      </c>
      <c r="AW67" s="16">
        <v>1.4999999999999999E-2</v>
      </c>
      <c r="AX67" s="16">
        <v>-1.4999999999999999E-2</v>
      </c>
    </row>
    <row r="68" spans="6:278" customFormat="1">
      <c r="F68" s="17" t="str">
        <f t="shared" si="0"/>
        <v/>
      </c>
      <c r="G68" s="9"/>
      <c r="H68" s="2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22" t="e">
        <f t="shared" si="1"/>
        <v>#N/A</v>
      </c>
      <c r="X68" s="21" t="e">
        <f t="shared" si="2"/>
        <v>#N/A</v>
      </c>
      <c r="Y68" s="21" t="e">
        <f t="shared" si="3"/>
        <v>#N/A</v>
      </c>
      <c r="Z68" s="11" t="e">
        <f t="shared" si="4"/>
        <v>#N/A</v>
      </c>
      <c r="AA68" s="22" t="e">
        <f t="shared" si="5"/>
        <v>#N/A</v>
      </c>
      <c r="AB68" s="21" t="e">
        <f t="shared" si="6"/>
        <v>#N/A</v>
      </c>
      <c r="AC68" s="21" t="e">
        <f t="shared" si="7"/>
        <v>#N/A</v>
      </c>
      <c r="AD68" s="11" t="e">
        <f t="shared" si="8"/>
        <v>#N/A</v>
      </c>
      <c r="AE68" s="22" t="e">
        <f t="shared" si="9"/>
        <v>#N/A</v>
      </c>
      <c r="AF68" s="21" t="e">
        <f t="shared" si="10"/>
        <v>#N/A</v>
      </c>
      <c r="AG68" s="21" t="e">
        <f t="shared" si="11"/>
        <v>#N/A</v>
      </c>
      <c r="AH68" s="11" t="e">
        <f t="shared" si="12"/>
        <v>#N/A</v>
      </c>
      <c r="AI68">
        <v>2.5000000000000001E-2</v>
      </c>
      <c r="AJ68">
        <v>-2.5000000000000001E-2</v>
      </c>
      <c r="AK68">
        <v>1.5E-3</v>
      </c>
      <c r="AL68">
        <v>-1.5E-3</v>
      </c>
      <c r="AM68">
        <v>1.5E-3</v>
      </c>
      <c r="AN68">
        <v>-1.5E-3</v>
      </c>
      <c r="AO68" s="16">
        <v>2.5000000000000001E-2</v>
      </c>
      <c r="AP68" s="16">
        <v>-2.5000000000000001E-2</v>
      </c>
      <c r="AQ68">
        <v>1.4999999999999999E-2</v>
      </c>
      <c r="AR68">
        <v>-1.4999999999999999E-2</v>
      </c>
      <c r="AS68">
        <v>1E-3</v>
      </c>
      <c r="AT68">
        <v>-1E-3</v>
      </c>
      <c r="AU68">
        <v>1E-3</v>
      </c>
      <c r="AV68">
        <v>-1E-3</v>
      </c>
      <c r="AW68" s="16">
        <v>1.4999999999999999E-2</v>
      </c>
      <c r="AX68" s="16">
        <v>-1.4999999999999999E-2</v>
      </c>
    </row>
    <row r="69" spans="6:278" customFormat="1">
      <c r="F69" s="17" t="str">
        <f t="shared" si="0"/>
        <v/>
      </c>
      <c r="G69" s="9"/>
      <c r="H69" s="2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22" t="e">
        <f t="shared" si="1"/>
        <v>#N/A</v>
      </c>
      <c r="X69" s="21" t="e">
        <f t="shared" si="2"/>
        <v>#N/A</v>
      </c>
      <c r="Y69" s="21" t="e">
        <f t="shared" si="3"/>
        <v>#N/A</v>
      </c>
      <c r="Z69" s="11" t="e">
        <f t="shared" si="4"/>
        <v>#N/A</v>
      </c>
      <c r="AA69" s="22" t="e">
        <f t="shared" si="5"/>
        <v>#N/A</v>
      </c>
      <c r="AB69" s="21" t="e">
        <f t="shared" si="6"/>
        <v>#N/A</v>
      </c>
      <c r="AC69" s="21" t="e">
        <f t="shared" si="7"/>
        <v>#N/A</v>
      </c>
      <c r="AD69" s="11" t="e">
        <f t="shared" si="8"/>
        <v>#N/A</v>
      </c>
      <c r="AE69" s="22" t="e">
        <f t="shared" si="9"/>
        <v>#N/A</v>
      </c>
      <c r="AF69" s="21" t="e">
        <f t="shared" si="10"/>
        <v>#N/A</v>
      </c>
      <c r="AG69" s="21" t="e">
        <f t="shared" si="11"/>
        <v>#N/A</v>
      </c>
      <c r="AH69" s="11" t="e">
        <f t="shared" si="12"/>
        <v>#N/A</v>
      </c>
      <c r="AI69">
        <v>2.5000000000000001E-2</v>
      </c>
      <c r="AJ69">
        <v>-2.5000000000000001E-2</v>
      </c>
      <c r="AK69">
        <v>1.5E-3</v>
      </c>
      <c r="AL69">
        <v>-1.5E-3</v>
      </c>
      <c r="AM69">
        <v>1.5E-3</v>
      </c>
      <c r="AN69">
        <v>-1.5E-3</v>
      </c>
      <c r="AO69" s="16">
        <v>2.5000000000000001E-2</v>
      </c>
      <c r="AP69" s="16">
        <v>-2.5000000000000001E-2</v>
      </c>
      <c r="AQ69">
        <v>1.4999999999999999E-2</v>
      </c>
      <c r="AR69">
        <v>-1.4999999999999999E-2</v>
      </c>
      <c r="AS69">
        <v>1E-3</v>
      </c>
      <c r="AT69">
        <v>-1E-3</v>
      </c>
      <c r="AU69">
        <v>1E-3</v>
      </c>
      <c r="AV69">
        <v>-1E-3</v>
      </c>
      <c r="AW69" s="16">
        <v>1.4999999999999999E-2</v>
      </c>
      <c r="AX69" s="16">
        <v>-1.4999999999999999E-2</v>
      </c>
    </row>
    <row r="70" spans="6:278" customFormat="1">
      <c r="F70" s="17" t="str">
        <f t="shared" si="0"/>
        <v/>
      </c>
      <c r="G70" s="9"/>
      <c r="H70" s="2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22" t="e">
        <f t="shared" si="1"/>
        <v>#N/A</v>
      </c>
      <c r="X70" s="21" t="e">
        <f t="shared" si="2"/>
        <v>#N/A</v>
      </c>
      <c r="Y70" s="21" t="e">
        <f t="shared" si="3"/>
        <v>#N/A</v>
      </c>
      <c r="Z70" s="11" t="e">
        <f t="shared" si="4"/>
        <v>#N/A</v>
      </c>
      <c r="AA70" s="22" t="e">
        <f t="shared" si="5"/>
        <v>#N/A</v>
      </c>
      <c r="AB70" s="21" t="e">
        <f t="shared" si="6"/>
        <v>#N/A</v>
      </c>
      <c r="AC70" s="21" t="e">
        <f t="shared" si="7"/>
        <v>#N/A</v>
      </c>
      <c r="AD70" s="11" t="e">
        <f t="shared" si="8"/>
        <v>#N/A</v>
      </c>
      <c r="AE70" s="22" t="e">
        <f t="shared" si="9"/>
        <v>#N/A</v>
      </c>
      <c r="AF70" s="21" t="e">
        <f t="shared" si="10"/>
        <v>#N/A</v>
      </c>
      <c r="AG70" s="21" t="e">
        <f t="shared" si="11"/>
        <v>#N/A</v>
      </c>
      <c r="AH70" s="11" t="e">
        <f t="shared" si="12"/>
        <v>#N/A</v>
      </c>
      <c r="AI70">
        <v>2.5000000000000001E-2</v>
      </c>
      <c r="AJ70">
        <v>-2.5000000000000001E-2</v>
      </c>
      <c r="AK70">
        <v>1.5E-3</v>
      </c>
      <c r="AL70">
        <v>-1.5E-3</v>
      </c>
      <c r="AM70">
        <v>1.5E-3</v>
      </c>
      <c r="AN70">
        <v>-1.5E-3</v>
      </c>
      <c r="AO70" s="16">
        <v>2.5000000000000001E-2</v>
      </c>
      <c r="AP70" s="16">
        <v>-2.5000000000000001E-2</v>
      </c>
      <c r="AQ70">
        <v>1.4999999999999999E-2</v>
      </c>
      <c r="AR70">
        <v>-1.4999999999999999E-2</v>
      </c>
      <c r="AS70">
        <v>1E-3</v>
      </c>
      <c r="AT70">
        <v>-1E-3</v>
      </c>
      <c r="AU70">
        <v>1E-3</v>
      </c>
      <c r="AV70">
        <v>-1E-3</v>
      </c>
      <c r="AW70" s="16">
        <v>1.4999999999999999E-2</v>
      </c>
      <c r="AX70" s="16">
        <v>-1.4999999999999999E-2</v>
      </c>
    </row>
    <row r="71" spans="6:278" customFormat="1">
      <c r="F71" s="17" t="str">
        <f t="shared" ref="F71:F100" si="13">IF(G71="","",G71)</f>
        <v/>
      </c>
      <c r="G71" s="9"/>
      <c r="H71" s="2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22" t="e">
        <f t="shared" ref="W71:W100" si="14">IF(H71="",NA(),I71-VLOOKUP(H71,$A$6:$E$35,2,FALSE))</f>
        <v>#N/A</v>
      </c>
      <c r="X71" s="21" t="e">
        <f t="shared" ref="X71:X100" si="15">IF(H71="",NA(),J71-VLOOKUP(H71,$A$6:$E$35,3,FALSE))</f>
        <v>#N/A</v>
      </c>
      <c r="Y71" s="21" t="e">
        <f t="shared" ref="Y71:Y100" si="16">IF(H71="",NA(),K71-VLOOKUP(H71,$A$6:$E$35,4,FALSE))</f>
        <v>#N/A</v>
      </c>
      <c r="Z71" s="11" t="e">
        <f t="shared" ref="Z71:Z100" si="17">IF(H71="",NA(),L71/VLOOKUP(H71,$A$6:$E$35,5,FALSE)-1)</f>
        <v>#N/A</v>
      </c>
      <c r="AA71" s="22" t="e">
        <f t="shared" ref="AA71:AA100" si="18">IF(M71="",NA(),N71-VLOOKUP(M71,$A$6:$E$35,2,FALSE))</f>
        <v>#N/A</v>
      </c>
      <c r="AB71" s="21" t="e">
        <f t="shared" ref="AB71:AB100" si="19">IF(M71="",NA(),O71-VLOOKUP(M71,$A$6:$E$35,3,FALSE))</f>
        <v>#N/A</v>
      </c>
      <c r="AC71" s="21" t="e">
        <f t="shared" ref="AC71:AC100" si="20">IF(M71="",NA(),P71-VLOOKUP(M71,$A$6:$E$35,4,FALSE))</f>
        <v>#N/A</v>
      </c>
      <c r="AD71" s="11" t="e">
        <f t="shared" ref="AD71:AD100" si="21">IF(M71="",NA(),Q71/VLOOKUP(M71,$A$6:$E$35,5,FALSE)-1)</f>
        <v>#N/A</v>
      </c>
      <c r="AE71" s="22" t="e">
        <f t="shared" ref="AE71:AE100" si="22">IF(R71="",NA(),S71-VLOOKUP(R71,$A$6:$E$35,2,FALSE))</f>
        <v>#N/A</v>
      </c>
      <c r="AF71" s="21" t="e">
        <f t="shared" ref="AF71:AF100" si="23">IF(R71="",NA(),T71-VLOOKUP(R71,$A$6:$E$35,3,FALSE))</f>
        <v>#N/A</v>
      </c>
      <c r="AG71" s="21" t="e">
        <f t="shared" ref="AG71:AG100" si="24">IF(R71="",NA(),U71-VLOOKUP(R71,$A$6:$E$35,4,FALSE))</f>
        <v>#N/A</v>
      </c>
      <c r="AH71" s="11" t="e">
        <f t="shared" ref="AH71:AH100" si="25">IF(R71="",NA(),V71/VLOOKUP(R71,$A$6:$E$35,5,FALSE)-1)</f>
        <v>#N/A</v>
      </c>
      <c r="AI71">
        <v>2.5000000000000001E-2</v>
      </c>
      <c r="AJ71">
        <v>-2.5000000000000001E-2</v>
      </c>
      <c r="AK71">
        <v>1.5E-3</v>
      </c>
      <c r="AL71">
        <v>-1.5E-3</v>
      </c>
      <c r="AM71">
        <v>1.5E-3</v>
      </c>
      <c r="AN71">
        <v>-1.5E-3</v>
      </c>
      <c r="AO71" s="16">
        <v>2.5000000000000001E-2</v>
      </c>
      <c r="AP71" s="16">
        <v>-2.5000000000000001E-2</v>
      </c>
      <c r="AQ71">
        <v>1.4999999999999999E-2</v>
      </c>
      <c r="AR71">
        <v>-1.4999999999999999E-2</v>
      </c>
      <c r="AS71">
        <v>1E-3</v>
      </c>
      <c r="AT71">
        <v>-1E-3</v>
      </c>
      <c r="AU71">
        <v>1E-3</v>
      </c>
      <c r="AV71">
        <v>-1E-3</v>
      </c>
      <c r="AW71" s="16">
        <v>1.4999999999999999E-2</v>
      </c>
      <c r="AX71" s="16">
        <v>-1.4999999999999999E-2</v>
      </c>
    </row>
    <row r="72" spans="6:278" customFormat="1">
      <c r="F72" s="17" t="str">
        <f t="shared" si="13"/>
        <v/>
      </c>
      <c r="G72" s="9"/>
      <c r="H72" s="2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22" t="e">
        <f t="shared" si="14"/>
        <v>#N/A</v>
      </c>
      <c r="X72" s="21" t="e">
        <f t="shared" si="15"/>
        <v>#N/A</v>
      </c>
      <c r="Y72" s="21" t="e">
        <f t="shared" si="16"/>
        <v>#N/A</v>
      </c>
      <c r="Z72" s="11" t="e">
        <f t="shared" si="17"/>
        <v>#N/A</v>
      </c>
      <c r="AA72" s="22" t="e">
        <f t="shared" si="18"/>
        <v>#N/A</v>
      </c>
      <c r="AB72" s="21" t="e">
        <f t="shared" si="19"/>
        <v>#N/A</v>
      </c>
      <c r="AC72" s="21" t="e">
        <f t="shared" si="20"/>
        <v>#N/A</v>
      </c>
      <c r="AD72" s="11" t="e">
        <f t="shared" si="21"/>
        <v>#N/A</v>
      </c>
      <c r="AE72" s="22" t="e">
        <f t="shared" si="22"/>
        <v>#N/A</v>
      </c>
      <c r="AF72" s="21" t="e">
        <f t="shared" si="23"/>
        <v>#N/A</v>
      </c>
      <c r="AG72" s="21" t="e">
        <f t="shared" si="24"/>
        <v>#N/A</v>
      </c>
      <c r="AH72" s="11" t="e">
        <f t="shared" si="25"/>
        <v>#N/A</v>
      </c>
      <c r="AI72">
        <v>2.5000000000000001E-2</v>
      </c>
      <c r="AJ72">
        <v>-2.5000000000000001E-2</v>
      </c>
      <c r="AK72">
        <v>1.5E-3</v>
      </c>
      <c r="AL72">
        <v>-1.5E-3</v>
      </c>
      <c r="AM72">
        <v>1.5E-3</v>
      </c>
      <c r="AN72">
        <v>-1.5E-3</v>
      </c>
      <c r="AO72" s="16">
        <v>2.5000000000000001E-2</v>
      </c>
      <c r="AP72" s="16">
        <v>-2.5000000000000001E-2</v>
      </c>
      <c r="AQ72">
        <v>1.4999999999999999E-2</v>
      </c>
      <c r="AR72">
        <v>-1.4999999999999999E-2</v>
      </c>
      <c r="AS72">
        <v>1E-3</v>
      </c>
      <c r="AT72">
        <v>-1E-3</v>
      </c>
      <c r="AU72">
        <v>1E-3</v>
      </c>
      <c r="AV72">
        <v>-1E-3</v>
      </c>
      <c r="AW72" s="16">
        <v>1.4999999999999999E-2</v>
      </c>
      <c r="AX72" s="16">
        <v>-1.4999999999999999E-2</v>
      </c>
    </row>
    <row r="73" spans="6:278" customFormat="1">
      <c r="F73" s="17" t="str">
        <f t="shared" si="13"/>
        <v/>
      </c>
      <c r="G73" s="9"/>
      <c r="H73" s="2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22" t="e">
        <f t="shared" si="14"/>
        <v>#N/A</v>
      </c>
      <c r="X73" s="21" t="e">
        <f t="shared" si="15"/>
        <v>#N/A</v>
      </c>
      <c r="Y73" s="21" t="e">
        <f t="shared" si="16"/>
        <v>#N/A</v>
      </c>
      <c r="Z73" s="11" t="e">
        <f t="shared" si="17"/>
        <v>#N/A</v>
      </c>
      <c r="AA73" s="22" t="e">
        <f t="shared" si="18"/>
        <v>#N/A</v>
      </c>
      <c r="AB73" s="21" t="e">
        <f t="shared" si="19"/>
        <v>#N/A</v>
      </c>
      <c r="AC73" s="21" t="e">
        <f t="shared" si="20"/>
        <v>#N/A</v>
      </c>
      <c r="AD73" s="11" t="e">
        <f t="shared" si="21"/>
        <v>#N/A</v>
      </c>
      <c r="AE73" s="22" t="e">
        <f t="shared" si="22"/>
        <v>#N/A</v>
      </c>
      <c r="AF73" s="21" t="e">
        <f t="shared" si="23"/>
        <v>#N/A</v>
      </c>
      <c r="AG73" s="21" t="e">
        <f t="shared" si="24"/>
        <v>#N/A</v>
      </c>
      <c r="AH73" s="11" t="e">
        <f t="shared" si="25"/>
        <v>#N/A</v>
      </c>
      <c r="AI73">
        <v>2.5000000000000001E-2</v>
      </c>
      <c r="AJ73">
        <v>-2.5000000000000001E-2</v>
      </c>
      <c r="AK73">
        <v>1.5E-3</v>
      </c>
      <c r="AL73">
        <v>-1.5E-3</v>
      </c>
      <c r="AM73">
        <v>1.5E-3</v>
      </c>
      <c r="AN73">
        <v>-1.5E-3</v>
      </c>
      <c r="AO73" s="16">
        <v>2.5000000000000001E-2</v>
      </c>
      <c r="AP73" s="16">
        <v>-2.5000000000000001E-2</v>
      </c>
      <c r="AQ73">
        <v>1.4999999999999999E-2</v>
      </c>
      <c r="AR73">
        <v>-1.4999999999999999E-2</v>
      </c>
      <c r="AS73">
        <v>1E-3</v>
      </c>
      <c r="AT73">
        <v>-1E-3</v>
      </c>
      <c r="AU73">
        <v>1E-3</v>
      </c>
      <c r="AV73">
        <v>-1E-3</v>
      </c>
      <c r="AW73" s="16">
        <v>1.4999999999999999E-2</v>
      </c>
      <c r="AX73" s="16">
        <v>-1.4999999999999999E-2</v>
      </c>
    </row>
    <row r="74" spans="6:278" customFormat="1">
      <c r="F74" s="17" t="str">
        <f t="shared" si="13"/>
        <v/>
      </c>
      <c r="G74" s="9"/>
      <c r="H74" s="2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22" t="e">
        <f t="shared" si="14"/>
        <v>#N/A</v>
      </c>
      <c r="X74" s="21" t="e">
        <f t="shared" si="15"/>
        <v>#N/A</v>
      </c>
      <c r="Y74" s="21" t="e">
        <f t="shared" si="16"/>
        <v>#N/A</v>
      </c>
      <c r="Z74" s="11" t="e">
        <f t="shared" si="17"/>
        <v>#N/A</v>
      </c>
      <c r="AA74" s="22" t="e">
        <f t="shared" si="18"/>
        <v>#N/A</v>
      </c>
      <c r="AB74" s="21" t="e">
        <f t="shared" si="19"/>
        <v>#N/A</v>
      </c>
      <c r="AC74" s="21" t="e">
        <f t="shared" si="20"/>
        <v>#N/A</v>
      </c>
      <c r="AD74" s="11" t="e">
        <f t="shared" si="21"/>
        <v>#N/A</v>
      </c>
      <c r="AE74" s="22" t="e">
        <f t="shared" si="22"/>
        <v>#N/A</v>
      </c>
      <c r="AF74" s="21" t="e">
        <f t="shared" si="23"/>
        <v>#N/A</v>
      </c>
      <c r="AG74" s="21" t="e">
        <f t="shared" si="24"/>
        <v>#N/A</v>
      </c>
      <c r="AH74" s="11" t="e">
        <f t="shared" si="25"/>
        <v>#N/A</v>
      </c>
      <c r="AI74">
        <v>2.5000000000000001E-2</v>
      </c>
      <c r="AJ74">
        <v>-2.5000000000000001E-2</v>
      </c>
      <c r="AK74">
        <v>1.5E-3</v>
      </c>
      <c r="AL74">
        <v>-1.5E-3</v>
      </c>
      <c r="AM74">
        <v>1.5E-3</v>
      </c>
      <c r="AN74">
        <v>-1.5E-3</v>
      </c>
      <c r="AO74" s="16">
        <v>2.5000000000000001E-2</v>
      </c>
      <c r="AP74" s="16">
        <v>-2.5000000000000001E-2</v>
      </c>
      <c r="AQ74">
        <v>1.4999999999999999E-2</v>
      </c>
      <c r="AR74">
        <v>-1.4999999999999999E-2</v>
      </c>
      <c r="AS74">
        <v>1E-3</v>
      </c>
      <c r="AT74">
        <v>-1E-3</v>
      </c>
      <c r="AU74">
        <v>1E-3</v>
      </c>
      <c r="AV74">
        <v>-1E-3</v>
      </c>
      <c r="AW74" s="16">
        <v>1.4999999999999999E-2</v>
      </c>
      <c r="AX74" s="16">
        <v>-1.4999999999999999E-2</v>
      </c>
    </row>
    <row r="75" spans="6:278" customFormat="1">
      <c r="F75" s="17" t="str">
        <f t="shared" si="13"/>
        <v/>
      </c>
      <c r="G75" s="9"/>
      <c r="H75" s="2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22" t="e">
        <f t="shared" si="14"/>
        <v>#N/A</v>
      </c>
      <c r="X75" s="21" t="e">
        <f t="shared" si="15"/>
        <v>#N/A</v>
      </c>
      <c r="Y75" s="21" t="e">
        <f t="shared" si="16"/>
        <v>#N/A</v>
      </c>
      <c r="Z75" s="11" t="e">
        <f t="shared" si="17"/>
        <v>#N/A</v>
      </c>
      <c r="AA75" s="22" t="e">
        <f t="shared" si="18"/>
        <v>#N/A</v>
      </c>
      <c r="AB75" s="21" t="e">
        <f t="shared" si="19"/>
        <v>#N/A</v>
      </c>
      <c r="AC75" s="21" t="e">
        <f t="shared" si="20"/>
        <v>#N/A</v>
      </c>
      <c r="AD75" s="11" t="e">
        <f t="shared" si="21"/>
        <v>#N/A</v>
      </c>
      <c r="AE75" s="22" t="e">
        <f t="shared" si="22"/>
        <v>#N/A</v>
      </c>
      <c r="AF75" s="21" t="e">
        <f t="shared" si="23"/>
        <v>#N/A</v>
      </c>
      <c r="AG75" s="21" t="e">
        <f t="shared" si="24"/>
        <v>#N/A</v>
      </c>
      <c r="AH75" s="11" t="e">
        <f t="shared" si="25"/>
        <v>#N/A</v>
      </c>
      <c r="AI75">
        <v>2.5000000000000001E-2</v>
      </c>
      <c r="AJ75">
        <v>-2.5000000000000001E-2</v>
      </c>
      <c r="AK75">
        <v>1.5E-3</v>
      </c>
      <c r="AL75">
        <v>-1.5E-3</v>
      </c>
      <c r="AM75">
        <v>1.5E-3</v>
      </c>
      <c r="AN75">
        <v>-1.5E-3</v>
      </c>
      <c r="AO75" s="16">
        <v>2.5000000000000001E-2</v>
      </c>
      <c r="AP75" s="16">
        <v>-2.5000000000000001E-2</v>
      </c>
      <c r="AQ75">
        <v>1.4999999999999999E-2</v>
      </c>
      <c r="AR75">
        <v>-1.4999999999999999E-2</v>
      </c>
      <c r="AS75">
        <v>1E-3</v>
      </c>
      <c r="AT75">
        <v>-1E-3</v>
      </c>
      <c r="AU75">
        <v>1E-3</v>
      </c>
      <c r="AV75">
        <v>-1E-3</v>
      </c>
      <c r="AW75" s="16">
        <v>1.4999999999999999E-2</v>
      </c>
      <c r="AX75" s="16">
        <v>-1.4999999999999999E-2</v>
      </c>
    </row>
    <row r="76" spans="6:278" customFormat="1">
      <c r="F76" s="17" t="str">
        <f t="shared" si="13"/>
        <v/>
      </c>
      <c r="G76" s="9"/>
      <c r="H76" s="2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22" t="e">
        <f t="shared" si="14"/>
        <v>#N/A</v>
      </c>
      <c r="X76" s="21" t="e">
        <f t="shared" si="15"/>
        <v>#N/A</v>
      </c>
      <c r="Y76" s="21" t="e">
        <f t="shared" si="16"/>
        <v>#N/A</v>
      </c>
      <c r="Z76" s="11" t="e">
        <f t="shared" si="17"/>
        <v>#N/A</v>
      </c>
      <c r="AA76" s="22" t="e">
        <f t="shared" si="18"/>
        <v>#N/A</v>
      </c>
      <c r="AB76" s="21" t="e">
        <f t="shared" si="19"/>
        <v>#N/A</v>
      </c>
      <c r="AC76" s="21" t="e">
        <f t="shared" si="20"/>
        <v>#N/A</v>
      </c>
      <c r="AD76" s="11" t="e">
        <f t="shared" si="21"/>
        <v>#N/A</v>
      </c>
      <c r="AE76" s="22" t="e">
        <f t="shared" si="22"/>
        <v>#N/A</v>
      </c>
      <c r="AF76" s="21" t="e">
        <f t="shared" si="23"/>
        <v>#N/A</v>
      </c>
      <c r="AG76" s="21" t="e">
        <f t="shared" si="24"/>
        <v>#N/A</v>
      </c>
      <c r="AH76" s="11" t="e">
        <f t="shared" si="25"/>
        <v>#N/A</v>
      </c>
      <c r="AI76">
        <v>2.5000000000000001E-2</v>
      </c>
      <c r="AJ76">
        <v>-2.5000000000000001E-2</v>
      </c>
      <c r="AK76">
        <v>1.5E-3</v>
      </c>
      <c r="AL76">
        <v>-1.5E-3</v>
      </c>
      <c r="AM76">
        <v>1.5E-3</v>
      </c>
      <c r="AN76">
        <v>-1.5E-3</v>
      </c>
      <c r="AO76" s="16">
        <v>2.5000000000000001E-2</v>
      </c>
      <c r="AP76" s="16">
        <v>-2.5000000000000001E-2</v>
      </c>
      <c r="AQ76">
        <v>1.4999999999999999E-2</v>
      </c>
      <c r="AR76">
        <v>-1.4999999999999999E-2</v>
      </c>
      <c r="AS76">
        <v>1E-3</v>
      </c>
      <c r="AT76">
        <v>-1E-3</v>
      </c>
      <c r="AU76">
        <v>1E-3</v>
      </c>
      <c r="AV76">
        <v>-1E-3</v>
      </c>
      <c r="AW76" s="16">
        <v>1.4999999999999999E-2</v>
      </c>
      <c r="AX76" s="16">
        <v>-1.4999999999999999E-2</v>
      </c>
    </row>
    <row r="77" spans="6:278" customFormat="1">
      <c r="F77" s="17" t="str">
        <f t="shared" si="13"/>
        <v/>
      </c>
      <c r="G77" s="9"/>
      <c r="H77" s="2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22" t="e">
        <f t="shared" si="14"/>
        <v>#N/A</v>
      </c>
      <c r="X77" s="21" t="e">
        <f t="shared" si="15"/>
        <v>#N/A</v>
      </c>
      <c r="Y77" s="21" t="e">
        <f t="shared" si="16"/>
        <v>#N/A</v>
      </c>
      <c r="Z77" s="11" t="e">
        <f t="shared" si="17"/>
        <v>#N/A</v>
      </c>
      <c r="AA77" s="22" t="e">
        <f t="shared" si="18"/>
        <v>#N/A</v>
      </c>
      <c r="AB77" s="21" t="e">
        <f t="shared" si="19"/>
        <v>#N/A</v>
      </c>
      <c r="AC77" s="21" t="e">
        <f t="shared" si="20"/>
        <v>#N/A</v>
      </c>
      <c r="AD77" s="11" t="e">
        <f t="shared" si="21"/>
        <v>#N/A</v>
      </c>
      <c r="AE77" s="22" t="e">
        <f t="shared" si="22"/>
        <v>#N/A</v>
      </c>
      <c r="AF77" s="21" t="e">
        <f t="shared" si="23"/>
        <v>#N/A</v>
      </c>
      <c r="AG77" s="21" t="e">
        <f t="shared" si="24"/>
        <v>#N/A</v>
      </c>
      <c r="AH77" s="11" t="e">
        <f t="shared" si="25"/>
        <v>#N/A</v>
      </c>
      <c r="AI77">
        <v>2.5000000000000001E-2</v>
      </c>
      <c r="AJ77">
        <v>-2.5000000000000001E-2</v>
      </c>
      <c r="AK77">
        <v>1.5E-3</v>
      </c>
      <c r="AL77">
        <v>-1.5E-3</v>
      </c>
      <c r="AM77">
        <v>1.5E-3</v>
      </c>
      <c r="AN77">
        <v>-1.5E-3</v>
      </c>
      <c r="AO77" s="16">
        <v>2.5000000000000001E-2</v>
      </c>
      <c r="AP77" s="16">
        <v>-2.5000000000000001E-2</v>
      </c>
      <c r="AQ77">
        <v>1.4999999999999999E-2</v>
      </c>
      <c r="AR77">
        <v>-1.4999999999999999E-2</v>
      </c>
      <c r="AS77">
        <v>1E-3</v>
      </c>
      <c r="AT77">
        <v>-1E-3</v>
      </c>
      <c r="AU77">
        <v>1E-3</v>
      </c>
      <c r="AV77">
        <v>-1E-3</v>
      </c>
      <c r="AW77" s="16">
        <v>1.4999999999999999E-2</v>
      </c>
      <c r="AX77" s="16">
        <v>-1.4999999999999999E-2</v>
      </c>
    </row>
    <row r="78" spans="6:278" customFormat="1">
      <c r="F78" s="17" t="str">
        <f t="shared" si="13"/>
        <v/>
      </c>
      <c r="G78" s="9"/>
      <c r="H78" s="2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22" t="e">
        <f t="shared" si="14"/>
        <v>#N/A</v>
      </c>
      <c r="X78" s="21" t="e">
        <f t="shared" si="15"/>
        <v>#N/A</v>
      </c>
      <c r="Y78" s="21" t="e">
        <f t="shared" si="16"/>
        <v>#N/A</v>
      </c>
      <c r="Z78" s="11" t="e">
        <f t="shared" si="17"/>
        <v>#N/A</v>
      </c>
      <c r="AA78" s="22" t="e">
        <f t="shared" si="18"/>
        <v>#N/A</v>
      </c>
      <c r="AB78" s="21" t="e">
        <f t="shared" si="19"/>
        <v>#N/A</v>
      </c>
      <c r="AC78" s="21" t="e">
        <f t="shared" si="20"/>
        <v>#N/A</v>
      </c>
      <c r="AD78" s="11" t="e">
        <f t="shared" si="21"/>
        <v>#N/A</v>
      </c>
      <c r="AE78" s="22" t="e">
        <f t="shared" si="22"/>
        <v>#N/A</v>
      </c>
      <c r="AF78" s="21" t="e">
        <f t="shared" si="23"/>
        <v>#N/A</v>
      </c>
      <c r="AG78" s="21" t="e">
        <f t="shared" si="24"/>
        <v>#N/A</v>
      </c>
      <c r="AH78" s="11" t="e">
        <f t="shared" si="25"/>
        <v>#N/A</v>
      </c>
      <c r="AI78">
        <v>2.5000000000000001E-2</v>
      </c>
      <c r="AJ78">
        <v>-2.5000000000000001E-2</v>
      </c>
      <c r="AK78">
        <v>1.5E-3</v>
      </c>
      <c r="AL78">
        <v>-1.5E-3</v>
      </c>
      <c r="AM78">
        <v>1.5E-3</v>
      </c>
      <c r="AN78">
        <v>-1.5E-3</v>
      </c>
      <c r="AO78" s="16">
        <v>2.5000000000000001E-2</v>
      </c>
      <c r="AP78" s="16">
        <v>-2.5000000000000001E-2</v>
      </c>
      <c r="AQ78">
        <v>1.4999999999999999E-2</v>
      </c>
      <c r="AR78">
        <v>-1.4999999999999999E-2</v>
      </c>
      <c r="AS78">
        <v>1E-3</v>
      </c>
      <c r="AT78">
        <v>-1E-3</v>
      </c>
      <c r="AU78">
        <v>1E-3</v>
      </c>
      <c r="AV78">
        <v>-1E-3</v>
      </c>
      <c r="AW78" s="16">
        <v>1.4999999999999999E-2</v>
      </c>
      <c r="AX78" s="16">
        <v>-1.4999999999999999E-2</v>
      </c>
    </row>
    <row r="79" spans="6:278" customFormat="1">
      <c r="F79" s="17" t="str">
        <f t="shared" si="13"/>
        <v/>
      </c>
      <c r="G79" s="9"/>
      <c r="H79" s="2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22" t="e">
        <f t="shared" si="14"/>
        <v>#N/A</v>
      </c>
      <c r="X79" s="21" t="e">
        <f t="shared" si="15"/>
        <v>#N/A</v>
      </c>
      <c r="Y79" s="21" t="e">
        <f t="shared" si="16"/>
        <v>#N/A</v>
      </c>
      <c r="Z79" s="11" t="e">
        <f t="shared" si="17"/>
        <v>#N/A</v>
      </c>
      <c r="AA79" s="22" t="e">
        <f t="shared" si="18"/>
        <v>#N/A</v>
      </c>
      <c r="AB79" s="21" t="e">
        <f t="shared" si="19"/>
        <v>#N/A</v>
      </c>
      <c r="AC79" s="21" t="e">
        <f t="shared" si="20"/>
        <v>#N/A</v>
      </c>
      <c r="AD79" s="11" t="e">
        <f t="shared" si="21"/>
        <v>#N/A</v>
      </c>
      <c r="AE79" s="22" t="e">
        <f t="shared" si="22"/>
        <v>#N/A</v>
      </c>
      <c r="AF79" s="21" t="e">
        <f t="shared" si="23"/>
        <v>#N/A</v>
      </c>
      <c r="AG79" s="21" t="e">
        <f t="shared" si="24"/>
        <v>#N/A</v>
      </c>
      <c r="AH79" s="11" t="e">
        <f t="shared" si="25"/>
        <v>#N/A</v>
      </c>
      <c r="AI79">
        <v>2.5000000000000001E-2</v>
      </c>
      <c r="AJ79">
        <v>-2.5000000000000001E-2</v>
      </c>
      <c r="AK79">
        <v>1.5E-3</v>
      </c>
      <c r="AL79">
        <v>-1.5E-3</v>
      </c>
      <c r="AM79">
        <v>1.5E-3</v>
      </c>
      <c r="AN79">
        <v>-1.5E-3</v>
      </c>
      <c r="AO79" s="16">
        <v>2.5000000000000001E-2</v>
      </c>
      <c r="AP79" s="16">
        <v>-2.5000000000000001E-2</v>
      </c>
      <c r="AQ79">
        <v>1.4999999999999999E-2</v>
      </c>
      <c r="AR79">
        <v>-1.4999999999999999E-2</v>
      </c>
      <c r="AS79">
        <v>1E-3</v>
      </c>
      <c r="AT79">
        <v>-1E-3</v>
      </c>
      <c r="AU79">
        <v>1E-3</v>
      </c>
      <c r="AV79">
        <v>-1E-3</v>
      </c>
      <c r="AW79" s="16">
        <v>1.4999999999999999E-2</v>
      </c>
      <c r="AX79" s="16">
        <v>-1.4999999999999999E-2</v>
      </c>
    </row>
    <row r="80" spans="6:278" customFormat="1">
      <c r="F80" s="17" t="str">
        <f t="shared" si="13"/>
        <v/>
      </c>
      <c r="G80" s="9"/>
      <c r="H80" s="2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22" t="e">
        <f t="shared" si="14"/>
        <v>#N/A</v>
      </c>
      <c r="X80" s="21" t="e">
        <f t="shared" si="15"/>
        <v>#N/A</v>
      </c>
      <c r="Y80" s="21" t="e">
        <f t="shared" si="16"/>
        <v>#N/A</v>
      </c>
      <c r="Z80" s="11" t="e">
        <f t="shared" si="17"/>
        <v>#N/A</v>
      </c>
      <c r="AA80" s="22" t="e">
        <f t="shared" si="18"/>
        <v>#N/A</v>
      </c>
      <c r="AB80" s="21" t="e">
        <f t="shared" si="19"/>
        <v>#N/A</v>
      </c>
      <c r="AC80" s="21" t="e">
        <f t="shared" si="20"/>
        <v>#N/A</v>
      </c>
      <c r="AD80" s="11" t="e">
        <f t="shared" si="21"/>
        <v>#N/A</v>
      </c>
      <c r="AE80" s="22" t="e">
        <f t="shared" si="22"/>
        <v>#N/A</v>
      </c>
      <c r="AF80" s="21" t="e">
        <f t="shared" si="23"/>
        <v>#N/A</v>
      </c>
      <c r="AG80" s="21" t="e">
        <f t="shared" si="24"/>
        <v>#N/A</v>
      </c>
      <c r="AH80" s="11" t="e">
        <f t="shared" si="25"/>
        <v>#N/A</v>
      </c>
      <c r="AI80">
        <v>2.5000000000000001E-2</v>
      </c>
      <c r="AJ80">
        <v>-2.5000000000000001E-2</v>
      </c>
      <c r="AK80">
        <v>1.5E-3</v>
      </c>
      <c r="AL80">
        <v>-1.5E-3</v>
      </c>
      <c r="AM80">
        <v>1.5E-3</v>
      </c>
      <c r="AN80">
        <v>-1.5E-3</v>
      </c>
      <c r="AO80" s="16">
        <v>2.5000000000000001E-2</v>
      </c>
      <c r="AP80" s="16">
        <v>-2.5000000000000001E-2</v>
      </c>
      <c r="AQ80">
        <v>1.4999999999999999E-2</v>
      </c>
      <c r="AR80">
        <v>-1.4999999999999999E-2</v>
      </c>
      <c r="AS80">
        <v>1E-3</v>
      </c>
      <c r="AT80">
        <v>-1E-3</v>
      </c>
      <c r="AU80">
        <v>1E-3</v>
      </c>
      <c r="AV80">
        <v>-1E-3</v>
      </c>
      <c r="AW80" s="16">
        <v>1.4999999999999999E-2</v>
      </c>
      <c r="AX80" s="16">
        <v>-1.4999999999999999E-2</v>
      </c>
    </row>
    <row r="81" spans="6:50">
      <c r="F81" s="17" t="str">
        <f t="shared" si="13"/>
        <v/>
      </c>
      <c r="G81" s="9"/>
      <c r="H81" s="2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22" t="e">
        <f t="shared" si="14"/>
        <v>#N/A</v>
      </c>
      <c r="X81" s="21" t="e">
        <f t="shared" si="15"/>
        <v>#N/A</v>
      </c>
      <c r="Y81" s="21" t="e">
        <f t="shared" si="16"/>
        <v>#N/A</v>
      </c>
      <c r="Z81" s="11" t="e">
        <f t="shared" si="17"/>
        <v>#N/A</v>
      </c>
      <c r="AA81" s="22" t="e">
        <f t="shared" si="18"/>
        <v>#N/A</v>
      </c>
      <c r="AB81" s="21" t="e">
        <f t="shared" si="19"/>
        <v>#N/A</v>
      </c>
      <c r="AC81" s="21" t="e">
        <f t="shared" si="20"/>
        <v>#N/A</v>
      </c>
      <c r="AD81" s="11" t="e">
        <f t="shared" si="21"/>
        <v>#N/A</v>
      </c>
      <c r="AE81" s="22" t="e">
        <f t="shared" si="22"/>
        <v>#N/A</v>
      </c>
      <c r="AF81" s="21" t="e">
        <f t="shared" si="23"/>
        <v>#N/A</v>
      </c>
      <c r="AG81" s="21" t="e">
        <f t="shared" si="24"/>
        <v>#N/A</v>
      </c>
      <c r="AH81" s="11" t="e">
        <f t="shared" si="25"/>
        <v>#N/A</v>
      </c>
      <c r="AI81">
        <v>2.5000000000000001E-2</v>
      </c>
      <c r="AJ81">
        <v>-2.5000000000000001E-2</v>
      </c>
      <c r="AK81">
        <v>1.5E-3</v>
      </c>
      <c r="AL81">
        <v>-1.5E-3</v>
      </c>
      <c r="AM81">
        <v>1.5E-3</v>
      </c>
      <c r="AN81">
        <v>-1.5E-3</v>
      </c>
      <c r="AO81" s="16">
        <v>2.5000000000000001E-2</v>
      </c>
      <c r="AP81" s="16">
        <v>-2.5000000000000001E-2</v>
      </c>
      <c r="AQ81">
        <v>1.4999999999999999E-2</v>
      </c>
      <c r="AR81">
        <v>-1.4999999999999999E-2</v>
      </c>
      <c r="AS81">
        <v>1E-3</v>
      </c>
      <c r="AT81">
        <v>-1E-3</v>
      </c>
      <c r="AU81">
        <v>1E-3</v>
      </c>
      <c r="AV81">
        <v>-1E-3</v>
      </c>
      <c r="AW81" s="16">
        <v>1.4999999999999999E-2</v>
      </c>
      <c r="AX81" s="16">
        <v>-1.4999999999999999E-2</v>
      </c>
    </row>
    <row r="82" spans="6:50">
      <c r="F82" s="17" t="str">
        <f t="shared" si="13"/>
        <v/>
      </c>
      <c r="G82" s="9"/>
      <c r="H82" s="2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22" t="e">
        <f t="shared" si="14"/>
        <v>#N/A</v>
      </c>
      <c r="X82" s="21" t="e">
        <f t="shared" si="15"/>
        <v>#N/A</v>
      </c>
      <c r="Y82" s="21" t="e">
        <f t="shared" si="16"/>
        <v>#N/A</v>
      </c>
      <c r="Z82" s="11" t="e">
        <f t="shared" si="17"/>
        <v>#N/A</v>
      </c>
      <c r="AA82" s="22" t="e">
        <f t="shared" si="18"/>
        <v>#N/A</v>
      </c>
      <c r="AB82" s="21" t="e">
        <f t="shared" si="19"/>
        <v>#N/A</v>
      </c>
      <c r="AC82" s="21" t="e">
        <f t="shared" si="20"/>
        <v>#N/A</v>
      </c>
      <c r="AD82" s="11" t="e">
        <f t="shared" si="21"/>
        <v>#N/A</v>
      </c>
      <c r="AE82" s="22" t="e">
        <f t="shared" si="22"/>
        <v>#N/A</v>
      </c>
      <c r="AF82" s="21" t="e">
        <f t="shared" si="23"/>
        <v>#N/A</v>
      </c>
      <c r="AG82" s="21" t="e">
        <f t="shared" si="24"/>
        <v>#N/A</v>
      </c>
      <c r="AH82" s="11" t="e">
        <f t="shared" si="25"/>
        <v>#N/A</v>
      </c>
      <c r="AI82">
        <v>2.5000000000000001E-2</v>
      </c>
      <c r="AJ82">
        <v>-2.5000000000000001E-2</v>
      </c>
      <c r="AK82">
        <v>1.5E-3</v>
      </c>
      <c r="AL82">
        <v>-1.5E-3</v>
      </c>
      <c r="AM82">
        <v>1.5E-3</v>
      </c>
      <c r="AN82">
        <v>-1.5E-3</v>
      </c>
      <c r="AO82" s="16">
        <v>2.5000000000000001E-2</v>
      </c>
      <c r="AP82" s="16">
        <v>-2.5000000000000001E-2</v>
      </c>
      <c r="AQ82">
        <v>1.4999999999999999E-2</v>
      </c>
      <c r="AR82">
        <v>-1.4999999999999999E-2</v>
      </c>
      <c r="AS82">
        <v>1E-3</v>
      </c>
      <c r="AT82">
        <v>-1E-3</v>
      </c>
      <c r="AU82">
        <v>1E-3</v>
      </c>
      <c r="AV82">
        <v>-1E-3</v>
      </c>
      <c r="AW82" s="16">
        <v>1.4999999999999999E-2</v>
      </c>
      <c r="AX82" s="16">
        <v>-1.4999999999999999E-2</v>
      </c>
    </row>
    <row r="83" spans="6:50">
      <c r="F83" s="17" t="str">
        <f t="shared" si="13"/>
        <v/>
      </c>
      <c r="G83" s="9"/>
      <c r="H83" s="2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22" t="e">
        <f t="shared" si="14"/>
        <v>#N/A</v>
      </c>
      <c r="X83" s="21" t="e">
        <f t="shared" si="15"/>
        <v>#N/A</v>
      </c>
      <c r="Y83" s="21" t="e">
        <f t="shared" si="16"/>
        <v>#N/A</v>
      </c>
      <c r="Z83" s="11" t="e">
        <f t="shared" si="17"/>
        <v>#N/A</v>
      </c>
      <c r="AA83" s="22" t="e">
        <f t="shared" si="18"/>
        <v>#N/A</v>
      </c>
      <c r="AB83" s="21" t="e">
        <f t="shared" si="19"/>
        <v>#N/A</v>
      </c>
      <c r="AC83" s="21" t="e">
        <f t="shared" si="20"/>
        <v>#N/A</v>
      </c>
      <c r="AD83" s="11" t="e">
        <f t="shared" si="21"/>
        <v>#N/A</v>
      </c>
      <c r="AE83" s="22" t="e">
        <f t="shared" si="22"/>
        <v>#N/A</v>
      </c>
      <c r="AF83" s="21" t="e">
        <f t="shared" si="23"/>
        <v>#N/A</v>
      </c>
      <c r="AG83" s="21" t="e">
        <f t="shared" si="24"/>
        <v>#N/A</v>
      </c>
      <c r="AH83" s="11" t="e">
        <f t="shared" si="25"/>
        <v>#N/A</v>
      </c>
      <c r="AI83">
        <v>2.5000000000000001E-2</v>
      </c>
      <c r="AJ83">
        <v>-2.5000000000000001E-2</v>
      </c>
      <c r="AK83">
        <v>1.5E-3</v>
      </c>
      <c r="AL83">
        <v>-1.5E-3</v>
      </c>
      <c r="AM83">
        <v>1.5E-3</v>
      </c>
      <c r="AN83">
        <v>-1.5E-3</v>
      </c>
      <c r="AO83" s="16">
        <v>2.5000000000000001E-2</v>
      </c>
      <c r="AP83" s="16">
        <v>-2.5000000000000001E-2</v>
      </c>
      <c r="AQ83">
        <v>1.4999999999999999E-2</v>
      </c>
      <c r="AR83">
        <v>-1.4999999999999999E-2</v>
      </c>
      <c r="AS83">
        <v>1E-3</v>
      </c>
      <c r="AT83">
        <v>-1E-3</v>
      </c>
      <c r="AU83">
        <v>1E-3</v>
      </c>
      <c r="AV83">
        <v>-1E-3</v>
      </c>
      <c r="AW83" s="16">
        <v>1.4999999999999999E-2</v>
      </c>
      <c r="AX83" s="16">
        <v>-1.4999999999999999E-2</v>
      </c>
    </row>
    <row r="84" spans="6:50">
      <c r="F84" s="17" t="str">
        <f t="shared" si="13"/>
        <v/>
      </c>
      <c r="G84" s="9"/>
      <c r="H84" s="2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22" t="e">
        <f t="shared" si="14"/>
        <v>#N/A</v>
      </c>
      <c r="X84" s="21" t="e">
        <f t="shared" si="15"/>
        <v>#N/A</v>
      </c>
      <c r="Y84" s="21" t="e">
        <f t="shared" si="16"/>
        <v>#N/A</v>
      </c>
      <c r="Z84" s="11" t="e">
        <f t="shared" si="17"/>
        <v>#N/A</v>
      </c>
      <c r="AA84" s="22" t="e">
        <f t="shared" si="18"/>
        <v>#N/A</v>
      </c>
      <c r="AB84" s="21" t="e">
        <f t="shared" si="19"/>
        <v>#N/A</v>
      </c>
      <c r="AC84" s="21" t="e">
        <f t="shared" si="20"/>
        <v>#N/A</v>
      </c>
      <c r="AD84" s="11" t="e">
        <f t="shared" si="21"/>
        <v>#N/A</v>
      </c>
      <c r="AE84" s="22" t="e">
        <f t="shared" si="22"/>
        <v>#N/A</v>
      </c>
      <c r="AF84" s="21" t="e">
        <f t="shared" si="23"/>
        <v>#N/A</v>
      </c>
      <c r="AG84" s="21" t="e">
        <f t="shared" si="24"/>
        <v>#N/A</v>
      </c>
      <c r="AH84" s="11" t="e">
        <f t="shared" si="25"/>
        <v>#N/A</v>
      </c>
      <c r="AI84">
        <v>2.5000000000000001E-2</v>
      </c>
      <c r="AJ84">
        <v>-2.5000000000000001E-2</v>
      </c>
      <c r="AK84">
        <v>1.5E-3</v>
      </c>
      <c r="AL84">
        <v>-1.5E-3</v>
      </c>
      <c r="AM84">
        <v>1.5E-3</v>
      </c>
      <c r="AN84">
        <v>-1.5E-3</v>
      </c>
      <c r="AO84" s="16">
        <v>2.5000000000000001E-2</v>
      </c>
      <c r="AP84" s="16">
        <v>-2.5000000000000001E-2</v>
      </c>
      <c r="AQ84">
        <v>1.4999999999999999E-2</v>
      </c>
      <c r="AR84">
        <v>-1.4999999999999999E-2</v>
      </c>
      <c r="AS84">
        <v>1E-3</v>
      </c>
      <c r="AT84">
        <v>-1E-3</v>
      </c>
      <c r="AU84">
        <v>1E-3</v>
      </c>
      <c r="AV84">
        <v>-1E-3</v>
      </c>
      <c r="AW84" s="16">
        <v>1.4999999999999999E-2</v>
      </c>
      <c r="AX84" s="16">
        <v>-1.4999999999999999E-2</v>
      </c>
    </row>
    <row r="85" spans="6:50">
      <c r="F85" s="17" t="str">
        <f t="shared" si="13"/>
        <v/>
      </c>
      <c r="G85" s="9"/>
      <c r="H85" s="2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22" t="e">
        <f t="shared" si="14"/>
        <v>#N/A</v>
      </c>
      <c r="X85" s="21" t="e">
        <f t="shared" si="15"/>
        <v>#N/A</v>
      </c>
      <c r="Y85" s="21" t="e">
        <f t="shared" si="16"/>
        <v>#N/A</v>
      </c>
      <c r="Z85" s="11" t="e">
        <f t="shared" si="17"/>
        <v>#N/A</v>
      </c>
      <c r="AA85" s="22" t="e">
        <f t="shared" si="18"/>
        <v>#N/A</v>
      </c>
      <c r="AB85" s="21" t="e">
        <f t="shared" si="19"/>
        <v>#N/A</v>
      </c>
      <c r="AC85" s="21" t="e">
        <f t="shared" si="20"/>
        <v>#N/A</v>
      </c>
      <c r="AD85" s="11" t="e">
        <f t="shared" si="21"/>
        <v>#N/A</v>
      </c>
      <c r="AE85" s="22" t="e">
        <f t="shared" si="22"/>
        <v>#N/A</v>
      </c>
      <c r="AF85" s="21" t="e">
        <f t="shared" si="23"/>
        <v>#N/A</v>
      </c>
      <c r="AG85" s="21" t="e">
        <f t="shared" si="24"/>
        <v>#N/A</v>
      </c>
      <c r="AH85" s="11" t="e">
        <f t="shared" si="25"/>
        <v>#N/A</v>
      </c>
      <c r="AI85">
        <v>2.5000000000000001E-2</v>
      </c>
      <c r="AJ85">
        <v>-2.5000000000000001E-2</v>
      </c>
      <c r="AK85">
        <v>1.5E-3</v>
      </c>
      <c r="AL85">
        <v>-1.5E-3</v>
      </c>
      <c r="AM85">
        <v>1.5E-3</v>
      </c>
      <c r="AN85">
        <v>-1.5E-3</v>
      </c>
      <c r="AO85" s="16">
        <v>2.5000000000000001E-2</v>
      </c>
      <c r="AP85" s="16">
        <v>-2.5000000000000001E-2</v>
      </c>
      <c r="AQ85">
        <v>1.4999999999999999E-2</v>
      </c>
      <c r="AR85">
        <v>-1.4999999999999999E-2</v>
      </c>
      <c r="AS85">
        <v>1E-3</v>
      </c>
      <c r="AT85">
        <v>-1E-3</v>
      </c>
      <c r="AU85">
        <v>1E-3</v>
      </c>
      <c r="AV85">
        <v>-1E-3</v>
      </c>
      <c r="AW85" s="16">
        <v>1.4999999999999999E-2</v>
      </c>
      <c r="AX85" s="16">
        <v>-1.4999999999999999E-2</v>
      </c>
    </row>
    <row r="86" spans="6:50">
      <c r="F86" s="17" t="str">
        <f t="shared" si="13"/>
        <v/>
      </c>
      <c r="G86" s="9"/>
      <c r="H86" s="2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22" t="e">
        <f t="shared" si="14"/>
        <v>#N/A</v>
      </c>
      <c r="X86" s="21" t="e">
        <f t="shared" si="15"/>
        <v>#N/A</v>
      </c>
      <c r="Y86" s="21" t="e">
        <f t="shared" si="16"/>
        <v>#N/A</v>
      </c>
      <c r="Z86" s="11" t="e">
        <f t="shared" si="17"/>
        <v>#N/A</v>
      </c>
      <c r="AA86" s="22" t="e">
        <f t="shared" si="18"/>
        <v>#N/A</v>
      </c>
      <c r="AB86" s="21" t="e">
        <f t="shared" si="19"/>
        <v>#N/A</v>
      </c>
      <c r="AC86" s="21" t="e">
        <f t="shared" si="20"/>
        <v>#N/A</v>
      </c>
      <c r="AD86" s="11" t="e">
        <f t="shared" si="21"/>
        <v>#N/A</v>
      </c>
      <c r="AE86" s="22" t="e">
        <f t="shared" si="22"/>
        <v>#N/A</v>
      </c>
      <c r="AF86" s="21" t="e">
        <f t="shared" si="23"/>
        <v>#N/A</v>
      </c>
      <c r="AG86" s="21" t="e">
        <f t="shared" si="24"/>
        <v>#N/A</v>
      </c>
      <c r="AH86" s="11" t="e">
        <f t="shared" si="25"/>
        <v>#N/A</v>
      </c>
      <c r="AI86">
        <v>2.5000000000000001E-2</v>
      </c>
      <c r="AJ86">
        <v>-2.5000000000000001E-2</v>
      </c>
      <c r="AK86">
        <v>1.5E-3</v>
      </c>
      <c r="AL86">
        <v>-1.5E-3</v>
      </c>
      <c r="AM86">
        <v>1.5E-3</v>
      </c>
      <c r="AN86">
        <v>-1.5E-3</v>
      </c>
      <c r="AO86" s="16">
        <v>2.5000000000000001E-2</v>
      </c>
      <c r="AP86" s="16">
        <v>-2.5000000000000001E-2</v>
      </c>
      <c r="AQ86">
        <v>1.4999999999999999E-2</v>
      </c>
      <c r="AR86">
        <v>-1.4999999999999999E-2</v>
      </c>
      <c r="AS86">
        <v>1E-3</v>
      </c>
      <c r="AT86">
        <v>-1E-3</v>
      </c>
      <c r="AU86">
        <v>1E-3</v>
      </c>
      <c r="AV86">
        <v>-1E-3</v>
      </c>
      <c r="AW86" s="16">
        <v>1.4999999999999999E-2</v>
      </c>
      <c r="AX86" s="16">
        <v>-1.4999999999999999E-2</v>
      </c>
    </row>
    <row r="87" spans="6:50">
      <c r="F87" s="17" t="str">
        <f t="shared" si="13"/>
        <v/>
      </c>
      <c r="G87" s="9"/>
      <c r="H87" s="2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22" t="e">
        <f t="shared" si="14"/>
        <v>#N/A</v>
      </c>
      <c r="X87" s="21" t="e">
        <f t="shared" si="15"/>
        <v>#N/A</v>
      </c>
      <c r="Y87" s="21" t="e">
        <f t="shared" si="16"/>
        <v>#N/A</v>
      </c>
      <c r="Z87" s="11" t="e">
        <f t="shared" si="17"/>
        <v>#N/A</v>
      </c>
      <c r="AA87" s="22" t="e">
        <f t="shared" si="18"/>
        <v>#N/A</v>
      </c>
      <c r="AB87" s="21" t="e">
        <f t="shared" si="19"/>
        <v>#N/A</v>
      </c>
      <c r="AC87" s="21" t="e">
        <f t="shared" si="20"/>
        <v>#N/A</v>
      </c>
      <c r="AD87" s="11" t="e">
        <f t="shared" si="21"/>
        <v>#N/A</v>
      </c>
      <c r="AE87" s="22" t="e">
        <f t="shared" si="22"/>
        <v>#N/A</v>
      </c>
      <c r="AF87" s="21" t="e">
        <f t="shared" si="23"/>
        <v>#N/A</v>
      </c>
      <c r="AG87" s="21" t="e">
        <f t="shared" si="24"/>
        <v>#N/A</v>
      </c>
      <c r="AH87" s="11" t="e">
        <f t="shared" si="25"/>
        <v>#N/A</v>
      </c>
      <c r="AI87">
        <v>2.5000000000000001E-2</v>
      </c>
      <c r="AJ87">
        <v>-2.5000000000000001E-2</v>
      </c>
      <c r="AK87">
        <v>1.5E-3</v>
      </c>
      <c r="AL87">
        <v>-1.5E-3</v>
      </c>
      <c r="AM87">
        <v>1.5E-3</v>
      </c>
      <c r="AN87">
        <v>-1.5E-3</v>
      </c>
      <c r="AO87" s="16">
        <v>2.5000000000000001E-2</v>
      </c>
      <c r="AP87" s="16">
        <v>-2.5000000000000001E-2</v>
      </c>
      <c r="AQ87">
        <v>1.4999999999999999E-2</v>
      </c>
      <c r="AR87">
        <v>-1.4999999999999999E-2</v>
      </c>
      <c r="AS87">
        <v>1E-3</v>
      </c>
      <c r="AT87">
        <v>-1E-3</v>
      </c>
      <c r="AU87">
        <v>1E-3</v>
      </c>
      <c r="AV87">
        <v>-1E-3</v>
      </c>
      <c r="AW87" s="16">
        <v>1.4999999999999999E-2</v>
      </c>
      <c r="AX87" s="16">
        <v>-1.4999999999999999E-2</v>
      </c>
    </row>
    <row r="88" spans="6:50">
      <c r="F88" s="17" t="str">
        <f t="shared" si="13"/>
        <v/>
      </c>
      <c r="G88" s="4"/>
      <c r="H88" s="2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22" t="e">
        <f t="shared" si="14"/>
        <v>#N/A</v>
      </c>
      <c r="X88" s="21" t="e">
        <f t="shared" si="15"/>
        <v>#N/A</v>
      </c>
      <c r="Y88" s="21" t="e">
        <f t="shared" si="16"/>
        <v>#N/A</v>
      </c>
      <c r="Z88" s="11" t="e">
        <f t="shared" si="17"/>
        <v>#N/A</v>
      </c>
      <c r="AA88" s="22" t="e">
        <f t="shared" si="18"/>
        <v>#N/A</v>
      </c>
      <c r="AB88" s="21" t="e">
        <f t="shared" si="19"/>
        <v>#N/A</v>
      </c>
      <c r="AC88" s="21" t="e">
        <f t="shared" si="20"/>
        <v>#N/A</v>
      </c>
      <c r="AD88" s="11" t="e">
        <f t="shared" si="21"/>
        <v>#N/A</v>
      </c>
      <c r="AE88" s="22" t="e">
        <f t="shared" si="22"/>
        <v>#N/A</v>
      </c>
      <c r="AF88" s="21" t="e">
        <f t="shared" si="23"/>
        <v>#N/A</v>
      </c>
      <c r="AG88" s="21" t="e">
        <f t="shared" si="24"/>
        <v>#N/A</v>
      </c>
      <c r="AH88" s="11" t="e">
        <f t="shared" si="25"/>
        <v>#N/A</v>
      </c>
      <c r="AI88">
        <v>2.5000000000000001E-2</v>
      </c>
      <c r="AJ88">
        <v>-2.5000000000000001E-2</v>
      </c>
      <c r="AK88">
        <v>1.5E-3</v>
      </c>
      <c r="AL88">
        <v>-1.5E-3</v>
      </c>
      <c r="AM88">
        <v>1.5E-3</v>
      </c>
      <c r="AN88">
        <v>-1.5E-3</v>
      </c>
      <c r="AO88" s="16">
        <v>2.5000000000000001E-2</v>
      </c>
      <c r="AP88" s="16">
        <v>-2.5000000000000001E-2</v>
      </c>
      <c r="AQ88">
        <v>1.4999999999999999E-2</v>
      </c>
      <c r="AR88">
        <v>-1.4999999999999999E-2</v>
      </c>
      <c r="AS88">
        <v>1E-3</v>
      </c>
      <c r="AT88">
        <v>-1E-3</v>
      </c>
      <c r="AU88">
        <v>1E-3</v>
      </c>
      <c r="AV88">
        <v>-1E-3</v>
      </c>
      <c r="AW88" s="16">
        <v>1.4999999999999999E-2</v>
      </c>
      <c r="AX88" s="16">
        <v>-1.4999999999999999E-2</v>
      </c>
    </row>
    <row r="89" spans="6:50">
      <c r="F89" s="17" t="str">
        <f t="shared" si="13"/>
        <v/>
      </c>
      <c r="G89" s="4"/>
      <c r="H89" s="2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22" t="e">
        <f t="shared" si="14"/>
        <v>#N/A</v>
      </c>
      <c r="X89" s="21" t="e">
        <f t="shared" si="15"/>
        <v>#N/A</v>
      </c>
      <c r="Y89" s="21" t="e">
        <f t="shared" si="16"/>
        <v>#N/A</v>
      </c>
      <c r="Z89" s="11" t="e">
        <f t="shared" si="17"/>
        <v>#N/A</v>
      </c>
      <c r="AA89" s="22" t="e">
        <f t="shared" si="18"/>
        <v>#N/A</v>
      </c>
      <c r="AB89" s="21" t="e">
        <f t="shared" si="19"/>
        <v>#N/A</v>
      </c>
      <c r="AC89" s="21" t="e">
        <f t="shared" si="20"/>
        <v>#N/A</v>
      </c>
      <c r="AD89" s="11" t="e">
        <f t="shared" si="21"/>
        <v>#N/A</v>
      </c>
      <c r="AE89" s="22" t="e">
        <f t="shared" si="22"/>
        <v>#N/A</v>
      </c>
      <c r="AF89" s="21" t="e">
        <f t="shared" si="23"/>
        <v>#N/A</v>
      </c>
      <c r="AG89" s="21" t="e">
        <f t="shared" si="24"/>
        <v>#N/A</v>
      </c>
      <c r="AH89" s="11" t="e">
        <f t="shared" si="25"/>
        <v>#N/A</v>
      </c>
      <c r="AI89">
        <v>2.5000000000000001E-2</v>
      </c>
      <c r="AJ89">
        <v>-2.5000000000000001E-2</v>
      </c>
      <c r="AK89">
        <v>1.5E-3</v>
      </c>
      <c r="AL89">
        <v>-1.5E-3</v>
      </c>
      <c r="AM89">
        <v>1.5E-3</v>
      </c>
      <c r="AN89">
        <v>-1.5E-3</v>
      </c>
      <c r="AO89" s="16">
        <v>2.5000000000000001E-2</v>
      </c>
      <c r="AP89" s="16">
        <v>-2.5000000000000001E-2</v>
      </c>
      <c r="AQ89">
        <v>1.4999999999999999E-2</v>
      </c>
      <c r="AR89">
        <v>-1.4999999999999999E-2</v>
      </c>
      <c r="AS89">
        <v>1E-3</v>
      </c>
      <c r="AT89">
        <v>-1E-3</v>
      </c>
      <c r="AU89">
        <v>1E-3</v>
      </c>
      <c r="AV89">
        <v>-1E-3</v>
      </c>
      <c r="AW89" s="16">
        <v>1.4999999999999999E-2</v>
      </c>
      <c r="AX89" s="16">
        <v>-1.4999999999999999E-2</v>
      </c>
    </row>
    <row r="90" spans="6:50">
      <c r="F90" s="17" t="str">
        <f t="shared" si="13"/>
        <v/>
      </c>
      <c r="G90" s="4"/>
      <c r="H90" s="2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22" t="e">
        <f t="shared" si="14"/>
        <v>#N/A</v>
      </c>
      <c r="X90" s="21" t="e">
        <f t="shared" si="15"/>
        <v>#N/A</v>
      </c>
      <c r="Y90" s="21" t="e">
        <f t="shared" si="16"/>
        <v>#N/A</v>
      </c>
      <c r="Z90" s="11" t="e">
        <f t="shared" si="17"/>
        <v>#N/A</v>
      </c>
      <c r="AA90" s="22" t="e">
        <f t="shared" si="18"/>
        <v>#N/A</v>
      </c>
      <c r="AB90" s="21" t="e">
        <f t="shared" si="19"/>
        <v>#N/A</v>
      </c>
      <c r="AC90" s="21" t="e">
        <f t="shared" si="20"/>
        <v>#N/A</v>
      </c>
      <c r="AD90" s="11" t="e">
        <f t="shared" si="21"/>
        <v>#N/A</v>
      </c>
      <c r="AE90" s="22" t="e">
        <f t="shared" si="22"/>
        <v>#N/A</v>
      </c>
      <c r="AF90" s="21" t="e">
        <f t="shared" si="23"/>
        <v>#N/A</v>
      </c>
      <c r="AG90" s="21" t="e">
        <f t="shared" si="24"/>
        <v>#N/A</v>
      </c>
      <c r="AH90" s="11" t="e">
        <f t="shared" si="25"/>
        <v>#N/A</v>
      </c>
      <c r="AI90">
        <v>2.5000000000000001E-2</v>
      </c>
      <c r="AJ90">
        <v>-2.5000000000000001E-2</v>
      </c>
      <c r="AK90">
        <v>1.5E-3</v>
      </c>
      <c r="AL90">
        <v>-1.5E-3</v>
      </c>
      <c r="AM90">
        <v>1.5E-3</v>
      </c>
      <c r="AN90">
        <v>-1.5E-3</v>
      </c>
      <c r="AO90" s="16">
        <v>2.5000000000000001E-2</v>
      </c>
      <c r="AP90" s="16">
        <v>-2.5000000000000001E-2</v>
      </c>
      <c r="AQ90">
        <v>1.4999999999999999E-2</v>
      </c>
      <c r="AR90">
        <v>-1.4999999999999999E-2</v>
      </c>
      <c r="AS90">
        <v>1E-3</v>
      </c>
      <c r="AT90">
        <v>-1E-3</v>
      </c>
      <c r="AU90">
        <v>1E-3</v>
      </c>
      <c r="AV90">
        <v>-1E-3</v>
      </c>
      <c r="AW90" s="16">
        <v>1.4999999999999999E-2</v>
      </c>
      <c r="AX90" s="16">
        <v>-1.4999999999999999E-2</v>
      </c>
    </row>
    <row r="91" spans="6:50">
      <c r="F91" s="17" t="str">
        <f t="shared" si="13"/>
        <v/>
      </c>
      <c r="G91" s="4"/>
      <c r="H91" s="2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22" t="e">
        <f t="shared" si="14"/>
        <v>#N/A</v>
      </c>
      <c r="X91" s="21" t="e">
        <f t="shared" si="15"/>
        <v>#N/A</v>
      </c>
      <c r="Y91" s="21" t="e">
        <f t="shared" si="16"/>
        <v>#N/A</v>
      </c>
      <c r="Z91" s="11" t="e">
        <f t="shared" si="17"/>
        <v>#N/A</v>
      </c>
      <c r="AA91" s="22" t="e">
        <f t="shared" si="18"/>
        <v>#N/A</v>
      </c>
      <c r="AB91" s="21" t="e">
        <f t="shared" si="19"/>
        <v>#N/A</v>
      </c>
      <c r="AC91" s="21" t="e">
        <f t="shared" si="20"/>
        <v>#N/A</v>
      </c>
      <c r="AD91" s="11" t="e">
        <f t="shared" si="21"/>
        <v>#N/A</v>
      </c>
      <c r="AE91" s="22" t="e">
        <f t="shared" si="22"/>
        <v>#N/A</v>
      </c>
      <c r="AF91" s="21" t="e">
        <f t="shared" si="23"/>
        <v>#N/A</v>
      </c>
      <c r="AG91" s="21" t="e">
        <f t="shared" si="24"/>
        <v>#N/A</v>
      </c>
      <c r="AH91" s="11" t="e">
        <f t="shared" si="25"/>
        <v>#N/A</v>
      </c>
      <c r="AI91">
        <v>2.5000000000000001E-2</v>
      </c>
      <c r="AJ91">
        <v>-2.5000000000000001E-2</v>
      </c>
      <c r="AK91">
        <v>1.5E-3</v>
      </c>
      <c r="AL91">
        <v>-1.5E-3</v>
      </c>
      <c r="AM91">
        <v>1.5E-3</v>
      </c>
      <c r="AN91">
        <v>-1.5E-3</v>
      </c>
      <c r="AO91" s="16">
        <v>2.5000000000000001E-2</v>
      </c>
      <c r="AP91" s="16">
        <v>-2.5000000000000001E-2</v>
      </c>
      <c r="AQ91">
        <v>1.4999999999999999E-2</v>
      </c>
      <c r="AR91">
        <v>-1.4999999999999999E-2</v>
      </c>
      <c r="AS91">
        <v>1E-3</v>
      </c>
      <c r="AT91">
        <v>-1E-3</v>
      </c>
      <c r="AU91">
        <v>1E-3</v>
      </c>
      <c r="AV91">
        <v>-1E-3</v>
      </c>
      <c r="AW91" s="16">
        <v>1.4999999999999999E-2</v>
      </c>
      <c r="AX91" s="16">
        <v>-1.4999999999999999E-2</v>
      </c>
    </row>
    <row r="92" spans="6:50">
      <c r="F92" s="17" t="str">
        <f t="shared" si="13"/>
        <v/>
      </c>
      <c r="G92" s="4"/>
      <c r="H92" s="2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22" t="e">
        <f t="shared" si="14"/>
        <v>#N/A</v>
      </c>
      <c r="X92" s="21" t="e">
        <f t="shared" si="15"/>
        <v>#N/A</v>
      </c>
      <c r="Y92" s="21" t="e">
        <f t="shared" si="16"/>
        <v>#N/A</v>
      </c>
      <c r="Z92" s="11" t="e">
        <f t="shared" si="17"/>
        <v>#N/A</v>
      </c>
      <c r="AA92" s="22" t="e">
        <f t="shared" si="18"/>
        <v>#N/A</v>
      </c>
      <c r="AB92" s="21" t="e">
        <f t="shared" si="19"/>
        <v>#N/A</v>
      </c>
      <c r="AC92" s="21" t="e">
        <f t="shared" si="20"/>
        <v>#N/A</v>
      </c>
      <c r="AD92" s="11" t="e">
        <f t="shared" si="21"/>
        <v>#N/A</v>
      </c>
      <c r="AE92" s="22" t="e">
        <f t="shared" si="22"/>
        <v>#N/A</v>
      </c>
      <c r="AF92" s="21" t="e">
        <f t="shared" si="23"/>
        <v>#N/A</v>
      </c>
      <c r="AG92" s="21" t="e">
        <f t="shared" si="24"/>
        <v>#N/A</v>
      </c>
      <c r="AH92" s="11" t="e">
        <f t="shared" si="25"/>
        <v>#N/A</v>
      </c>
      <c r="AI92">
        <v>2.5000000000000001E-2</v>
      </c>
      <c r="AJ92">
        <v>-2.5000000000000001E-2</v>
      </c>
      <c r="AK92">
        <v>1.5E-3</v>
      </c>
      <c r="AL92">
        <v>-1.5E-3</v>
      </c>
      <c r="AM92">
        <v>1.5E-3</v>
      </c>
      <c r="AN92">
        <v>-1.5E-3</v>
      </c>
      <c r="AO92" s="16">
        <v>2.5000000000000001E-2</v>
      </c>
      <c r="AP92" s="16">
        <v>-2.5000000000000001E-2</v>
      </c>
      <c r="AQ92">
        <v>1.4999999999999999E-2</v>
      </c>
      <c r="AR92">
        <v>-1.4999999999999999E-2</v>
      </c>
      <c r="AS92">
        <v>1E-3</v>
      </c>
      <c r="AT92">
        <v>-1E-3</v>
      </c>
      <c r="AU92">
        <v>1E-3</v>
      </c>
      <c r="AV92">
        <v>-1E-3</v>
      </c>
      <c r="AW92" s="16">
        <v>1.4999999999999999E-2</v>
      </c>
      <c r="AX92" s="16">
        <v>-1.4999999999999999E-2</v>
      </c>
    </row>
    <row r="93" spans="6:50">
      <c r="F93" s="17" t="str">
        <f t="shared" si="13"/>
        <v/>
      </c>
      <c r="G93" s="4"/>
      <c r="H93" s="2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22" t="e">
        <f t="shared" si="14"/>
        <v>#N/A</v>
      </c>
      <c r="X93" s="21" t="e">
        <f t="shared" si="15"/>
        <v>#N/A</v>
      </c>
      <c r="Y93" s="21" t="e">
        <f t="shared" si="16"/>
        <v>#N/A</v>
      </c>
      <c r="Z93" s="11" t="e">
        <f t="shared" si="17"/>
        <v>#N/A</v>
      </c>
      <c r="AA93" s="22" t="e">
        <f t="shared" si="18"/>
        <v>#N/A</v>
      </c>
      <c r="AB93" s="21" t="e">
        <f t="shared" si="19"/>
        <v>#N/A</v>
      </c>
      <c r="AC93" s="21" t="e">
        <f t="shared" si="20"/>
        <v>#N/A</v>
      </c>
      <c r="AD93" s="11" t="e">
        <f t="shared" si="21"/>
        <v>#N/A</v>
      </c>
      <c r="AE93" s="22" t="e">
        <f t="shared" si="22"/>
        <v>#N/A</v>
      </c>
      <c r="AF93" s="21" t="e">
        <f t="shared" si="23"/>
        <v>#N/A</v>
      </c>
      <c r="AG93" s="21" t="e">
        <f t="shared" si="24"/>
        <v>#N/A</v>
      </c>
      <c r="AH93" s="11" t="e">
        <f t="shared" si="25"/>
        <v>#N/A</v>
      </c>
      <c r="AI93">
        <v>2.5000000000000001E-2</v>
      </c>
      <c r="AJ93">
        <v>-2.5000000000000001E-2</v>
      </c>
      <c r="AK93">
        <v>1.5E-3</v>
      </c>
      <c r="AL93">
        <v>-1.5E-3</v>
      </c>
      <c r="AM93">
        <v>1.5E-3</v>
      </c>
      <c r="AN93">
        <v>-1.5E-3</v>
      </c>
      <c r="AO93" s="16">
        <v>2.5000000000000001E-2</v>
      </c>
      <c r="AP93" s="16">
        <v>-2.5000000000000001E-2</v>
      </c>
      <c r="AQ93">
        <v>1.4999999999999999E-2</v>
      </c>
      <c r="AR93">
        <v>-1.4999999999999999E-2</v>
      </c>
      <c r="AS93">
        <v>1E-3</v>
      </c>
      <c r="AT93">
        <v>-1E-3</v>
      </c>
      <c r="AU93">
        <v>1E-3</v>
      </c>
      <c r="AV93">
        <v>-1E-3</v>
      </c>
      <c r="AW93" s="16">
        <v>1.4999999999999999E-2</v>
      </c>
      <c r="AX93" s="16">
        <v>-1.4999999999999999E-2</v>
      </c>
    </row>
    <row r="94" spans="6:50">
      <c r="F94" s="17" t="str">
        <f t="shared" si="13"/>
        <v/>
      </c>
      <c r="G94" s="4"/>
      <c r="H94" s="2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22" t="e">
        <f t="shared" si="14"/>
        <v>#N/A</v>
      </c>
      <c r="X94" s="21" t="e">
        <f t="shared" si="15"/>
        <v>#N/A</v>
      </c>
      <c r="Y94" s="21" t="e">
        <f t="shared" si="16"/>
        <v>#N/A</v>
      </c>
      <c r="Z94" s="11" t="e">
        <f t="shared" si="17"/>
        <v>#N/A</v>
      </c>
      <c r="AA94" s="22" t="e">
        <f t="shared" si="18"/>
        <v>#N/A</v>
      </c>
      <c r="AB94" s="21" t="e">
        <f t="shared" si="19"/>
        <v>#N/A</v>
      </c>
      <c r="AC94" s="21" t="e">
        <f t="shared" si="20"/>
        <v>#N/A</v>
      </c>
      <c r="AD94" s="11" t="e">
        <f t="shared" si="21"/>
        <v>#N/A</v>
      </c>
      <c r="AE94" s="22" t="e">
        <f t="shared" si="22"/>
        <v>#N/A</v>
      </c>
      <c r="AF94" s="21" t="e">
        <f t="shared" si="23"/>
        <v>#N/A</v>
      </c>
      <c r="AG94" s="21" t="e">
        <f t="shared" si="24"/>
        <v>#N/A</v>
      </c>
      <c r="AH94" s="11" t="e">
        <f t="shared" si="25"/>
        <v>#N/A</v>
      </c>
      <c r="AI94">
        <v>2.5000000000000001E-2</v>
      </c>
      <c r="AJ94">
        <v>-2.5000000000000001E-2</v>
      </c>
      <c r="AK94">
        <v>1.5E-3</v>
      </c>
      <c r="AL94">
        <v>-1.5E-3</v>
      </c>
      <c r="AM94">
        <v>1.5E-3</v>
      </c>
      <c r="AN94">
        <v>-1.5E-3</v>
      </c>
      <c r="AO94" s="16">
        <v>2.5000000000000001E-2</v>
      </c>
      <c r="AP94" s="16">
        <v>-2.5000000000000001E-2</v>
      </c>
      <c r="AQ94">
        <v>1.4999999999999999E-2</v>
      </c>
      <c r="AR94">
        <v>-1.4999999999999999E-2</v>
      </c>
      <c r="AS94">
        <v>1E-3</v>
      </c>
      <c r="AT94">
        <v>-1E-3</v>
      </c>
      <c r="AU94">
        <v>1E-3</v>
      </c>
      <c r="AV94">
        <v>-1E-3</v>
      </c>
      <c r="AW94" s="16">
        <v>1.4999999999999999E-2</v>
      </c>
      <c r="AX94" s="16">
        <v>-1.4999999999999999E-2</v>
      </c>
    </row>
    <row r="95" spans="6:50">
      <c r="F95" s="17" t="str">
        <f t="shared" si="13"/>
        <v/>
      </c>
      <c r="G95" s="4"/>
      <c r="H95" s="2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22" t="e">
        <f t="shared" si="14"/>
        <v>#N/A</v>
      </c>
      <c r="X95" s="21" t="e">
        <f t="shared" si="15"/>
        <v>#N/A</v>
      </c>
      <c r="Y95" s="21" t="e">
        <f t="shared" si="16"/>
        <v>#N/A</v>
      </c>
      <c r="Z95" s="11" t="e">
        <f t="shared" si="17"/>
        <v>#N/A</v>
      </c>
      <c r="AA95" s="22" t="e">
        <f t="shared" si="18"/>
        <v>#N/A</v>
      </c>
      <c r="AB95" s="21" t="e">
        <f t="shared" si="19"/>
        <v>#N/A</v>
      </c>
      <c r="AC95" s="21" t="e">
        <f t="shared" si="20"/>
        <v>#N/A</v>
      </c>
      <c r="AD95" s="11" t="e">
        <f t="shared" si="21"/>
        <v>#N/A</v>
      </c>
      <c r="AE95" s="22" t="e">
        <f t="shared" si="22"/>
        <v>#N/A</v>
      </c>
      <c r="AF95" s="21" t="e">
        <f t="shared" si="23"/>
        <v>#N/A</v>
      </c>
      <c r="AG95" s="21" t="e">
        <f t="shared" si="24"/>
        <v>#N/A</v>
      </c>
      <c r="AH95" s="11" t="e">
        <f t="shared" si="25"/>
        <v>#N/A</v>
      </c>
      <c r="AI95">
        <v>2.5000000000000001E-2</v>
      </c>
      <c r="AJ95">
        <v>-2.5000000000000001E-2</v>
      </c>
      <c r="AK95">
        <v>1.5E-3</v>
      </c>
      <c r="AL95">
        <v>-1.5E-3</v>
      </c>
      <c r="AM95">
        <v>1.5E-3</v>
      </c>
      <c r="AN95">
        <v>-1.5E-3</v>
      </c>
      <c r="AO95" s="16">
        <v>2.5000000000000001E-2</v>
      </c>
      <c r="AP95" s="16">
        <v>-2.5000000000000001E-2</v>
      </c>
      <c r="AQ95">
        <v>1.4999999999999999E-2</v>
      </c>
      <c r="AR95">
        <v>-1.4999999999999999E-2</v>
      </c>
      <c r="AS95">
        <v>1E-3</v>
      </c>
      <c r="AT95">
        <v>-1E-3</v>
      </c>
      <c r="AU95">
        <v>1E-3</v>
      </c>
      <c r="AV95">
        <v>-1E-3</v>
      </c>
      <c r="AW95" s="16">
        <v>1.4999999999999999E-2</v>
      </c>
      <c r="AX95" s="16">
        <v>-1.4999999999999999E-2</v>
      </c>
    </row>
    <row r="96" spans="6:50">
      <c r="F96" s="17" t="str">
        <f t="shared" si="13"/>
        <v/>
      </c>
      <c r="G96" s="4"/>
      <c r="H96" s="2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22" t="e">
        <f t="shared" si="14"/>
        <v>#N/A</v>
      </c>
      <c r="X96" s="21" t="e">
        <f t="shared" si="15"/>
        <v>#N/A</v>
      </c>
      <c r="Y96" s="21" t="e">
        <f t="shared" si="16"/>
        <v>#N/A</v>
      </c>
      <c r="Z96" s="11" t="e">
        <f t="shared" si="17"/>
        <v>#N/A</v>
      </c>
      <c r="AA96" s="22" t="e">
        <f t="shared" si="18"/>
        <v>#N/A</v>
      </c>
      <c r="AB96" s="21" t="e">
        <f t="shared" si="19"/>
        <v>#N/A</v>
      </c>
      <c r="AC96" s="21" t="e">
        <f t="shared" si="20"/>
        <v>#N/A</v>
      </c>
      <c r="AD96" s="11" t="e">
        <f t="shared" si="21"/>
        <v>#N/A</v>
      </c>
      <c r="AE96" s="22" t="e">
        <f t="shared" si="22"/>
        <v>#N/A</v>
      </c>
      <c r="AF96" s="21" t="e">
        <f t="shared" si="23"/>
        <v>#N/A</v>
      </c>
      <c r="AG96" s="21" t="e">
        <f t="shared" si="24"/>
        <v>#N/A</v>
      </c>
      <c r="AH96" s="11" t="e">
        <f t="shared" si="25"/>
        <v>#N/A</v>
      </c>
      <c r="AI96">
        <v>2.5000000000000001E-2</v>
      </c>
      <c r="AJ96">
        <v>-2.5000000000000001E-2</v>
      </c>
      <c r="AK96">
        <v>1.5E-3</v>
      </c>
      <c r="AL96">
        <v>-1.5E-3</v>
      </c>
      <c r="AM96">
        <v>1.5E-3</v>
      </c>
      <c r="AN96">
        <v>-1.5E-3</v>
      </c>
      <c r="AO96" s="16">
        <v>2.5000000000000001E-2</v>
      </c>
      <c r="AP96" s="16">
        <v>-2.5000000000000001E-2</v>
      </c>
      <c r="AQ96">
        <v>1.4999999999999999E-2</v>
      </c>
      <c r="AR96">
        <v>-1.4999999999999999E-2</v>
      </c>
      <c r="AS96">
        <v>1E-3</v>
      </c>
      <c r="AT96">
        <v>-1E-3</v>
      </c>
      <c r="AU96">
        <v>1E-3</v>
      </c>
      <c r="AV96">
        <v>-1E-3</v>
      </c>
      <c r="AW96" s="16">
        <v>1.4999999999999999E-2</v>
      </c>
      <c r="AX96" s="16">
        <v>-1.4999999999999999E-2</v>
      </c>
    </row>
    <row r="97" spans="6:50">
      <c r="F97" s="17" t="str">
        <f t="shared" si="13"/>
        <v/>
      </c>
      <c r="G97" s="4"/>
      <c r="H97" s="2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22" t="e">
        <f t="shared" si="14"/>
        <v>#N/A</v>
      </c>
      <c r="X97" s="21" t="e">
        <f t="shared" si="15"/>
        <v>#N/A</v>
      </c>
      <c r="Y97" s="21" t="e">
        <f t="shared" si="16"/>
        <v>#N/A</v>
      </c>
      <c r="Z97" s="11" t="e">
        <f t="shared" si="17"/>
        <v>#N/A</v>
      </c>
      <c r="AA97" s="22" t="e">
        <f t="shared" si="18"/>
        <v>#N/A</v>
      </c>
      <c r="AB97" s="21" t="e">
        <f t="shared" si="19"/>
        <v>#N/A</v>
      </c>
      <c r="AC97" s="21" t="e">
        <f t="shared" si="20"/>
        <v>#N/A</v>
      </c>
      <c r="AD97" s="11" t="e">
        <f t="shared" si="21"/>
        <v>#N/A</v>
      </c>
      <c r="AE97" s="22" t="e">
        <f t="shared" si="22"/>
        <v>#N/A</v>
      </c>
      <c r="AF97" s="21" t="e">
        <f t="shared" si="23"/>
        <v>#N/A</v>
      </c>
      <c r="AG97" s="21" t="e">
        <f t="shared" si="24"/>
        <v>#N/A</v>
      </c>
      <c r="AH97" s="11" t="e">
        <f t="shared" si="25"/>
        <v>#N/A</v>
      </c>
      <c r="AI97">
        <v>2.5000000000000001E-2</v>
      </c>
      <c r="AJ97">
        <v>-2.5000000000000001E-2</v>
      </c>
      <c r="AK97">
        <v>1.5E-3</v>
      </c>
      <c r="AL97">
        <v>-1.5E-3</v>
      </c>
      <c r="AM97">
        <v>1.5E-3</v>
      </c>
      <c r="AN97">
        <v>-1.5E-3</v>
      </c>
      <c r="AO97" s="16">
        <v>2.5000000000000001E-2</v>
      </c>
      <c r="AP97" s="16">
        <v>-2.5000000000000001E-2</v>
      </c>
      <c r="AQ97">
        <v>1.4999999999999999E-2</v>
      </c>
      <c r="AR97">
        <v>-1.4999999999999999E-2</v>
      </c>
      <c r="AS97">
        <v>1E-3</v>
      </c>
      <c r="AT97">
        <v>-1E-3</v>
      </c>
      <c r="AU97">
        <v>1E-3</v>
      </c>
      <c r="AV97">
        <v>-1E-3</v>
      </c>
      <c r="AW97" s="16">
        <v>1.4999999999999999E-2</v>
      </c>
      <c r="AX97" s="16">
        <v>-1.4999999999999999E-2</v>
      </c>
    </row>
    <row r="98" spans="6:50">
      <c r="F98" s="17" t="str">
        <f t="shared" si="13"/>
        <v/>
      </c>
      <c r="G98" s="4"/>
      <c r="H98" s="2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22" t="e">
        <f t="shared" si="14"/>
        <v>#N/A</v>
      </c>
      <c r="X98" s="21" t="e">
        <f t="shared" si="15"/>
        <v>#N/A</v>
      </c>
      <c r="Y98" s="21" t="e">
        <f t="shared" si="16"/>
        <v>#N/A</v>
      </c>
      <c r="Z98" s="11" t="e">
        <f t="shared" si="17"/>
        <v>#N/A</v>
      </c>
      <c r="AA98" s="22" t="e">
        <f t="shared" si="18"/>
        <v>#N/A</v>
      </c>
      <c r="AB98" s="21" t="e">
        <f t="shared" si="19"/>
        <v>#N/A</v>
      </c>
      <c r="AC98" s="21" t="e">
        <f t="shared" si="20"/>
        <v>#N/A</v>
      </c>
      <c r="AD98" s="11" t="e">
        <f t="shared" si="21"/>
        <v>#N/A</v>
      </c>
      <c r="AE98" s="22" t="e">
        <f t="shared" si="22"/>
        <v>#N/A</v>
      </c>
      <c r="AF98" s="21" t="e">
        <f t="shared" si="23"/>
        <v>#N/A</v>
      </c>
      <c r="AG98" s="21" t="e">
        <f t="shared" si="24"/>
        <v>#N/A</v>
      </c>
      <c r="AH98" s="11" t="e">
        <f t="shared" si="25"/>
        <v>#N/A</v>
      </c>
      <c r="AI98">
        <v>2.5000000000000001E-2</v>
      </c>
      <c r="AJ98">
        <v>-2.5000000000000001E-2</v>
      </c>
      <c r="AK98">
        <v>1.5E-3</v>
      </c>
      <c r="AL98">
        <v>-1.5E-3</v>
      </c>
      <c r="AM98">
        <v>1.5E-3</v>
      </c>
      <c r="AN98">
        <v>-1.5E-3</v>
      </c>
      <c r="AO98" s="16">
        <v>2.5000000000000001E-2</v>
      </c>
      <c r="AP98" s="16">
        <v>-2.5000000000000001E-2</v>
      </c>
      <c r="AQ98">
        <v>1.4999999999999999E-2</v>
      </c>
      <c r="AR98">
        <v>-1.4999999999999999E-2</v>
      </c>
      <c r="AS98">
        <v>1E-3</v>
      </c>
      <c r="AT98">
        <v>-1E-3</v>
      </c>
      <c r="AU98">
        <v>1E-3</v>
      </c>
      <c r="AV98">
        <v>-1E-3</v>
      </c>
      <c r="AW98" s="16">
        <v>1.4999999999999999E-2</v>
      </c>
      <c r="AX98" s="16">
        <v>-1.4999999999999999E-2</v>
      </c>
    </row>
    <row r="99" spans="6:50">
      <c r="F99" s="17" t="str">
        <f t="shared" si="13"/>
        <v/>
      </c>
      <c r="G99" s="4"/>
      <c r="H99" s="2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22" t="e">
        <f t="shared" si="14"/>
        <v>#N/A</v>
      </c>
      <c r="X99" s="21" t="e">
        <f t="shared" si="15"/>
        <v>#N/A</v>
      </c>
      <c r="Y99" s="21" t="e">
        <f t="shared" si="16"/>
        <v>#N/A</v>
      </c>
      <c r="Z99" s="11" t="e">
        <f t="shared" si="17"/>
        <v>#N/A</v>
      </c>
      <c r="AA99" s="22" t="e">
        <f t="shared" si="18"/>
        <v>#N/A</v>
      </c>
      <c r="AB99" s="21" t="e">
        <f t="shared" si="19"/>
        <v>#N/A</v>
      </c>
      <c r="AC99" s="21" t="e">
        <f t="shared" si="20"/>
        <v>#N/A</v>
      </c>
      <c r="AD99" s="11" t="e">
        <f t="shared" si="21"/>
        <v>#N/A</v>
      </c>
      <c r="AE99" s="22" t="e">
        <f t="shared" si="22"/>
        <v>#N/A</v>
      </c>
      <c r="AF99" s="21" t="e">
        <f t="shared" si="23"/>
        <v>#N/A</v>
      </c>
      <c r="AG99" s="21" t="e">
        <f t="shared" si="24"/>
        <v>#N/A</v>
      </c>
      <c r="AH99" s="11" t="e">
        <f t="shared" si="25"/>
        <v>#N/A</v>
      </c>
      <c r="AI99">
        <v>2.5000000000000001E-2</v>
      </c>
      <c r="AJ99">
        <v>-2.5000000000000001E-2</v>
      </c>
      <c r="AK99">
        <v>1.5E-3</v>
      </c>
      <c r="AL99">
        <v>-1.5E-3</v>
      </c>
      <c r="AM99">
        <v>1.5E-3</v>
      </c>
      <c r="AN99">
        <v>-1.5E-3</v>
      </c>
      <c r="AO99" s="16">
        <v>2.5000000000000001E-2</v>
      </c>
      <c r="AP99" s="16">
        <v>-2.5000000000000001E-2</v>
      </c>
      <c r="AQ99">
        <v>1.4999999999999999E-2</v>
      </c>
      <c r="AR99">
        <v>-1.4999999999999999E-2</v>
      </c>
      <c r="AS99">
        <v>1E-3</v>
      </c>
      <c r="AT99">
        <v>-1E-3</v>
      </c>
      <c r="AU99">
        <v>1E-3</v>
      </c>
      <c r="AV99">
        <v>-1E-3</v>
      </c>
      <c r="AW99" s="16">
        <v>1.4999999999999999E-2</v>
      </c>
      <c r="AX99" s="16">
        <v>-1.4999999999999999E-2</v>
      </c>
    </row>
    <row r="100" spans="6:50">
      <c r="F100" s="17" t="str">
        <f t="shared" si="13"/>
        <v/>
      </c>
      <c r="G100" s="4"/>
      <c r="H100" s="2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22" t="e">
        <f t="shared" si="14"/>
        <v>#N/A</v>
      </c>
      <c r="X100" s="21" t="e">
        <f t="shared" si="15"/>
        <v>#N/A</v>
      </c>
      <c r="Y100" s="21" t="e">
        <f t="shared" si="16"/>
        <v>#N/A</v>
      </c>
      <c r="Z100" s="11" t="e">
        <f t="shared" si="17"/>
        <v>#N/A</v>
      </c>
      <c r="AA100" s="22" t="e">
        <f t="shared" si="18"/>
        <v>#N/A</v>
      </c>
      <c r="AB100" s="21" t="e">
        <f t="shared" si="19"/>
        <v>#N/A</v>
      </c>
      <c r="AC100" s="21" t="e">
        <f t="shared" si="20"/>
        <v>#N/A</v>
      </c>
      <c r="AD100" s="11" t="e">
        <f t="shared" si="21"/>
        <v>#N/A</v>
      </c>
      <c r="AE100" s="22" t="e">
        <f t="shared" si="22"/>
        <v>#N/A</v>
      </c>
      <c r="AF100" s="21" t="e">
        <f t="shared" si="23"/>
        <v>#N/A</v>
      </c>
      <c r="AG100" s="21" t="e">
        <f t="shared" si="24"/>
        <v>#N/A</v>
      </c>
      <c r="AH100" s="11" t="e">
        <f t="shared" si="25"/>
        <v>#N/A</v>
      </c>
      <c r="AI100">
        <v>2.5000000000000001E-2</v>
      </c>
      <c r="AJ100">
        <v>-2.5000000000000001E-2</v>
      </c>
      <c r="AK100">
        <v>1.5E-3</v>
      </c>
      <c r="AL100">
        <v>-1.5E-3</v>
      </c>
      <c r="AM100">
        <v>1.5E-3</v>
      </c>
      <c r="AN100">
        <v>-1.5E-3</v>
      </c>
      <c r="AO100" s="16">
        <v>2.5000000000000001E-2</v>
      </c>
      <c r="AP100" s="16">
        <v>-2.5000000000000001E-2</v>
      </c>
      <c r="AQ100">
        <v>1.4999999999999999E-2</v>
      </c>
      <c r="AR100">
        <v>-1.4999999999999999E-2</v>
      </c>
      <c r="AS100">
        <v>1E-3</v>
      </c>
      <c r="AT100">
        <v>-1E-3</v>
      </c>
      <c r="AU100">
        <v>1E-3</v>
      </c>
      <c r="AV100">
        <v>-1E-3</v>
      </c>
      <c r="AW100" s="16">
        <v>1.4999999999999999E-2</v>
      </c>
      <c r="AX100" s="16">
        <v>-1.4999999999999999E-2</v>
      </c>
    </row>
  </sheetData>
  <mergeCells count="6">
    <mergeCell ref="AE4:AH4"/>
    <mergeCell ref="H4:L4"/>
    <mergeCell ref="M4:Q4"/>
    <mergeCell ref="R4:V4"/>
    <mergeCell ref="W4:Z4"/>
    <mergeCell ref="AA4:AD4"/>
  </mergeCells>
  <phoneticPr fontId="1"/>
  <conditionalFormatting sqref="W6:AH100">
    <cfRule type="containsErrors" dxfId="8" priority="1">
      <formula>ISERROR(W6)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S100"/>
  <sheetViews>
    <sheetView showGridLines="0" topLeftCell="AI1" zoomScale="70" zoomScaleNormal="70" workbookViewId="0">
      <pane ySplit="5" topLeftCell="A6" activePane="bottomLeft" state="frozen"/>
      <selection pane="bottomLeft" activeCell="AO56" sqref="AO56"/>
    </sheetView>
  </sheetViews>
  <sheetFormatPr defaultRowHeight="13.5"/>
  <cols>
    <col min="1" max="5" width="9" style="18"/>
    <col min="6" max="6" width="16.125" style="18" bestFit="1" customWidth="1"/>
    <col min="7" max="7" width="20.625" style="19" bestFit="1" customWidth="1"/>
    <col min="8" max="8" width="11.25" style="26" customWidth="1"/>
    <col min="9" max="9" width="11.25" style="20" customWidth="1"/>
    <col min="10" max="10" width="9.75" style="20" customWidth="1"/>
    <col min="11" max="11" width="9.25" style="20" customWidth="1"/>
    <col min="12" max="13" width="9.75" style="20" customWidth="1"/>
    <col min="14" max="14" width="10.125" style="20" customWidth="1"/>
    <col min="15" max="15" width="10" style="20" customWidth="1"/>
    <col min="16" max="22" width="9" style="20"/>
    <col min="23" max="16384" width="9" style="18"/>
  </cols>
  <sheetData>
    <row r="1" spans="1:279" customFormat="1">
      <c r="G1" s="7"/>
      <c r="H1" s="23"/>
      <c r="K1" s="1"/>
      <c r="L1" s="1"/>
      <c r="M1" s="27"/>
      <c r="R1" s="8"/>
    </row>
    <row r="2" spans="1:279" customFormat="1">
      <c r="G2" s="10"/>
      <c r="H2" s="24"/>
      <c r="I2" s="18"/>
      <c r="J2" s="10"/>
      <c r="K2" s="1"/>
      <c r="L2" s="1"/>
      <c r="M2" s="27"/>
      <c r="R2" s="8"/>
    </row>
    <row r="3" spans="1:279" customFormat="1">
      <c r="G3" s="10"/>
      <c r="H3" s="24"/>
      <c r="I3" s="13">
        <v>3.1103700000000001</v>
      </c>
      <c r="J3" s="13">
        <v>0.29050100000000001</v>
      </c>
      <c r="K3" s="14">
        <v>0.28018300000000002</v>
      </c>
      <c r="L3" s="14">
        <v>27.681999999999999</v>
      </c>
      <c r="M3" s="27"/>
      <c r="N3" s="13">
        <v>3.1324200000000002</v>
      </c>
      <c r="O3" s="13">
        <v>0.28729700000000002</v>
      </c>
      <c r="P3" s="14">
        <v>0.27366200000000002</v>
      </c>
      <c r="Q3" s="14">
        <v>27.869</v>
      </c>
      <c r="R3" s="27"/>
      <c r="S3" s="13">
        <v>3.1106600000000002</v>
      </c>
      <c r="T3" s="13">
        <v>0.28251900000000002</v>
      </c>
      <c r="U3" s="14">
        <v>0.26605899999999999</v>
      </c>
      <c r="V3" s="14">
        <v>27.683</v>
      </c>
    </row>
    <row r="4" spans="1:279" customFormat="1">
      <c r="A4" t="s">
        <v>15</v>
      </c>
      <c r="G4" s="3"/>
      <c r="H4" s="34" t="s">
        <v>5</v>
      </c>
      <c r="I4" s="34"/>
      <c r="J4" s="34"/>
      <c r="K4" s="34"/>
      <c r="L4" s="34"/>
      <c r="M4" s="35" t="s">
        <v>6</v>
      </c>
      <c r="N4" s="36"/>
      <c r="O4" s="36"/>
      <c r="P4" s="36"/>
      <c r="Q4" s="37"/>
      <c r="R4" s="35" t="s">
        <v>7</v>
      </c>
      <c r="S4" s="36"/>
      <c r="T4" s="36"/>
      <c r="U4" s="36"/>
      <c r="V4" s="37"/>
      <c r="W4" s="34" t="s">
        <v>5</v>
      </c>
      <c r="X4" s="34"/>
      <c r="Y4" s="34"/>
      <c r="Z4" s="34"/>
      <c r="AA4" s="34" t="s">
        <v>6</v>
      </c>
      <c r="AB4" s="34"/>
      <c r="AC4" s="34"/>
      <c r="AD4" s="34"/>
      <c r="AE4" s="34" t="s">
        <v>7</v>
      </c>
      <c r="AF4" s="34"/>
      <c r="AG4" s="34"/>
      <c r="AH4" s="34"/>
      <c r="AI4" t="s">
        <v>12</v>
      </c>
      <c r="AJ4" t="s">
        <v>12</v>
      </c>
      <c r="AK4" t="s">
        <v>12</v>
      </c>
      <c r="AL4" t="s">
        <v>12</v>
      </c>
      <c r="AM4" t="s">
        <v>12</v>
      </c>
      <c r="AN4" t="s">
        <v>12</v>
      </c>
      <c r="AO4" t="s">
        <v>12</v>
      </c>
      <c r="AP4" t="s">
        <v>12</v>
      </c>
      <c r="AQ4" t="s">
        <v>13</v>
      </c>
      <c r="AR4" t="s">
        <v>13</v>
      </c>
      <c r="AS4" t="s">
        <v>13</v>
      </c>
      <c r="AT4" t="s">
        <v>13</v>
      </c>
      <c r="AU4" t="s">
        <v>13</v>
      </c>
      <c r="AV4" t="s">
        <v>13</v>
      </c>
      <c r="AW4" t="s">
        <v>13</v>
      </c>
      <c r="AX4" t="s">
        <v>13</v>
      </c>
      <c r="BA4" t="s">
        <v>51</v>
      </c>
      <c r="BF4" t="s">
        <v>52</v>
      </c>
    </row>
    <row r="5" spans="1:279" customFormat="1">
      <c r="A5" s="2"/>
      <c r="B5" s="2" t="s">
        <v>1</v>
      </c>
      <c r="C5" s="2" t="s">
        <v>2</v>
      </c>
      <c r="D5" s="2" t="s">
        <v>3</v>
      </c>
      <c r="E5" s="2" t="s">
        <v>4</v>
      </c>
      <c r="G5" s="2" t="s">
        <v>0</v>
      </c>
      <c r="H5" s="5" t="s">
        <v>14</v>
      </c>
      <c r="I5" s="2" t="s">
        <v>1</v>
      </c>
      <c r="J5" s="2" t="s">
        <v>2</v>
      </c>
      <c r="K5" s="2" t="s">
        <v>3</v>
      </c>
      <c r="L5" s="2" t="s">
        <v>4</v>
      </c>
      <c r="M5" s="5" t="s">
        <v>14</v>
      </c>
      <c r="N5" s="2" t="s">
        <v>1</v>
      </c>
      <c r="O5" s="2" t="s">
        <v>2</v>
      </c>
      <c r="P5" s="2" t="s">
        <v>3</v>
      </c>
      <c r="Q5" s="2" t="s">
        <v>4</v>
      </c>
      <c r="R5" s="5" t="s">
        <v>14</v>
      </c>
      <c r="S5" s="2" t="s">
        <v>1</v>
      </c>
      <c r="T5" s="2" t="s">
        <v>2</v>
      </c>
      <c r="U5" s="2" t="s">
        <v>3</v>
      </c>
      <c r="V5" s="2" t="s">
        <v>4</v>
      </c>
      <c r="W5" s="2" t="s">
        <v>1</v>
      </c>
      <c r="X5" s="2" t="s">
        <v>2</v>
      </c>
      <c r="Y5" s="2" t="s">
        <v>3</v>
      </c>
      <c r="Z5" s="2" t="s">
        <v>4</v>
      </c>
      <c r="AA5" s="2" t="s">
        <v>1</v>
      </c>
      <c r="AB5" s="2" t="s">
        <v>2</v>
      </c>
      <c r="AC5" s="2" t="s">
        <v>3</v>
      </c>
      <c r="AD5" s="2" t="s">
        <v>4</v>
      </c>
      <c r="AE5" s="2" t="s">
        <v>1</v>
      </c>
      <c r="AF5" s="2" t="s">
        <v>2</v>
      </c>
      <c r="AG5" s="2" t="s">
        <v>3</v>
      </c>
      <c r="AH5" s="2" t="s">
        <v>4</v>
      </c>
      <c r="AI5" s="15" t="s">
        <v>1</v>
      </c>
      <c r="AK5" t="s">
        <v>2</v>
      </c>
      <c r="AM5" t="s">
        <v>3</v>
      </c>
      <c r="AO5" t="s">
        <v>4</v>
      </c>
      <c r="AQ5" s="15" t="s">
        <v>1</v>
      </c>
      <c r="AS5" t="s">
        <v>2</v>
      </c>
      <c r="AU5" t="s">
        <v>3</v>
      </c>
      <c r="AW5" t="s">
        <v>4</v>
      </c>
      <c r="BA5" t="s">
        <v>47</v>
      </c>
      <c r="BB5" t="s">
        <v>48</v>
      </c>
      <c r="BC5" t="s">
        <v>49</v>
      </c>
      <c r="BD5" t="s">
        <v>50</v>
      </c>
      <c r="BF5" t="s">
        <v>47</v>
      </c>
      <c r="BG5" t="s">
        <v>48</v>
      </c>
      <c r="BH5" t="s">
        <v>49</v>
      </c>
      <c r="BI5" t="s">
        <v>50</v>
      </c>
    </row>
    <row r="6" spans="1:279" customFormat="1">
      <c r="A6" s="2">
        <v>1</v>
      </c>
      <c r="B6" s="2">
        <v>3.1130200000000001</v>
      </c>
      <c r="C6" s="2">
        <v>0.28917700000000002</v>
      </c>
      <c r="D6" s="2">
        <v>0.28059899999999999</v>
      </c>
      <c r="E6" s="2">
        <v>27.034199999999998</v>
      </c>
      <c r="F6" s="17">
        <f>IF(G6="","",G6)</f>
        <v>44243.29791666667</v>
      </c>
      <c r="G6" s="9">
        <v>44243.29791666667</v>
      </c>
      <c r="H6" s="25">
        <v>1</v>
      </c>
      <c r="I6" s="12">
        <v>3.1110000000000002</v>
      </c>
      <c r="J6" s="5">
        <v>0.28875000000000001</v>
      </c>
      <c r="K6" s="5">
        <v>0.28064</v>
      </c>
      <c r="L6" s="5">
        <v>26.895</v>
      </c>
      <c r="M6" s="5">
        <v>2</v>
      </c>
      <c r="N6" s="5">
        <v>3.1110000000000002</v>
      </c>
      <c r="O6" s="5">
        <v>0.28655999999999998</v>
      </c>
      <c r="P6" s="5">
        <v>0.27063999999999999</v>
      </c>
      <c r="Q6" s="5">
        <v>28.155999999999999</v>
      </c>
      <c r="R6" s="5">
        <v>3</v>
      </c>
      <c r="S6" s="5">
        <v>3.1030000000000002</v>
      </c>
      <c r="T6" s="5">
        <v>0.28100000000000003</v>
      </c>
      <c r="U6" s="5">
        <v>0.26396999999999998</v>
      </c>
      <c r="V6" s="5">
        <v>27.582999999999998</v>
      </c>
      <c r="W6" s="22">
        <f>IF(H6="",NA(),I6-VLOOKUP(H6,$A$6:$E$35,2,FALSE))</f>
        <v>-2.0199999999999108E-3</v>
      </c>
      <c r="X6" s="21">
        <f>IF(H6="",NA(),J6-VLOOKUP(H6,$A$6:$E$35,3,FALSE))</f>
        <v>-4.270000000000107E-4</v>
      </c>
      <c r="Y6" s="21">
        <f>IF(H6="",NA(),K6-VLOOKUP(H6,$A$6:$E$35,4,FALSE))</f>
        <v>4.1000000000013248E-5</v>
      </c>
      <c r="Z6" s="11">
        <f>IF(H6="",NA(),L6/VLOOKUP(H6,$A$6:$E$35,5,FALSE)-1)</f>
        <v>-5.1490334465232879E-3</v>
      </c>
      <c r="AA6" s="22">
        <f>IF(M6="",NA(),N6-VLOOKUP(M6,$A$6:$E$35,2,FALSE))</f>
        <v>-7.8999999999984638E-4</v>
      </c>
      <c r="AB6" s="21">
        <f>IF(M6="",NA(),O6-VLOOKUP(M6,$A$6:$E$35,3,FALSE))</f>
        <v>-3.5060000000000091E-3</v>
      </c>
      <c r="AC6" s="21">
        <f>IF(M6="",NA(),P6-VLOOKUP(M6,$A$6:$E$35,4,FALSE))</f>
        <v>-9.7030000000000172E-3</v>
      </c>
      <c r="AD6" s="11">
        <f>IF(M6="",NA(),Q6/VLOOKUP(M6,$A$6:$E$35,5,FALSE)-1)</f>
        <v>2.7707514353813689E-2</v>
      </c>
      <c r="AE6" s="22">
        <f>IF(R6="",NA(),S6-VLOOKUP(R6,$A$6:$E$35,2,FALSE))</f>
        <v>-4.8199999999996024E-3</v>
      </c>
      <c r="AF6" s="21">
        <f>IF(R6="",NA(),T6-VLOOKUP(R6,$A$6:$E$35,3,FALSE))</f>
        <v>-8.6889999999999468E-3</v>
      </c>
      <c r="AG6" s="21">
        <f>IF(R6="",NA(),U6-VLOOKUP(R6,$A$6:$E$35,4,FALSE))</f>
        <v>-1.7585000000000017E-2</v>
      </c>
      <c r="AH6" s="11">
        <f>IF(R6="",NA(),V6/VLOOKUP(R6,$A$6:$E$35,5,FALSE)-1)</f>
        <v>1.3335782512858163E-2</v>
      </c>
      <c r="AI6">
        <v>2.5000000000000001E-2</v>
      </c>
      <c r="AJ6">
        <v>-2.5000000000000001E-2</v>
      </c>
      <c r="AK6">
        <v>1.5E-3</v>
      </c>
      <c r="AL6">
        <v>-1.5E-3</v>
      </c>
      <c r="AM6">
        <v>1.5E-3</v>
      </c>
      <c r="AN6">
        <v>-1.5E-3</v>
      </c>
      <c r="AO6" s="16">
        <v>2.5000000000000001E-2</v>
      </c>
      <c r="AP6" s="16">
        <v>-2.5000000000000001E-2</v>
      </c>
      <c r="AQ6">
        <v>1.4999999999999999E-2</v>
      </c>
      <c r="AR6">
        <v>-1.4999999999999999E-2</v>
      </c>
      <c r="AS6">
        <v>1E-3</v>
      </c>
      <c r="AT6">
        <v>-1E-3</v>
      </c>
      <c r="AU6">
        <v>1E-3</v>
      </c>
      <c r="AV6">
        <v>-1E-3</v>
      </c>
      <c r="AW6" s="16">
        <v>1.4999999999999999E-2</v>
      </c>
      <c r="AX6" s="16">
        <v>-1.4999999999999999E-2</v>
      </c>
    </row>
    <row r="7" spans="1:279" customFormat="1">
      <c r="A7" s="2">
        <v>2</v>
      </c>
      <c r="B7" s="2">
        <v>3.1117900000000001</v>
      </c>
      <c r="C7" s="2">
        <v>0.29006599999999999</v>
      </c>
      <c r="D7" s="2">
        <v>0.28034300000000001</v>
      </c>
      <c r="E7" s="2">
        <v>27.396899999999999</v>
      </c>
      <c r="F7" s="17">
        <f t="shared" ref="F7:F70" si="0">IF(G7="","",G7)</f>
        <v>44243.714988425927</v>
      </c>
      <c r="G7" s="9">
        <v>44243.714988425927</v>
      </c>
      <c r="H7" s="25">
        <v>1</v>
      </c>
      <c r="I7" s="5">
        <v>3.11</v>
      </c>
      <c r="J7" s="5">
        <v>0.2888</v>
      </c>
      <c r="K7" s="5">
        <v>0.28073999999999999</v>
      </c>
      <c r="L7" s="5">
        <v>26.914000000000001</v>
      </c>
      <c r="M7" s="5">
        <v>2</v>
      </c>
      <c r="N7" s="5">
        <v>3.109</v>
      </c>
      <c r="O7" s="5">
        <v>0.28659000000000001</v>
      </c>
      <c r="P7" s="5">
        <v>0.27067000000000002</v>
      </c>
      <c r="Q7" s="5">
        <v>28.167000000000002</v>
      </c>
      <c r="R7" s="5">
        <v>3</v>
      </c>
      <c r="S7" s="5">
        <v>3.1</v>
      </c>
      <c r="T7" s="5">
        <v>0.28098000000000001</v>
      </c>
      <c r="U7" s="5">
        <v>0.26396999999999998</v>
      </c>
      <c r="V7" s="5">
        <v>27.616</v>
      </c>
      <c r="W7" s="22">
        <f t="shared" ref="W7:W70" si="1">IF(H7="",NA(),I7-VLOOKUP(H7,$A$6:$E$35,2,FALSE))</f>
        <v>-3.0200000000002447E-3</v>
      </c>
      <c r="X7" s="21">
        <f t="shared" ref="X7:X70" si="2">IF(H7="",NA(),J7-VLOOKUP(H7,$A$6:$E$35,3,FALSE))</f>
        <v>-3.7700000000001621E-4</v>
      </c>
      <c r="Y7" s="21">
        <f t="shared" ref="Y7:Y70" si="3">IF(H7="",NA(),K7-VLOOKUP(H7,$A$6:$E$35,4,FALSE))</f>
        <v>1.4100000000000223E-4</v>
      </c>
      <c r="Z7" s="11">
        <f t="shared" ref="Z7:Z70" si="4">IF(H7="",NA(),L7/VLOOKUP(H7,$A$6:$E$35,5,FALSE)-1)</f>
        <v>-4.4462199732190344E-3</v>
      </c>
      <c r="AA7" s="22">
        <f t="shared" ref="AA7:AA70" si="5">IF(M7="",NA(),N7-VLOOKUP(M7,$A$6:$E$35,2,FALSE))</f>
        <v>-2.7900000000000702E-3</v>
      </c>
      <c r="AB7" s="21">
        <f t="shared" ref="AB7:AB70" si="6">IF(M7="",NA(),O7-VLOOKUP(M7,$A$6:$E$35,3,FALSE))</f>
        <v>-3.4759999999999791E-3</v>
      </c>
      <c r="AC7" s="21">
        <f t="shared" ref="AC7:AC70" si="7">IF(M7="",NA(),P7-VLOOKUP(M7,$A$6:$E$35,4,FALSE))</f>
        <v>-9.6729999999999872E-3</v>
      </c>
      <c r="AD7" s="11">
        <f t="shared" ref="AD7:AD70" si="8">IF(M7="",NA(),Q7/VLOOKUP(M7,$A$6:$E$35,5,FALSE)-1)</f>
        <v>2.8109019633608234E-2</v>
      </c>
      <c r="AE7" s="22">
        <f t="shared" ref="AE7:AE70" si="9">IF(R7="",NA(),S7-VLOOKUP(R7,$A$6:$E$35,2,FALSE))</f>
        <v>-7.8199999999997161E-3</v>
      </c>
      <c r="AF7" s="21">
        <f t="shared" ref="AF7:AF70" si="10">IF(R7="",NA(),T7-VLOOKUP(R7,$A$6:$E$35,3,FALSE))</f>
        <v>-8.7089999999999668E-3</v>
      </c>
      <c r="AG7" s="21">
        <f t="shared" ref="AG7:AG70" si="11">IF(R7="",NA(),U7-VLOOKUP(R7,$A$6:$E$35,4,FALSE))</f>
        <v>-1.7585000000000017E-2</v>
      </c>
      <c r="AH7" s="11">
        <f t="shared" ref="AH7:AH70" si="12">IF(R7="",NA(),V7/VLOOKUP(R7,$A$6:$E$35,5,FALSE)-1)</f>
        <v>1.4548126377663451E-2</v>
      </c>
      <c r="AI7">
        <v>2.5000000000000001E-2</v>
      </c>
      <c r="AJ7">
        <v>-2.5000000000000001E-2</v>
      </c>
      <c r="AK7">
        <v>1.5E-3</v>
      </c>
      <c r="AL7">
        <v>-1.5E-3</v>
      </c>
      <c r="AM7">
        <v>1.5E-3</v>
      </c>
      <c r="AN7">
        <v>-1.5E-3</v>
      </c>
      <c r="AO7" s="16">
        <v>2.5000000000000001E-2</v>
      </c>
      <c r="AP7" s="16">
        <v>-2.5000000000000001E-2</v>
      </c>
      <c r="AQ7">
        <v>1.4999999999999999E-2</v>
      </c>
      <c r="AR7">
        <v>-1.4999999999999999E-2</v>
      </c>
      <c r="AS7">
        <v>1E-3</v>
      </c>
      <c r="AT7">
        <v>-1E-3</v>
      </c>
      <c r="AU7">
        <v>1E-3</v>
      </c>
      <c r="AV7">
        <v>-1E-3</v>
      </c>
      <c r="AW7" s="16">
        <v>1.4999999999999999E-2</v>
      </c>
      <c r="AX7" s="16">
        <v>-1.4999999999999999E-2</v>
      </c>
    </row>
    <row r="8" spans="1:279" customFormat="1">
      <c r="A8" s="2">
        <v>3</v>
      </c>
      <c r="B8" s="2">
        <v>3.1078199999999998</v>
      </c>
      <c r="C8" s="2">
        <v>0.28968899999999997</v>
      </c>
      <c r="D8" s="2">
        <v>0.281555</v>
      </c>
      <c r="E8" s="2">
        <v>27.22</v>
      </c>
      <c r="F8" s="17">
        <f t="shared" si="0"/>
        <v>44244.67591435185</v>
      </c>
      <c r="G8" s="9">
        <v>44244.67591435185</v>
      </c>
      <c r="H8" s="25">
        <v>1</v>
      </c>
      <c r="I8" s="5">
        <v>3.1150000000000002</v>
      </c>
      <c r="J8" s="5">
        <v>0.28866000000000003</v>
      </c>
      <c r="K8" s="5">
        <v>0.28056999999999999</v>
      </c>
      <c r="L8" s="5">
        <v>26.864999999999998</v>
      </c>
      <c r="M8" s="5">
        <v>2</v>
      </c>
      <c r="N8" s="5">
        <v>3.1139999999999999</v>
      </c>
      <c r="O8" s="5">
        <v>0.28655000000000003</v>
      </c>
      <c r="P8" s="5">
        <v>0.27054</v>
      </c>
      <c r="Q8" s="5">
        <v>28.138000000000002</v>
      </c>
      <c r="R8" s="5">
        <v>3</v>
      </c>
      <c r="S8" s="5">
        <v>3.1059999999999999</v>
      </c>
      <c r="T8" s="5">
        <v>0.28100000000000003</v>
      </c>
      <c r="U8" s="5">
        <v>0.26384999999999997</v>
      </c>
      <c r="V8" s="5">
        <v>27.629000000000001</v>
      </c>
      <c r="W8" s="22">
        <f t="shared" si="1"/>
        <v>1.9800000000000928E-3</v>
      </c>
      <c r="X8" s="21">
        <f t="shared" si="2"/>
        <v>-5.1699999999998969E-4</v>
      </c>
      <c r="Y8" s="21">
        <f t="shared" si="3"/>
        <v>-2.9000000000001247E-5</v>
      </c>
      <c r="Z8" s="11">
        <f t="shared" si="4"/>
        <v>-6.258738930687846E-3</v>
      </c>
      <c r="AA8" s="22">
        <f t="shared" si="5"/>
        <v>2.2099999999998232E-3</v>
      </c>
      <c r="AB8" s="21">
        <f t="shared" si="6"/>
        <v>-3.5159999999999636E-3</v>
      </c>
      <c r="AC8" s="21">
        <f t="shared" si="7"/>
        <v>-9.8030000000000062E-3</v>
      </c>
      <c r="AD8" s="11">
        <f t="shared" si="8"/>
        <v>2.7050505714150352E-2</v>
      </c>
      <c r="AE8" s="22">
        <f t="shared" si="9"/>
        <v>-1.8199999999999328E-3</v>
      </c>
      <c r="AF8" s="21">
        <f t="shared" si="10"/>
        <v>-8.6889999999999468E-3</v>
      </c>
      <c r="AG8" s="21">
        <f t="shared" si="11"/>
        <v>-1.7705000000000026E-2</v>
      </c>
      <c r="AH8" s="11">
        <f t="shared" si="12"/>
        <v>1.5025716385011156E-2</v>
      </c>
      <c r="AI8">
        <v>2.5000000000000001E-2</v>
      </c>
      <c r="AJ8">
        <v>-2.5000000000000001E-2</v>
      </c>
      <c r="AK8">
        <v>1.5E-3</v>
      </c>
      <c r="AL8">
        <v>-1.5E-3</v>
      </c>
      <c r="AM8">
        <v>1.5E-3</v>
      </c>
      <c r="AN8">
        <v>-1.5E-3</v>
      </c>
      <c r="AO8" s="16">
        <v>2.5000000000000001E-2</v>
      </c>
      <c r="AP8" s="16">
        <v>-2.5000000000000001E-2</v>
      </c>
      <c r="AQ8">
        <v>1.4999999999999999E-2</v>
      </c>
      <c r="AR8">
        <v>-1.4999999999999999E-2</v>
      </c>
      <c r="AS8">
        <v>1E-3</v>
      </c>
      <c r="AT8">
        <v>-1E-3</v>
      </c>
      <c r="AU8">
        <v>1E-3</v>
      </c>
      <c r="AV8">
        <v>-1E-3</v>
      </c>
      <c r="AW8" s="16">
        <v>1.4999999999999999E-2</v>
      </c>
      <c r="AX8" s="16">
        <v>-1.4999999999999999E-2</v>
      </c>
      <c r="JS8">
        <v>12.849506578947368</v>
      </c>
    </row>
    <row r="9" spans="1:279" customFormat="1">
      <c r="A9" s="2">
        <v>4</v>
      </c>
      <c r="B9" s="2">
        <v>3.11558</v>
      </c>
      <c r="C9" s="2">
        <v>0.29120800000000002</v>
      </c>
      <c r="D9" s="2">
        <v>0.28087899999999999</v>
      </c>
      <c r="E9" s="2">
        <v>27.517900000000001</v>
      </c>
      <c r="F9" s="17">
        <f t="shared" si="0"/>
        <v>44245.726365740738</v>
      </c>
      <c r="G9" s="9">
        <v>44245.726365740738</v>
      </c>
      <c r="H9" s="25">
        <v>1</v>
      </c>
      <c r="I9" s="5">
        <v>3.1110000000000002</v>
      </c>
      <c r="J9" s="5">
        <v>0.28882000000000002</v>
      </c>
      <c r="K9" s="5">
        <v>0.28071000000000002</v>
      </c>
      <c r="L9" s="5">
        <v>26.834</v>
      </c>
      <c r="M9" s="5">
        <v>2</v>
      </c>
      <c r="N9" s="5">
        <v>3.11</v>
      </c>
      <c r="O9" s="5">
        <v>0.28655999999999998</v>
      </c>
      <c r="P9" s="5">
        <v>0.27054</v>
      </c>
      <c r="Q9" s="5">
        <v>28.129000000000001</v>
      </c>
      <c r="R9" s="5">
        <v>3</v>
      </c>
      <c r="S9" s="5">
        <v>3.101</v>
      </c>
      <c r="T9" s="5">
        <v>0.28100999999999998</v>
      </c>
      <c r="U9" s="5">
        <v>0.26388</v>
      </c>
      <c r="V9" s="5">
        <v>27.626000000000001</v>
      </c>
      <c r="W9" s="22">
        <f t="shared" si="1"/>
        <v>-2.0199999999999108E-3</v>
      </c>
      <c r="X9" s="21">
        <f t="shared" si="2"/>
        <v>-3.5699999999999621E-4</v>
      </c>
      <c r="Y9" s="21">
        <f t="shared" si="3"/>
        <v>1.1100000000002774E-4</v>
      </c>
      <c r="Z9" s="11">
        <f t="shared" si="4"/>
        <v>-7.4054345976577451E-3</v>
      </c>
      <c r="AA9" s="22">
        <f t="shared" si="5"/>
        <v>-1.7900000000001803E-3</v>
      </c>
      <c r="AB9" s="21">
        <f t="shared" si="6"/>
        <v>-3.5060000000000091E-3</v>
      </c>
      <c r="AC9" s="21">
        <f t="shared" si="7"/>
        <v>-9.8030000000000062E-3</v>
      </c>
      <c r="AD9" s="11">
        <f t="shared" si="8"/>
        <v>2.6722001394318351E-2</v>
      </c>
      <c r="AE9" s="22">
        <f t="shared" si="9"/>
        <v>-6.8199999999998262E-3</v>
      </c>
      <c r="AF9" s="21">
        <f t="shared" si="10"/>
        <v>-8.6789999999999923E-3</v>
      </c>
      <c r="AG9" s="21">
        <f t="shared" si="11"/>
        <v>-1.7674999999999996E-2</v>
      </c>
      <c r="AH9" s="11">
        <f t="shared" si="12"/>
        <v>1.4915503306392353E-2</v>
      </c>
      <c r="AI9">
        <v>2.5000000000000001E-2</v>
      </c>
      <c r="AJ9">
        <v>-2.5000000000000001E-2</v>
      </c>
      <c r="AK9">
        <v>1.5E-3</v>
      </c>
      <c r="AL9">
        <v>-1.5E-3</v>
      </c>
      <c r="AM9">
        <v>1.5E-3</v>
      </c>
      <c r="AN9">
        <v>-1.5E-3</v>
      </c>
      <c r="AO9" s="16">
        <v>2.5000000000000001E-2</v>
      </c>
      <c r="AP9" s="16">
        <v>-2.5000000000000001E-2</v>
      </c>
      <c r="AQ9">
        <v>1.4999999999999999E-2</v>
      </c>
      <c r="AR9">
        <v>-1.4999999999999999E-2</v>
      </c>
      <c r="AS9">
        <v>1E-3</v>
      </c>
      <c r="AT9">
        <v>-1E-3</v>
      </c>
      <c r="AU9">
        <v>1E-3</v>
      </c>
      <c r="AV9">
        <v>-1E-3</v>
      </c>
      <c r="AW9" s="16">
        <v>1.4999999999999999E-2</v>
      </c>
      <c r="AX9" s="16">
        <v>-1.4999999999999999E-2</v>
      </c>
    </row>
    <row r="10" spans="1:279" customFormat="1">
      <c r="A10" s="2">
        <v>5</v>
      </c>
      <c r="B10" s="2">
        <v>3.11633</v>
      </c>
      <c r="C10" s="2">
        <v>0.28991299999999998</v>
      </c>
      <c r="D10" s="2">
        <v>0.28015600000000002</v>
      </c>
      <c r="E10" s="2">
        <v>27.562799999999999</v>
      </c>
      <c r="F10" s="17">
        <f t="shared" si="0"/>
        <v>44246.834803240738</v>
      </c>
      <c r="G10" s="9">
        <v>44246.834803240738</v>
      </c>
      <c r="H10" s="25">
        <v>1</v>
      </c>
      <c r="I10" s="5">
        <v>3.1139999999999999</v>
      </c>
      <c r="J10" s="5">
        <v>0.28871999999999998</v>
      </c>
      <c r="K10" s="5">
        <v>0.28072000000000003</v>
      </c>
      <c r="L10" s="5">
        <v>26.907</v>
      </c>
      <c r="M10" s="5">
        <v>2</v>
      </c>
      <c r="N10" s="5">
        <v>3.113</v>
      </c>
      <c r="O10" s="5">
        <v>0.28660000000000002</v>
      </c>
      <c r="P10" s="5">
        <v>0.27050999999999997</v>
      </c>
      <c r="Q10" s="5">
        <v>28.157</v>
      </c>
      <c r="R10" s="5">
        <v>3</v>
      </c>
      <c r="S10" s="5">
        <v>3.1040000000000001</v>
      </c>
      <c r="T10" s="5">
        <v>0.28100000000000003</v>
      </c>
      <c r="U10" s="5">
        <v>0.26394000000000001</v>
      </c>
      <c r="V10" s="5">
        <v>27.638000000000002</v>
      </c>
      <c r="W10" s="22">
        <f t="shared" si="1"/>
        <v>9.7999999999975884E-4</v>
      </c>
      <c r="X10" s="21">
        <f t="shared" si="2"/>
        <v>-4.5700000000004071E-4</v>
      </c>
      <c r="Y10" s="21">
        <f t="shared" si="3"/>
        <v>1.2100000000003774E-4</v>
      </c>
      <c r="Z10" s="11">
        <f t="shared" si="4"/>
        <v>-4.7051512528574202E-3</v>
      </c>
      <c r="AA10" s="22">
        <f t="shared" si="5"/>
        <v>1.2099999999999334E-3</v>
      </c>
      <c r="AB10" s="21">
        <f t="shared" si="6"/>
        <v>-3.4659999999999691E-3</v>
      </c>
      <c r="AC10" s="21">
        <f t="shared" si="7"/>
        <v>-9.8330000000000362E-3</v>
      </c>
      <c r="AD10" s="11">
        <f t="shared" si="8"/>
        <v>2.7744014833795072E-2</v>
      </c>
      <c r="AE10" s="22">
        <f t="shared" si="9"/>
        <v>-3.8199999999997125E-3</v>
      </c>
      <c r="AF10" s="21">
        <f t="shared" si="10"/>
        <v>-8.6889999999999468E-3</v>
      </c>
      <c r="AG10" s="21">
        <f t="shared" si="11"/>
        <v>-1.7614999999999992E-2</v>
      </c>
      <c r="AH10" s="11">
        <f t="shared" si="12"/>
        <v>1.5356355620867124E-2</v>
      </c>
      <c r="AI10">
        <v>2.5000000000000001E-2</v>
      </c>
      <c r="AJ10">
        <v>-2.5000000000000001E-2</v>
      </c>
      <c r="AK10">
        <v>1.5E-3</v>
      </c>
      <c r="AL10">
        <v>-1.5E-3</v>
      </c>
      <c r="AM10">
        <v>1.5E-3</v>
      </c>
      <c r="AN10">
        <v>-1.5E-3</v>
      </c>
      <c r="AO10" s="16">
        <v>2.5000000000000001E-2</v>
      </c>
      <c r="AP10" s="16">
        <v>-2.5000000000000001E-2</v>
      </c>
      <c r="AQ10">
        <v>1.4999999999999999E-2</v>
      </c>
      <c r="AR10">
        <v>-1.4999999999999999E-2</v>
      </c>
      <c r="AS10">
        <v>1E-3</v>
      </c>
      <c r="AT10">
        <v>-1E-3</v>
      </c>
      <c r="AU10">
        <v>1E-3</v>
      </c>
      <c r="AV10">
        <v>-1E-3</v>
      </c>
      <c r="AW10" s="16">
        <v>1.4999999999999999E-2</v>
      </c>
      <c r="AX10" s="16">
        <v>-1.4999999999999999E-2</v>
      </c>
      <c r="JQ10">
        <v>28.935185185185187</v>
      </c>
    </row>
    <row r="11" spans="1:279" customFormat="1">
      <c r="A11" s="2">
        <v>6</v>
      </c>
      <c r="B11" s="2">
        <v>3.1269300000000002</v>
      </c>
      <c r="C11" s="2">
        <v>0.292375</v>
      </c>
      <c r="D11" s="2">
        <v>0.28644700000000001</v>
      </c>
      <c r="E11" s="2">
        <v>27.673100000000002</v>
      </c>
      <c r="F11" s="17">
        <f t="shared" si="0"/>
        <v>44247.824317129627</v>
      </c>
      <c r="G11" s="9">
        <v>44247.824317129627</v>
      </c>
      <c r="H11" s="25">
        <v>1</v>
      </c>
      <c r="I11" s="5">
        <v>3.1139999999999999</v>
      </c>
      <c r="J11" s="5">
        <v>0.28877000000000003</v>
      </c>
      <c r="K11" s="5">
        <v>0.28072999999999998</v>
      </c>
      <c r="L11" s="5">
        <v>26.792999999999999</v>
      </c>
      <c r="M11" s="5">
        <v>2</v>
      </c>
      <c r="N11" s="5">
        <v>3.113</v>
      </c>
      <c r="O11" s="5">
        <v>0.28658</v>
      </c>
      <c r="P11" s="5">
        <v>0.27056999999999998</v>
      </c>
      <c r="Q11" s="5">
        <v>28.044</v>
      </c>
      <c r="R11" s="5">
        <v>3</v>
      </c>
      <c r="S11" s="5">
        <v>3.1030000000000002</v>
      </c>
      <c r="T11" s="5">
        <v>0.28092</v>
      </c>
      <c r="U11" s="5">
        <v>0.26379999999999998</v>
      </c>
      <c r="V11" s="5">
        <v>27.56</v>
      </c>
      <c r="W11" s="22">
        <f t="shared" si="1"/>
        <v>9.7999999999975884E-4</v>
      </c>
      <c r="X11" s="21">
        <f t="shared" si="2"/>
        <v>-4.069999999999907E-4</v>
      </c>
      <c r="Y11" s="21">
        <f t="shared" si="3"/>
        <v>1.3099999999999223E-4</v>
      </c>
      <c r="Z11" s="11">
        <f t="shared" si="4"/>
        <v>-8.922032092682608E-3</v>
      </c>
      <c r="AA11" s="22">
        <f t="shared" si="5"/>
        <v>1.2099999999999334E-3</v>
      </c>
      <c r="AB11" s="21">
        <f t="shared" si="6"/>
        <v>-3.4859999999999891E-3</v>
      </c>
      <c r="AC11" s="21">
        <f t="shared" si="7"/>
        <v>-9.7730000000000317E-3</v>
      </c>
      <c r="AD11" s="11">
        <f t="shared" si="8"/>
        <v>2.3619460595906805E-2</v>
      </c>
      <c r="AE11" s="22">
        <f t="shared" si="9"/>
        <v>-4.8199999999996024E-3</v>
      </c>
      <c r="AF11" s="21">
        <f t="shared" si="10"/>
        <v>-8.7689999999999713E-3</v>
      </c>
      <c r="AG11" s="21">
        <f t="shared" si="11"/>
        <v>-1.7755000000000021E-2</v>
      </c>
      <c r="AH11" s="11">
        <f t="shared" si="12"/>
        <v>1.2490815576781777E-2</v>
      </c>
      <c r="AI11">
        <v>2.5000000000000001E-2</v>
      </c>
      <c r="AJ11">
        <v>-2.5000000000000001E-2</v>
      </c>
      <c r="AK11">
        <v>1.5E-3</v>
      </c>
      <c r="AL11">
        <v>-1.5E-3</v>
      </c>
      <c r="AM11">
        <v>1.5E-3</v>
      </c>
      <c r="AN11">
        <v>-1.5E-3</v>
      </c>
      <c r="AO11" s="16">
        <v>2.5000000000000001E-2</v>
      </c>
      <c r="AP11" s="16">
        <v>-2.5000000000000001E-2</v>
      </c>
      <c r="AQ11">
        <v>1.4999999999999999E-2</v>
      </c>
      <c r="AR11">
        <v>-1.4999999999999999E-2</v>
      </c>
      <c r="AS11">
        <v>1E-3</v>
      </c>
      <c r="AT11">
        <v>-1E-3</v>
      </c>
      <c r="AU11">
        <v>1E-3</v>
      </c>
      <c r="AV11">
        <v>-1E-3</v>
      </c>
      <c r="AW11" s="16">
        <v>1.4999999999999999E-2</v>
      </c>
      <c r="AX11" s="16">
        <v>-1.4999999999999999E-2</v>
      </c>
      <c r="JR11">
        <v>25.699013157894736</v>
      </c>
    </row>
    <row r="12" spans="1:279" customFormat="1">
      <c r="A12" s="2">
        <v>7</v>
      </c>
      <c r="B12" s="2">
        <v>3.1089500000000001</v>
      </c>
      <c r="C12" s="2">
        <v>0.289273</v>
      </c>
      <c r="D12" s="2">
        <v>0.28025299999999997</v>
      </c>
      <c r="E12" s="2">
        <v>27.7532</v>
      </c>
      <c r="F12" s="17">
        <f t="shared" si="0"/>
        <v>44248.694710648146</v>
      </c>
      <c r="G12" s="9">
        <v>44248.694710648146</v>
      </c>
      <c r="H12" s="25">
        <v>1</v>
      </c>
      <c r="I12" s="5">
        <v>3.113</v>
      </c>
      <c r="J12" s="5">
        <v>0.28887000000000002</v>
      </c>
      <c r="K12" s="5">
        <v>0.28088999999999997</v>
      </c>
      <c r="L12" s="5">
        <v>26.873000000000001</v>
      </c>
      <c r="M12" s="5">
        <v>2</v>
      </c>
      <c r="N12" s="5">
        <v>3.1120000000000001</v>
      </c>
      <c r="O12" s="5">
        <v>0.28641</v>
      </c>
      <c r="P12" s="5">
        <v>0.27045000000000002</v>
      </c>
      <c r="Q12" s="5">
        <v>28.087</v>
      </c>
      <c r="R12" s="5">
        <v>3</v>
      </c>
      <c r="S12" s="5">
        <v>3.1030000000000002</v>
      </c>
      <c r="T12" s="5">
        <v>0.28097</v>
      </c>
      <c r="U12" s="5">
        <v>0.26384999999999997</v>
      </c>
      <c r="V12" s="5">
        <v>27.568999999999999</v>
      </c>
      <c r="W12" s="22">
        <f t="shared" si="1"/>
        <v>-2.0000000000131024E-5</v>
      </c>
      <c r="X12" s="21">
        <f t="shared" si="2"/>
        <v>-3.0700000000000172E-4</v>
      </c>
      <c r="Y12" s="21">
        <f t="shared" si="3"/>
        <v>2.9099999999998571E-4</v>
      </c>
      <c r="Z12" s="11">
        <f t="shared" si="4"/>
        <v>-5.9628174682437862E-3</v>
      </c>
      <c r="AA12" s="22">
        <f t="shared" si="5"/>
        <v>2.1000000000004349E-4</v>
      </c>
      <c r="AB12" s="21">
        <f t="shared" si="6"/>
        <v>-3.6559999999999926E-3</v>
      </c>
      <c r="AC12" s="21">
        <f t="shared" si="7"/>
        <v>-9.8929999999999851E-3</v>
      </c>
      <c r="AD12" s="11">
        <f t="shared" si="8"/>
        <v>2.518898123510338E-2</v>
      </c>
      <c r="AE12" s="22">
        <f t="shared" si="9"/>
        <v>-4.8199999999996024E-3</v>
      </c>
      <c r="AF12" s="21">
        <f t="shared" si="10"/>
        <v>-8.7189999999999768E-3</v>
      </c>
      <c r="AG12" s="21">
        <f t="shared" si="11"/>
        <v>-1.7705000000000026E-2</v>
      </c>
      <c r="AH12" s="11">
        <f t="shared" si="12"/>
        <v>1.2821454812637745E-2</v>
      </c>
      <c r="AI12">
        <v>2.5000000000000001E-2</v>
      </c>
      <c r="AJ12">
        <v>-2.5000000000000001E-2</v>
      </c>
      <c r="AK12">
        <v>1.5E-3</v>
      </c>
      <c r="AL12">
        <v>-1.5E-3</v>
      </c>
      <c r="AM12">
        <v>1.5E-3</v>
      </c>
      <c r="AN12">
        <v>-1.5E-3</v>
      </c>
      <c r="AO12" s="16">
        <v>2.5000000000000001E-2</v>
      </c>
      <c r="AP12" s="16">
        <v>-2.5000000000000001E-2</v>
      </c>
      <c r="AQ12">
        <v>1.4999999999999999E-2</v>
      </c>
      <c r="AR12">
        <v>-1.4999999999999999E-2</v>
      </c>
      <c r="AS12">
        <v>1E-3</v>
      </c>
      <c r="AT12">
        <v>-1E-3</v>
      </c>
      <c r="AU12">
        <v>1E-3</v>
      </c>
      <c r="AV12">
        <v>-1E-3</v>
      </c>
      <c r="AW12" s="16">
        <v>1.4999999999999999E-2</v>
      </c>
      <c r="AX12" s="16">
        <v>-1.4999999999999999E-2</v>
      </c>
      <c r="JP12">
        <v>25.699013157894736</v>
      </c>
      <c r="JR12">
        <v>12.849506578947368</v>
      </c>
      <c r="JS12">
        <v>12.849506578947368</v>
      </c>
    </row>
    <row r="13" spans="1:279" customFormat="1">
      <c r="A13" s="2">
        <v>8</v>
      </c>
      <c r="B13" s="2">
        <v>3.1103700000000001</v>
      </c>
      <c r="C13" s="2">
        <v>0.28980800000000001</v>
      </c>
      <c r="D13" s="2">
        <v>0.28028599999999998</v>
      </c>
      <c r="E13" s="2">
        <v>27.4602</v>
      </c>
      <c r="F13" s="17">
        <f t="shared" si="0"/>
        <v>44249.025462962964</v>
      </c>
      <c r="G13" s="9">
        <v>44249.025462962964</v>
      </c>
      <c r="H13" s="25">
        <v>1</v>
      </c>
      <c r="I13" s="5">
        <v>3.113</v>
      </c>
      <c r="J13" s="2">
        <v>0.28871000000000002</v>
      </c>
      <c r="K13" s="5">
        <v>0.28066999999999998</v>
      </c>
      <c r="L13" s="5">
        <v>26.916</v>
      </c>
      <c r="M13" s="5">
        <v>2</v>
      </c>
      <c r="N13" s="5">
        <v>3.1110000000000002</v>
      </c>
      <c r="O13" s="2">
        <v>0.28648000000000001</v>
      </c>
      <c r="P13" s="5">
        <v>0.27045999999999998</v>
      </c>
      <c r="Q13" s="5">
        <v>28.157</v>
      </c>
      <c r="R13" s="5">
        <v>3</v>
      </c>
      <c r="S13" s="5">
        <v>3.1030000000000002</v>
      </c>
      <c r="T13" s="2">
        <v>0.28094999999999998</v>
      </c>
      <c r="U13" s="5">
        <v>0.26379000000000002</v>
      </c>
      <c r="V13" s="5">
        <v>27.628</v>
      </c>
      <c r="W13" s="22">
        <f t="shared" si="1"/>
        <v>-2.0000000000131024E-5</v>
      </c>
      <c r="X13" s="21">
        <f t="shared" si="2"/>
        <v>-4.669999999999952E-4</v>
      </c>
      <c r="Y13" s="21">
        <f t="shared" si="3"/>
        <v>7.099999999998774E-5</v>
      </c>
      <c r="Z13" s="11">
        <f t="shared" si="4"/>
        <v>-4.3722396076080194E-3</v>
      </c>
      <c r="AA13" s="22">
        <f t="shared" si="5"/>
        <v>-7.8999999999984638E-4</v>
      </c>
      <c r="AB13" s="21">
        <f t="shared" si="6"/>
        <v>-3.5859999999999781E-3</v>
      </c>
      <c r="AC13" s="21">
        <f t="shared" si="7"/>
        <v>-9.8830000000000306E-3</v>
      </c>
      <c r="AD13" s="11">
        <f t="shared" si="8"/>
        <v>2.7744014833795072E-2</v>
      </c>
      <c r="AE13" s="22">
        <f t="shared" si="9"/>
        <v>-4.8199999999996024E-3</v>
      </c>
      <c r="AF13" s="21">
        <f t="shared" si="10"/>
        <v>-8.7389999999999968E-3</v>
      </c>
      <c r="AG13" s="21">
        <f t="shared" si="11"/>
        <v>-1.7764999999999975E-2</v>
      </c>
      <c r="AH13" s="11">
        <f t="shared" si="12"/>
        <v>1.4988978692138222E-2</v>
      </c>
      <c r="AI13">
        <v>2.5000000000000001E-2</v>
      </c>
      <c r="AJ13">
        <v>-2.5000000000000001E-2</v>
      </c>
      <c r="AK13">
        <v>1.5E-3</v>
      </c>
      <c r="AL13">
        <v>-1.5E-3</v>
      </c>
      <c r="AM13">
        <v>1.5E-3</v>
      </c>
      <c r="AN13">
        <v>-1.5E-3</v>
      </c>
      <c r="AO13" s="16">
        <v>2.5000000000000001E-2</v>
      </c>
      <c r="AP13" s="16">
        <v>-2.5000000000000001E-2</v>
      </c>
      <c r="AQ13">
        <v>1.4999999999999999E-2</v>
      </c>
      <c r="AR13">
        <v>-1.4999999999999999E-2</v>
      </c>
      <c r="AS13">
        <v>1E-3</v>
      </c>
      <c r="AT13">
        <v>-1E-3</v>
      </c>
      <c r="AU13">
        <v>1E-3</v>
      </c>
      <c r="AV13">
        <v>-1E-3</v>
      </c>
      <c r="AW13" s="16">
        <v>1.4999999999999999E-2</v>
      </c>
      <c r="AX13" s="16">
        <v>-1.4999999999999999E-2</v>
      </c>
    </row>
    <row r="14" spans="1:279" customFormat="1">
      <c r="A14" s="2">
        <v>9</v>
      </c>
      <c r="B14" s="2">
        <v>3.10961</v>
      </c>
      <c r="C14" s="2">
        <v>0.28914099999999998</v>
      </c>
      <c r="D14" s="2">
        <v>0.27739599999999998</v>
      </c>
      <c r="E14" s="2">
        <v>27.474900000000002</v>
      </c>
      <c r="F14" s="17">
        <f t="shared" si="0"/>
        <v>44250.088321759256</v>
      </c>
      <c r="G14" s="9">
        <v>44250.088321759256</v>
      </c>
      <c r="H14" s="25">
        <v>1</v>
      </c>
      <c r="I14" s="5">
        <v>3.117</v>
      </c>
      <c r="J14" s="5">
        <v>0.28867999999999999</v>
      </c>
      <c r="K14" s="5">
        <v>0.28050000000000003</v>
      </c>
      <c r="L14" s="5">
        <v>26.829000000000001</v>
      </c>
      <c r="M14" s="5">
        <v>2</v>
      </c>
      <c r="N14" s="5">
        <v>3.1150000000000002</v>
      </c>
      <c r="O14" s="5">
        <v>0.28650999999999999</v>
      </c>
      <c r="P14" s="5">
        <v>0.27067000000000002</v>
      </c>
      <c r="Q14" s="5">
        <v>28.105</v>
      </c>
      <c r="R14" s="5">
        <v>3</v>
      </c>
      <c r="S14" s="5">
        <v>3.1070000000000002</v>
      </c>
      <c r="T14" s="5">
        <v>0.28095999999999999</v>
      </c>
      <c r="U14" s="5">
        <v>0.26373000000000002</v>
      </c>
      <c r="V14" s="5">
        <v>27.602</v>
      </c>
      <c r="W14" s="22">
        <f t="shared" si="1"/>
        <v>3.9799999999998725E-3</v>
      </c>
      <c r="X14" s="21">
        <f t="shared" si="2"/>
        <v>-4.970000000000252E-4</v>
      </c>
      <c r="Y14" s="21">
        <f t="shared" si="3"/>
        <v>-9.8999999999960231E-5</v>
      </c>
      <c r="Z14" s="11">
        <f t="shared" si="4"/>
        <v>-7.590385511685116E-3</v>
      </c>
      <c r="AA14" s="22">
        <f t="shared" si="5"/>
        <v>3.2100000000001572E-3</v>
      </c>
      <c r="AB14" s="21">
        <f t="shared" si="6"/>
        <v>-3.5560000000000036E-3</v>
      </c>
      <c r="AC14" s="21">
        <f t="shared" si="7"/>
        <v>-9.6729999999999872E-3</v>
      </c>
      <c r="AD14" s="11">
        <f t="shared" si="8"/>
        <v>2.5845989874766939E-2</v>
      </c>
      <c r="AE14" s="22">
        <f t="shared" si="9"/>
        <v>-8.1999999999959883E-4</v>
      </c>
      <c r="AF14" s="21">
        <f t="shared" si="10"/>
        <v>-8.7289999999999868E-3</v>
      </c>
      <c r="AG14" s="21">
        <f t="shared" si="11"/>
        <v>-1.782499999999998E-2</v>
      </c>
      <c r="AH14" s="11">
        <f t="shared" si="12"/>
        <v>1.4033798677443032E-2</v>
      </c>
      <c r="AI14">
        <v>2.5000000000000001E-2</v>
      </c>
      <c r="AJ14">
        <v>-2.5000000000000001E-2</v>
      </c>
      <c r="AK14">
        <v>1.5E-3</v>
      </c>
      <c r="AL14">
        <v>-1.5E-3</v>
      </c>
      <c r="AM14">
        <v>1.5E-3</v>
      </c>
      <c r="AN14">
        <v>-1.5E-3</v>
      </c>
      <c r="AO14" s="16">
        <v>2.5000000000000001E-2</v>
      </c>
      <c r="AP14" s="16">
        <v>-2.5000000000000001E-2</v>
      </c>
      <c r="AQ14">
        <v>1.4999999999999999E-2</v>
      </c>
      <c r="AR14">
        <v>-1.4999999999999999E-2</v>
      </c>
      <c r="AS14">
        <v>1E-3</v>
      </c>
      <c r="AT14">
        <v>-1E-3</v>
      </c>
      <c r="AU14">
        <v>1E-3</v>
      </c>
      <c r="AV14">
        <v>-1E-3</v>
      </c>
      <c r="AW14" s="16">
        <v>1.4999999999999999E-2</v>
      </c>
      <c r="AX14" s="16">
        <v>-1.4999999999999999E-2</v>
      </c>
    </row>
    <row r="15" spans="1:279" customFormat="1">
      <c r="A15" s="2">
        <v>10</v>
      </c>
      <c r="B15" s="2">
        <v>3.1197400000000002</v>
      </c>
      <c r="C15" s="2">
        <v>0.28938599999999998</v>
      </c>
      <c r="D15" s="2">
        <v>0.282277</v>
      </c>
      <c r="E15" s="2">
        <v>27.420999999999999</v>
      </c>
      <c r="F15" s="17">
        <f t="shared" si="0"/>
        <v>44250.746377314812</v>
      </c>
      <c r="G15" s="9">
        <v>44250.746377314812</v>
      </c>
      <c r="H15" s="25">
        <v>1</v>
      </c>
      <c r="I15" s="5">
        <v>3.109</v>
      </c>
      <c r="J15" s="5">
        <v>0.28860000000000002</v>
      </c>
      <c r="K15" s="5">
        <v>0.28040999999999999</v>
      </c>
      <c r="L15" s="5">
        <v>26.710999999999999</v>
      </c>
      <c r="M15" s="5">
        <v>2</v>
      </c>
      <c r="N15" s="5">
        <v>3.1080000000000001</v>
      </c>
      <c r="O15" s="5">
        <v>0.28632000000000002</v>
      </c>
      <c r="P15" s="5">
        <v>0.27016000000000001</v>
      </c>
      <c r="Q15" s="5">
        <v>27.997</v>
      </c>
      <c r="R15" s="5">
        <v>3</v>
      </c>
      <c r="S15" s="5">
        <v>3.0990000000000002</v>
      </c>
      <c r="T15" s="5">
        <v>0.28092</v>
      </c>
      <c r="U15" s="5">
        <v>0.26362000000000002</v>
      </c>
      <c r="V15" s="5">
        <v>27.530999999999999</v>
      </c>
      <c r="W15" s="22">
        <f t="shared" si="1"/>
        <v>-4.0200000000001346E-3</v>
      </c>
      <c r="X15" s="21">
        <f t="shared" si="2"/>
        <v>-5.7699999999999418E-4</v>
      </c>
      <c r="Y15" s="21">
        <f t="shared" si="3"/>
        <v>-1.8899999999999473E-4</v>
      </c>
      <c r="Z15" s="11">
        <f t="shared" si="4"/>
        <v>-1.1955227082732223E-2</v>
      </c>
      <c r="AA15" s="22">
        <f t="shared" si="5"/>
        <v>-3.7899999999999601E-3</v>
      </c>
      <c r="AB15" s="21">
        <f t="shared" si="6"/>
        <v>-3.7459999999999716E-3</v>
      </c>
      <c r="AC15" s="21">
        <f t="shared" si="7"/>
        <v>-1.0182999999999998E-2</v>
      </c>
      <c r="AD15" s="11">
        <f t="shared" si="8"/>
        <v>2.1903938036785142E-2</v>
      </c>
      <c r="AE15" s="22">
        <f t="shared" si="9"/>
        <v>-8.8199999999996059E-3</v>
      </c>
      <c r="AF15" s="21">
        <f t="shared" si="10"/>
        <v>-8.7689999999999713E-3</v>
      </c>
      <c r="AG15" s="21">
        <f t="shared" si="11"/>
        <v>-1.7934999999999979E-2</v>
      </c>
      <c r="AH15" s="11">
        <f t="shared" si="12"/>
        <v>1.1425422483468006E-2</v>
      </c>
      <c r="AI15">
        <v>2.5000000000000001E-2</v>
      </c>
      <c r="AJ15">
        <v>-2.5000000000000001E-2</v>
      </c>
      <c r="AK15">
        <v>1.5E-3</v>
      </c>
      <c r="AL15">
        <v>-1.5E-3</v>
      </c>
      <c r="AM15">
        <v>1.5E-3</v>
      </c>
      <c r="AN15">
        <v>-1.5E-3</v>
      </c>
      <c r="AO15" s="16">
        <v>2.5000000000000001E-2</v>
      </c>
      <c r="AP15" s="16">
        <v>-2.5000000000000001E-2</v>
      </c>
      <c r="AQ15">
        <v>1.4999999999999999E-2</v>
      </c>
      <c r="AR15">
        <v>-1.4999999999999999E-2</v>
      </c>
      <c r="AS15">
        <v>1E-3</v>
      </c>
      <c r="AT15">
        <v>-1E-3</v>
      </c>
      <c r="AU15">
        <v>1E-3</v>
      </c>
      <c r="AV15">
        <v>-1E-3</v>
      </c>
      <c r="AW15" s="16">
        <v>1.4999999999999999E-2</v>
      </c>
      <c r="AX15" s="16">
        <v>-1.4999999999999999E-2</v>
      </c>
      <c r="JS15">
        <v>30.502684236212787</v>
      </c>
    </row>
    <row r="16" spans="1:279" customFormat="1">
      <c r="A16" s="2">
        <v>11</v>
      </c>
      <c r="B16" s="2">
        <v>3.1175600000000001</v>
      </c>
      <c r="C16" s="2">
        <v>0.28717300000000001</v>
      </c>
      <c r="D16" s="2">
        <v>0.27200000000000002</v>
      </c>
      <c r="E16" s="2">
        <v>28.1784</v>
      </c>
      <c r="F16" s="17">
        <f t="shared" si="0"/>
        <v>44251.638668981483</v>
      </c>
      <c r="G16" s="9">
        <v>44251.638668981483</v>
      </c>
      <c r="H16" s="25">
        <v>1</v>
      </c>
      <c r="I16" s="5">
        <v>3.11</v>
      </c>
      <c r="J16" s="5">
        <v>0.28867999999999999</v>
      </c>
      <c r="K16" s="5">
        <v>0.28072999999999998</v>
      </c>
      <c r="L16" s="5">
        <v>26.905999999999999</v>
      </c>
      <c r="M16" s="5">
        <v>2</v>
      </c>
      <c r="N16" s="5">
        <v>3.11</v>
      </c>
      <c r="O16" s="5">
        <v>0.28655000000000003</v>
      </c>
      <c r="P16" s="5">
        <v>0.27068999999999999</v>
      </c>
      <c r="Q16" s="5">
        <v>28.184999999999999</v>
      </c>
      <c r="R16" s="5">
        <v>3</v>
      </c>
      <c r="S16" s="5">
        <v>3.101</v>
      </c>
      <c r="T16" s="5">
        <v>0.28095999999999999</v>
      </c>
      <c r="U16" s="5">
        <v>0.26386999999999999</v>
      </c>
      <c r="V16" s="5">
        <v>27.622</v>
      </c>
      <c r="W16" s="22">
        <f t="shared" si="1"/>
        <v>-3.0200000000002447E-3</v>
      </c>
      <c r="X16" s="21">
        <f t="shared" si="2"/>
        <v>-4.970000000000252E-4</v>
      </c>
      <c r="Y16" s="21">
        <f t="shared" si="3"/>
        <v>1.3099999999999223E-4</v>
      </c>
      <c r="Z16" s="11">
        <f t="shared" si="4"/>
        <v>-4.7421414356629832E-3</v>
      </c>
      <c r="AA16" s="22">
        <f t="shared" si="5"/>
        <v>-1.7900000000001803E-3</v>
      </c>
      <c r="AB16" s="21">
        <f t="shared" si="6"/>
        <v>-3.5159999999999636E-3</v>
      </c>
      <c r="AC16" s="21">
        <f t="shared" si="7"/>
        <v>-9.6530000000000227E-3</v>
      </c>
      <c r="AD16" s="11">
        <f t="shared" si="8"/>
        <v>2.8766028273271793E-2</v>
      </c>
      <c r="AE16" s="22">
        <f t="shared" si="9"/>
        <v>-6.8199999999998262E-3</v>
      </c>
      <c r="AF16" s="21">
        <f t="shared" si="10"/>
        <v>-8.7289999999999868E-3</v>
      </c>
      <c r="AG16" s="21">
        <f t="shared" si="11"/>
        <v>-1.7685000000000006E-2</v>
      </c>
      <c r="AH16" s="11">
        <f t="shared" si="12"/>
        <v>1.4768552534900836E-2</v>
      </c>
      <c r="AI16">
        <v>2.5000000000000001E-2</v>
      </c>
      <c r="AJ16">
        <v>-2.5000000000000001E-2</v>
      </c>
      <c r="AK16">
        <v>1.5E-3</v>
      </c>
      <c r="AL16">
        <v>-1.5E-3</v>
      </c>
      <c r="AM16">
        <v>1.5E-3</v>
      </c>
      <c r="AN16">
        <v>-1.5E-3</v>
      </c>
      <c r="AO16" s="16">
        <v>2.5000000000000001E-2</v>
      </c>
      <c r="AP16" s="16">
        <v>-2.5000000000000001E-2</v>
      </c>
      <c r="AQ16">
        <v>1.4999999999999999E-2</v>
      </c>
      <c r="AR16">
        <v>-1.4999999999999999E-2</v>
      </c>
      <c r="AS16">
        <v>1E-3</v>
      </c>
      <c r="AT16">
        <v>-1E-3</v>
      </c>
      <c r="AU16">
        <v>1E-3</v>
      </c>
      <c r="AV16">
        <v>-1E-3</v>
      </c>
      <c r="AW16" s="16">
        <v>1.4999999999999999E-2</v>
      </c>
      <c r="AX16" s="16">
        <v>-1.4999999999999999E-2</v>
      </c>
      <c r="JP16">
        <v>30.502684236212787</v>
      </c>
      <c r="JQ16">
        <v>28.935185185185187</v>
      </c>
    </row>
    <row r="17" spans="1:279" customFormat="1">
      <c r="A17" s="2">
        <v>12</v>
      </c>
      <c r="B17" s="2">
        <v>3.1223900000000002</v>
      </c>
      <c r="C17" s="2">
        <v>0.28932200000000002</v>
      </c>
      <c r="D17" s="2">
        <v>0.2777</v>
      </c>
      <c r="E17" s="2">
        <v>28.319299999999998</v>
      </c>
      <c r="F17" s="17">
        <f t="shared" si="0"/>
        <v>44252.694872685184</v>
      </c>
      <c r="G17" s="9">
        <v>44252.694872685184</v>
      </c>
      <c r="H17" s="25">
        <v>1</v>
      </c>
      <c r="I17" s="5">
        <v>3.113</v>
      </c>
      <c r="J17" s="5">
        <v>0.28871000000000002</v>
      </c>
      <c r="K17" s="5">
        <v>0.28067999999999999</v>
      </c>
      <c r="L17" s="5">
        <v>26.798999999999999</v>
      </c>
      <c r="M17" s="5">
        <v>2</v>
      </c>
      <c r="N17" s="5">
        <v>3.1110000000000002</v>
      </c>
      <c r="O17" s="5">
        <v>0.28656999999999999</v>
      </c>
      <c r="P17" s="5">
        <v>0.27072000000000002</v>
      </c>
      <c r="Q17" s="5">
        <v>28.135000000000002</v>
      </c>
      <c r="R17" s="5">
        <v>3</v>
      </c>
      <c r="S17" s="5">
        <v>3.1030000000000002</v>
      </c>
      <c r="T17" s="5">
        <v>0.28106999999999999</v>
      </c>
      <c r="U17" s="5">
        <v>0.26390000000000002</v>
      </c>
      <c r="V17" s="5">
        <v>27.603000000000002</v>
      </c>
      <c r="W17" s="22">
        <f t="shared" si="1"/>
        <v>-2.0000000000131024E-5</v>
      </c>
      <c r="X17" s="21">
        <f t="shared" si="2"/>
        <v>-4.669999999999952E-4</v>
      </c>
      <c r="Y17" s="21">
        <f t="shared" si="3"/>
        <v>8.099999999999774E-5</v>
      </c>
      <c r="Z17" s="11">
        <f t="shared" si="4"/>
        <v>-8.7000909958496742E-3</v>
      </c>
      <c r="AA17" s="22">
        <f t="shared" si="5"/>
        <v>-7.8999999999984638E-4</v>
      </c>
      <c r="AB17" s="21">
        <f t="shared" si="6"/>
        <v>-3.4959999999999991E-3</v>
      </c>
      <c r="AC17" s="21">
        <f t="shared" si="7"/>
        <v>-9.6229999999999927E-3</v>
      </c>
      <c r="AD17" s="11">
        <f t="shared" si="8"/>
        <v>2.6941004274206204E-2</v>
      </c>
      <c r="AE17" s="22">
        <f t="shared" si="9"/>
        <v>-4.8199999999996024E-3</v>
      </c>
      <c r="AF17" s="21">
        <f t="shared" si="10"/>
        <v>-8.6189999999999878E-3</v>
      </c>
      <c r="AG17" s="21">
        <f t="shared" si="11"/>
        <v>-1.7654999999999976E-2</v>
      </c>
      <c r="AH17" s="11">
        <f t="shared" si="12"/>
        <v>1.4070536370315967E-2</v>
      </c>
      <c r="AI17">
        <v>2.5000000000000001E-2</v>
      </c>
      <c r="AJ17">
        <v>-2.5000000000000001E-2</v>
      </c>
      <c r="AK17">
        <v>1.5E-3</v>
      </c>
      <c r="AL17">
        <v>-1.5E-3</v>
      </c>
      <c r="AM17">
        <v>1.5E-3</v>
      </c>
      <c r="AN17">
        <v>-1.5E-3</v>
      </c>
      <c r="AO17" s="16">
        <v>2.5000000000000001E-2</v>
      </c>
      <c r="AP17" s="16">
        <v>-2.5000000000000001E-2</v>
      </c>
      <c r="AQ17">
        <v>1.4999999999999999E-2</v>
      </c>
      <c r="AR17">
        <v>-1.4999999999999999E-2</v>
      </c>
      <c r="AS17">
        <v>1E-3</v>
      </c>
      <c r="AT17">
        <v>-1E-3</v>
      </c>
      <c r="AU17">
        <v>1E-3</v>
      </c>
      <c r="AV17">
        <v>-1E-3</v>
      </c>
      <c r="AW17" s="16">
        <v>1.4999999999999999E-2</v>
      </c>
      <c r="AX17" s="16">
        <v>-1.4999999999999999E-2</v>
      </c>
    </row>
    <row r="18" spans="1:279" customFormat="1">
      <c r="A18" s="2">
        <v>13</v>
      </c>
      <c r="B18" s="2">
        <v>3.1213500000000001</v>
      </c>
      <c r="C18" s="2">
        <v>0.288327</v>
      </c>
      <c r="D18" s="2">
        <v>0.27486100000000002</v>
      </c>
      <c r="E18" s="2">
        <v>28.376899999999999</v>
      </c>
      <c r="F18" s="17">
        <f t="shared" si="0"/>
        <v>44253.651921296296</v>
      </c>
      <c r="G18" s="9">
        <v>44253.651921296296</v>
      </c>
      <c r="H18" s="25">
        <v>1</v>
      </c>
      <c r="I18" s="5">
        <v>3.113</v>
      </c>
      <c r="J18" s="5">
        <v>0.28864000000000001</v>
      </c>
      <c r="K18" s="5">
        <v>0.28050999999999998</v>
      </c>
      <c r="L18" s="5">
        <v>26.885999999999999</v>
      </c>
      <c r="M18" s="5">
        <v>2</v>
      </c>
      <c r="N18" s="5">
        <v>3.1120000000000001</v>
      </c>
      <c r="O18" s="5">
        <v>0.28642000000000001</v>
      </c>
      <c r="P18" s="5">
        <v>0.27029999999999998</v>
      </c>
      <c r="Q18" s="5">
        <v>28.140999999999998</v>
      </c>
      <c r="R18" s="5">
        <v>3</v>
      </c>
      <c r="S18" s="5">
        <v>3.1040000000000001</v>
      </c>
      <c r="T18" s="5">
        <v>0.28086</v>
      </c>
      <c r="U18" s="5">
        <v>0.26382</v>
      </c>
      <c r="V18" s="5">
        <v>27.684999999999999</v>
      </c>
      <c r="W18" s="22">
        <f t="shared" si="1"/>
        <v>-2.0000000000131024E-5</v>
      </c>
      <c r="X18" s="21">
        <f t="shared" si="2"/>
        <v>-5.3700000000000969E-4</v>
      </c>
      <c r="Y18" s="21">
        <f t="shared" si="3"/>
        <v>-8.9000000000005741E-5</v>
      </c>
      <c r="Z18" s="11">
        <f t="shared" si="4"/>
        <v>-5.4819450917725776E-3</v>
      </c>
      <c r="AA18" s="22">
        <f t="shared" si="5"/>
        <v>2.1000000000004349E-4</v>
      </c>
      <c r="AB18" s="21">
        <f t="shared" si="6"/>
        <v>-3.6459999999999826E-3</v>
      </c>
      <c r="AC18" s="21">
        <f t="shared" si="7"/>
        <v>-1.0043000000000024E-2</v>
      </c>
      <c r="AD18" s="11">
        <f t="shared" si="8"/>
        <v>2.7160007154094057E-2</v>
      </c>
      <c r="AE18" s="22">
        <f t="shared" si="9"/>
        <v>-3.8199999999997125E-3</v>
      </c>
      <c r="AF18" s="21">
        <f t="shared" si="10"/>
        <v>-8.8289999999999758E-3</v>
      </c>
      <c r="AG18" s="21">
        <f t="shared" si="11"/>
        <v>-1.7735000000000001E-2</v>
      </c>
      <c r="AH18" s="11">
        <f t="shared" si="12"/>
        <v>1.708302718589283E-2</v>
      </c>
      <c r="AI18">
        <v>2.5000000000000001E-2</v>
      </c>
      <c r="AJ18">
        <v>-2.5000000000000001E-2</v>
      </c>
      <c r="AK18">
        <v>1.5E-3</v>
      </c>
      <c r="AL18">
        <v>-1.5E-3</v>
      </c>
      <c r="AM18">
        <v>1.5E-3</v>
      </c>
      <c r="AN18">
        <v>-1.5E-3</v>
      </c>
      <c r="AO18" s="16">
        <v>2.5000000000000001E-2</v>
      </c>
      <c r="AP18" s="16">
        <v>-2.5000000000000001E-2</v>
      </c>
      <c r="AQ18">
        <v>1.4999999999999999E-2</v>
      </c>
      <c r="AR18">
        <v>-1.4999999999999999E-2</v>
      </c>
      <c r="AS18">
        <v>1E-3</v>
      </c>
      <c r="AT18">
        <v>-1E-3</v>
      </c>
      <c r="AU18">
        <v>1E-3</v>
      </c>
      <c r="AV18">
        <v>-1E-3</v>
      </c>
      <c r="AW18" s="16">
        <v>1.4999999999999999E-2</v>
      </c>
      <c r="AX18" s="16">
        <v>-1.4999999999999999E-2</v>
      </c>
      <c r="JQ18">
        <v>24.187306501547987</v>
      </c>
      <c r="JR18">
        <v>27.64263600176913</v>
      </c>
      <c r="JS18">
        <v>24.187306501547987</v>
      </c>
    </row>
    <row r="19" spans="1:279" customFormat="1">
      <c r="A19" s="2">
        <v>14</v>
      </c>
      <c r="B19" s="2">
        <v>3.1144400000000001</v>
      </c>
      <c r="C19" s="2">
        <v>0.28959099999999999</v>
      </c>
      <c r="D19" s="2">
        <v>0.27601300000000001</v>
      </c>
      <c r="E19" s="2">
        <v>28.756699999999999</v>
      </c>
      <c r="F19" s="17" t="str">
        <f t="shared" si="0"/>
        <v/>
      </c>
      <c r="G19" s="9"/>
      <c r="H19" s="25">
        <v>1</v>
      </c>
      <c r="I19" s="5"/>
      <c r="J19" s="5"/>
      <c r="K19" s="5"/>
      <c r="L19" s="5"/>
      <c r="M19" s="5">
        <v>2</v>
      </c>
      <c r="N19" s="5"/>
      <c r="O19" s="5"/>
      <c r="P19" s="5"/>
      <c r="Q19" s="5"/>
      <c r="R19" s="5">
        <v>3</v>
      </c>
      <c r="S19" s="5"/>
      <c r="T19" s="5"/>
      <c r="U19" s="5"/>
      <c r="V19" s="5"/>
      <c r="W19" s="22">
        <f t="shared" si="1"/>
        <v>-3.1130200000000001</v>
      </c>
      <c r="X19" s="21">
        <f t="shared" si="2"/>
        <v>-0.28917700000000002</v>
      </c>
      <c r="Y19" s="21">
        <f t="shared" si="3"/>
        <v>-0.28059899999999999</v>
      </c>
      <c r="Z19" s="11">
        <f t="shared" si="4"/>
        <v>-1</v>
      </c>
      <c r="AA19" s="22">
        <f t="shared" si="5"/>
        <v>-3.1117900000000001</v>
      </c>
      <c r="AB19" s="21">
        <f t="shared" si="6"/>
        <v>-0.29006599999999999</v>
      </c>
      <c r="AC19" s="21">
        <f t="shared" si="7"/>
        <v>-0.28034300000000001</v>
      </c>
      <c r="AD19" s="11">
        <f t="shared" si="8"/>
        <v>-1</v>
      </c>
      <c r="AE19" s="22">
        <f t="shared" si="9"/>
        <v>-3.1078199999999998</v>
      </c>
      <c r="AF19" s="21">
        <f t="shared" si="10"/>
        <v>-0.28968899999999997</v>
      </c>
      <c r="AG19" s="21">
        <f t="shared" si="11"/>
        <v>-0.281555</v>
      </c>
      <c r="AH19" s="11">
        <f t="shared" si="12"/>
        <v>-1</v>
      </c>
      <c r="AI19">
        <v>2.5000000000000001E-2</v>
      </c>
      <c r="AJ19">
        <v>-2.5000000000000001E-2</v>
      </c>
      <c r="AK19">
        <v>1.5E-3</v>
      </c>
      <c r="AL19">
        <v>-1.5E-3</v>
      </c>
      <c r="AM19">
        <v>1.5E-3</v>
      </c>
      <c r="AN19">
        <v>-1.5E-3</v>
      </c>
      <c r="AO19" s="16">
        <v>2.5000000000000001E-2</v>
      </c>
      <c r="AP19" s="16">
        <v>-2.5000000000000001E-2</v>
      </c>
      <c r="AQ19">
        <v>1.4999999999999999E-2</v>
      </c>
      <c r="AR19">
        <v>-1.4999999999999999E-2</v>
      </c>
      <c r="AS19">
        <v>1E-3</v>
      </c>
      <c r="AT19">
        <v>-1E-3</v>
      </c>
      <c r="AU19">
        <v>1E-3</v>
      </c>
      <c r="AV19">
        <v>-1E-3</v>
      </c>
      <c r="AW19" s="16">
        <v>1.4999999999999999E-2</v>
      </c>
      <c r="AX19" s="16">
        <v>-1.4999999999999999E-2</v>
      </c>
    </row>
    <row r="20" spans="1:279" customFormat="1">
      <c r="A20" s="2">
        <v>15</v>
      </c>
      <c r="B20" s="2">
        <v>3.12513</v>
      </c>
      <c r="C20" s="2">
        <v>0.28943200000000002</v>
      </c>
      <c r="D20" s="2">
        <v>0.27723500000000001</v>
      </c>
      <c r="E20" s="2">
        <v>28.385200000000001</v>
      </c>
      <c r="F20" s="17" t="str">
        <f t="shared" si="0"/>
        <v/>
      </c>
      <c r="G20" s="9"/>
      <c r="H20" s="25">
        <v>1</v>
      </c>
      <c r="I20" s="5"/>
      <c r="J20" s="5"/>
      <c r="K20" s="5"/>
      <c r="L20" s="5"/>
      <c r="M20" s="5">
        <v>2</v>
      </c>
      <c r="N20" s="5"/>
      <c r="O20" s="5"/>
      <c r="P20" s="5"/>
      <c r="Q20" s="5"/>
      <c r="R20" s="5">
        <v>3</v>
      </c>
      <c r="S20" s="5"/>
      <c r="T20" s="5"/>
      <c r="U20" s="5"/>
      <c r="V20" s="5"/>
      <c r="W20" s="22">
        <f t="shared" si="1"/>
        <v>-3.1130200000000001</v>
      </c>
      <c r="X20" s="21">
        <f t="shared" si="2"/>
        <v>-0.28917700000000002</v>
      </c>
      <c r="Y20" s="21">
        <f t="shared" si="3"/>
        <v>-0.28059899999999999</v>
      </c>
      <c r="Z20" s="11">
        <f t="shared" si="4"/>
        <v>-1</v>
      </c>
      <c r="AA20" s="22">
        <f t="shared" si="5"/>
        <v>-3.1117900000000001</v>
      </c>
      <c r="AB20" s="21">
        <f t="shared" si="6"/>
        <v>-0.29006599999999999</v>
      </c>
      <c r="AC20" s="21">
        <f t="shared" si="7"/>
        <v>-0.28034300000000001</v>
      </c>
      <c r="AD20" s="11">
        <f t="shared" si="8"/>
        <v>-1</v>
      </c>
      <c r="AE20" s="22">
        <f t="shared" si="9"/>
        <v>-3.1078199999999998</v>
      </c>
      <c r="AF20" s="21">
        <f t="shared" si="10"/>
        <v>-0.28968899999999997</v>
      </c>
      <c r="AG20" s="21">
        <f t="shared" si="11"/>
        <v>-0.281555</v>
      </c>
      <c r="AH20" s="11">
        <f t="shared" si="12"/>
        <v>-1</v>
      </c>
      <c r="AI20">
        <v>2.5000000000000001E-2</v>
      </c>
      <c r="AJ20">
        <v>-2.5000000000000001E-2</v>
      </c>
      <c r="AK20">
        <v>1.5E-3</v>
      </c>
      <c r="AL20">
        <v>-1.5E-3</v>
      </c>
      <c r="AM20">
        <v>1.5E-3</v>
      </c>
      <c r="AN20">
        <v>-1.5E-3</v>
      </c>
      <c r="AO20" s="16">
        <v>2.5000000000000001E-2</v>
      </c>
      <c r="AP20" s="16">
        <v>-2.5000000000000001E-2</v>
      </c>
      <c r="AQ20">
        <v>1.4999999999999999E-2</v>
      </c>
      <c r="AR20">
        <v>-1.4999999999999999E-2</v>
      </c>
      <c r="AS20">
        <v>1E-3</v>
      </c>
      <c r="AT20">
        <v>-1E-3</v>
      </c>
      <c r="AU20">
        <v>1E-3</v>
      </c>
      <c r="AV20">
        <v>-1E-3</v>
      </c>
      <c r="AW20" s="16">
        <v>1.4999999999999999E-2</v>
      </c>
      <c r="AX20" s="16">
        <v>-1.4999999999999999E-2</v>
      </c>
      <c r="JP20">
        <v>27.64263600176913</v>
      </c>
      <c r="JQ20">
        <v>26.386152547143258</v>
      </c>
    </row>
    <row r="21" spans="1:279" customFormat="1">
      <c r="A21" s="2">
        <v>16</v>
      </c>
      <c r="B21" s="2">
        <v>3.1189800000000001</v>
      </c>
      <c r="C21" s="2">
        <v>0.28695900000000002</v>
      </c>
      <c r="D21" s="2">
        <v>0.27294600000000002</v>
      </c>
      <c r="E21" s="2">
        <v>28.0854</v>
      </c>
      <c r="F21" s="17" t="str">
        <f t="shared" si="0"/>
        <v/>
      </c>
      <c r="G21" s="9"/>
      <c r="H21" s="25">
        <v>1</v>
      </c>
      <c r="I21" s="5"/>
      <c r="J21" s="5"/>
      <c r="K21" s="5"/>
      <c r="L21" s="5"/>
      <c r="M21" s="5">
        <v>2</v>
      </c>
      <c r="N21" s="5"/>
      <c r="O21" s="5"/>
      <c r="P21" s="5"/>
      <c r="Q21" s="5"/>
      <c r="R21" s="5">
        <v>3</v>
      </c>
      <c r="S21" s="5"/>
      <c r="T21" s="5"/>
      <c r="U21" s="5"/>
      <c r="V21" s="5"/>
      <c r="W21" s="22">
        <f t="shared" si="1"/>
        <v>-3.1130200000000001</v>
      </c>
      <c r="X21" s="21">
        <f t="shared" si="2"/>
        <v>-0.28917700000000002</v>
      </c>
      <c r="Y21" s="21">
        <f t="shared" si="3"/>
        <v>-0.28059899999999999</v>
      </c>
      <c r="Z21" s="11">
        <f t="shared" si="4"/>
        <v>-1</v>
      </c>
      <c r="AA21" s="22">
        <f t="shared" si="5"/>
        <v>-3.1117900000000001</v>
      </c>
      <c r="AB21" s="21">
        <f t="shared" si="6"/>
        <v>-0.29006599999999999</v>
      </c>
      <c r="AC21" s="21">
        <f t="shared" si="7"/>
        <v>-0.28034300000000001</v>
      </c>
      <c r="AD21" s="11">
        <f t="shared" si="8"/>
        <v>-1</v>
      </c>
      <c r="AE21" s="22">
        <f t="shared" si="9"/>
        <v>-3.1078199999999998</v>
      </c>
      <c r="AF21" s="21">
        <f t="shared" si="10"/>
        <v>-0.28968899999999997</v>
      </c>
      <c r="AG21" s="21">
        <f t="shared" si="11"/>
        <v>-0.281555</v>
      </c>
      <c r="AH21" s="11">
        <f t="shared" si="12"/>
        <v>-1</v>
      </c>
      <c r="AI21">
        <v>2.5000000000000001E-2</v>
      </c>
      <c r="AJ21">
        <v>-2.5000000000000001E-2</v>
      </c>
      <c r="AK21">
        <v>1.5E-3</v>
      </c>
      <c r="AL21">
        <v>-1.5E-3</v>
      </c>
      <c r="AM21">
        <v>1.5E-3</v>
      </c>
      <c r="AN21">
        <v>-1.5E-3</v>
      </c>
      <c r="AO21" s="16">
        <v>2.5000000000000001E-2</v>
      </c>
      <c r="AP21" s="16">
        <v>-2.5000000000000001E-2</v>
      </c>
      <c r="AQ21">
        <v>1.4999999999999999E-2</v>
      </c>
      <c r="AR21">
        <v>-1.4999999999999999E-2</v>
      </c>
      <c r="AS21">
        <v>1E-3</v>
      </c>
      <c r="AT21">
        <v>-1E-3</v>
      </c>
      <c r="AU21">
        <v>1E-3</v>
      </c>
      <c r="AV21">
        <v>-1E-3</v>
      </c>
      <c r="AW21" s="16">
        <v>1.4999999999999999E-2</v>
      </c>
      <c r="AX21" s="16">
        <v>-1.4999999999999999E-2</v>
      </c>
      <c r="JP21">
        <v>28.935185185185187</v>
      </c>
      <c r="JQ21">
        <v>28.935185185185187</v>
      </c>
    </row>
    <row r="22" spans="1:279" customFormat="1">
      <c r="A22" s="2">
        <v>17</v>
      </c>
      <c r="B22" s="2">
        <v>3.1138699999999999</v>
      </c>
      <c r="C22" s="2">
        <v>0.28690100000000002</v>
      </c>
      <c r="D22" s="2">
        <v>0.27251999999999998</v>
      </c>
      <c r="E22" s="2">
        <v>28.151499999999999</v>
      </c>
      <c r="F22" s="17" t="str">
        <f t="shared" si="0"/>
        <v/>
      </c>
      <c r="G22" s="9"/>
      <c r="H22" s="25">
        <v>1</v>
      </c>
      <c r="I22" s="5"/>
      <c r="J22" s="5"/>
      <c r="K22" s="5"/>
      <c r="L22" s="5"/>
      <c r="M22" s="5">
        <v>2</v>
      </c>
      <c r="N22" s="5"/>
      <c r="O22" s="5"/>
      <c r="P22" s="5"/>
      <c r="Q22" s="5"/>
      <c r="R22" s="5">
        <v>3</v>
      </c>
      <c r="S22" s="5"/>
      <c r="T22" s="5"/>
      <c r="U22" s="5"/>
      <c r="V22" s="5"/>
      <c r="W22" s="22">
        <f t="shared" si="1"/>
        <v>-3.1130200000000001</v>
      </c>
      <c r="X22" s="21">
        <f t="shared" si="2"/>
        <v>-0.28917700000000002</v>
      </c>
      <c r="Y22" s="21">
        <f t="shared" si="3"/>
        <v>-0.28059899999999999</v>
      </c>
      <c r="Z22" s="11">
        <f t="shared" si="4"/>
        <v>-1</v>
      </c>
      <c r="AA22" s="22">
        <f t="shared" si="5"/>
        <v>-3.1117900000000001</v>
      </c>
      <c r="AB22" s="21">
        <f t="shared" si="6"/>
        <v>-0.29006599999999999</v>
      </c>
      <c r="AC22" s="21">
        <f t="shared" si="7"/>
        <v>-0.28034300000000001</v>
      </c>
      <c r="AD22" s="11">
        <f t="shared" si="8"/>
        <v>-1</v>
      </c>
      <c r="AE22" s="22">
        <f t="shared" si="9"/>
        <v>-3.1078199999999998</v>
      </c>
      <c r="AF22" s="21">
        <f t="shared" si="10"/>
        <v>-0.28968899999999997</v>
      </c>
      <c r="AG22" s="21">
        <f t="shared" si="11"/>
        <v>-0.281555</v>
      </c>
      <c r="AH22" s="11">
        <f t="shared" si="12"/>
        <v>-1</v>
      </c>
      <c r="AI22">
        <v>2.5000000000000001E-2</v>
      </c>
      <c r="AJ22">
        <v>-2.5000000000000001E-2</v>
      </c>
      <c r="AK22">
        <v>1.5E-3</v>
      </c>
      <c r="AL22">
        <v>-1.5E-3</v>
      </c>
      <c r="AM22">
        <v>1.5E-3</v>
      </c>
      <c r="AN22">
        <v>-1.5E-3</v>
      </c>
      <c r="AO22" s="16">
        <v>2.5000000000000001E-2</v>
      </c>
      <c r="AP22" s="16">
        <v>-2.5000000000000001E-2</v>
      </c>
      <c r="AQ22">
        <v>1.4999999999999999E-2</v>
      </c>
      <c r="AR22">
        <v>-1.4999999999999999E-2</v>
      </c>
      <c r="AS22">
        <v>1E-3</v>
      </c>
      <c r="AT22">
        <v>-1E-3</v>
      </c>
      <c r="AU22">
        <v>1E-3</v>
      </c>
      <c r="AV22">
        <v>-1E-3</v>
      </c>
      <c r="AW22" s="16">
        <v>1.4999999999999999E-2</v>
      </c>
      <c r="AX22" s="16">
        <v>-1.4999999999999999E-2</v>
      </c>
    </row>
    <row r="23" spans="1:279" customFormat="1">
      <c r="A23" s="2">
        <v>18</v>
      </c>
      <c r="B23" s="2">
        <v>3.11321</v>
      </c>
      <c r="C23" s="2">
        <v>0.287605</v>
      </c>
      <c r="D23" s="2">
        <v>0.27456799999999998</v>
      </c>
      <c r="E23" s="2">
        <v>28.0138</v>
      </c>
      <c r="F23" s="17" t="str">
        <f t="shared" si="0"/>
        <v/>
      </c>
      <c r="G23" s="9"/>
      <c r="H23" s="25">
        <v>1</v>
      </c>
      <c r="I23" s="5"/>
      <c r="J23" s="5"/>
      <c r="K23" s="5"/>
      <c r="L23" s="5"/>
      <c r="M23" s="5">
        <v>2</v>
      </c>
      <c r="N23" s="5"/>
      <c r="O23" s="5"/>
      <c r="P23" s="5"/>
      <c r="Q23" s="5"/>
      <c r="R23" s="5">
        <v>3</v>
      </c>
      <c r="S23" s="5"/>
      <c r="T23" s="5"/>
      <c r="U23" s="5"/>
      <c r="V23" s="5"/>
      <c r="W23" s="22">
        <f t="shared" si="1"/>
        <v>-3.1130200000000001</v>
      </c>
      <c r="X23" s="21">
        <f t="shared" si="2"/>
        <v>-0.28917700000000002</v>
      </c>
      <c r="Y23" s="21">
        <f t="shared" si="3"/>
        <v>-0.28059899999999999</v>
      </c>
      <c r="Z23" s="11">
        <f t="shared" si="4"/>
        <v>-1</v>
      </c>
      <c r="AA23" s="22">
        <f t="shared" si="5"/>
        <v>-3.1117900000000001</v>
      </c>
      <c r="AB23" s="21">
        <f t="shared" si="6"/>
        <v>-0.29006599999999999</v>
      </c>
      <c r="AC23" s="21">
        <f t="shared" si="7"/>
        <v>-0.28034300000000001</v>
      </c>
      <c r="AD23" s="11">
        <f t="shared" si="8"/>
        <v>-1</v>
      </c>
      <c r="AE23" s="22">
        <f t="shared" si="9"/>
        <v>-3.1078199999999998</v>
      </c>
      <c r="AF23" s="21">
        <f t="shared" si="10"/>
        <v>-0.28968899999999997</v>
      </c>
      <c r="AG23" s="21">
        <f t="shared" si="11"/>
        <v>-0.281555</v>
      </c>
      <c r="AH23" s="11">
        <f t="shared" si="12"/>
        <v>-1</v>
      </c>
      <c r="AI23">
        <v>2.5000000000000001E-2</v>
      </c>
      <c r="AJ23">
        <v>-2.5000000000000001E-2</v>
      </c>
      <c r="AK23">
        <v>1.5E-3</v>
      </c>
      <c r="AL23">
        <v>-1.5E-3</v>
      </c>
      <c r="AM23">
        <v>1.5E-3</v>
      </c>
      <c r="AN23">
        <v>-1.5E-3</v>
      </c>
      <c r="AO23" s="16">
        <v>2.5000000000000001E-2</v>
      </c>
      <c r="AP23" s="16">
        <v>-2.5000000000000001E-2</v>
      </c>
      <c r="AQ23">
        <v>1.4999999999999999E-2</v>
      </c>
      <c r="AR23">
        <v>-1.4999999999999999E-2</v>
      </c>
      <c r="AS23">
        <v>1E-3</v>
      </c>
      <c r="AT23">
        <v>-1E-3</v>
      </c>
      <c r="AU23">
        <v>1E-3</v>
      </c>
      <c r="AV23">
        <v>-1E-3</v>
      </c>
      <c r="AW23" s="16">
        <v>1.4999999999999999E-2</v>
      </c>
      <c r="AX23" s="16">
        <v>-1.4999999999999999E-2</v>
      </c>
    </row>
    <row r="24" spans="1:279" customFormat="1">
      <c r="A24" s="2">
        <v>19</v>
      </c>
      <c r="B24" s="2">
        <v>3.1223900000000002</v>
      </c>
      <c r="C24" s="2">
        <v>0.287325</v>
      </c>
      <c r="D24" s="2">
        <v>0.272567</v>
      </c>
      <c r="E24" s="2">
        <v>28.121700000000001</v>
      </c>
      <c r="F24" s="17" t="str">
        <f t="shared" si="0"/>
        <v/>
      </c>
      <c r="G24" s="9"/>
      <c r="H24" s="25">
        <v>1</v>
      </c>
      <c r="I24" s="5"/>
      <c r="J24" s="5"/>
      <c r="K24" s="5"/>
      <c r="L24" s="5"/>
      <c r="M24" s="5">
        <v>2</v>
      </c>
      <c r="N24" s="5"/>
      <c r="O24" s="5"/>
      <c r="P24" s="5"/>
      <c r="Q24" s="5"/>
      <c r="R24" s="5">
        <v>3</v>
      </c>
      <c r="S24" s="5"/>
      <c r="T24" s="5"/>
      <c r="U24" s="5"/>
      <c r="V24" s="5"/>
      <c r="W24" s="22">
        <f t="shared" si="1"/>
        <v>-3.1130200000000001</v>
      </c>
      <c r="X24" s="21">
        <f t="shared" si="2"/>
        <v>-0.28917700000000002</v>
      </c>
      <c r="Y24" s="21">
        <f t="shared" si="3"/>
        <v>-0.28059899999999999</v>
      </c>
      <c r="Z24" s="11">
        <f t="shared" si="4"/>
        <v>-1</v>
      </c>
      <c r="AA24" s="22">
        <f t="shared" si="5"/>
        <v>-3.1117900000000001</v>
      </c>
      <c r="AB24" s="21">
        <f t="shared" si="6"/>
        <v>-0.29006599999999999</v>
      </c>
      <c r="AC24" s="21">
        <f t="shared" si="7"/>
        <v>-0.28034300000000001</v>
      </c>
      <c r="AD24" s="11">
        <f t="shared" si="8"/>
        <v>-1</v>
      </c>
      <c r="AE24" s="22">
        <f t="shared" si="9"/>
        <v>-3.1078199999999998</v>
      </c>
      <c r="AF24" s="21">
        <f t="shared" si="10"/>
        <v>-0.28968899999999997</v>
      </c>
      <c r="AG24" s="21">
        <f t="shared" si="11"/>
        <v>-0.281555</v>
      </c>
      <c r="AH24" s="11">
        <f t="shared" si="12"/>
        <v>-1</v>
      </c>
      <c r="AI24">
        <v>2.5000000000000001E-2</v>
      </c>
      <c r="AJ24">
        <v>-2.5000000000000001E-2</v>
      </c>
      <c r="AK24">
        <v>1.5E-3</v>
      </c>
      <c r="AL24">
        <v>-1.5E-3</v>
      </c>
      <c r="AM24">
        <v>1.5E-3</v>
      </c>
      <c r="AN24">
        <v>-1.5E-3</v>
      </c>
      <c r="AO24" s="16">
        <v>2.5000000000000001E-2</v>
      </c>
      <c r="AP24" s="16">
        <v>-2.5000000000000001E-2</v>
      </c>
      <c r="AQ24">
        <v>1.4999999999999999E-2</v>
      </c>
      <c r="AR24">
        <v>-1.4999999999999999E-2</v>
      </c>
      <c r="AS24">
        <v>1E-3</v>
      </c>
      <c r="AT24">
        <v>-1E-3</v>
      </c>
      <c r="AU24">
        <v>1E-3</v>
      </c>
      <c r="AV24">
        <v>-1E-3</v>
      </c>
      <c r="AW24" s="16">
        <v>1.4999999999999999E-2</v>
      </c>
      <c r="AX24" s="16">
        <v>-1.4999999999999999E-2</v>
      </c>
    </row>
    <row r="25" spans="1:279" customFormat="1">
      <c r="A25" s="2">
        <v>20</v>
      </c>
      <c r="B25" s="2">
        <v>3.1193599999999999</v>
      </c>
      <c r="C25" s="2">
        <v>0.287684</v>
      </c>
      <c r="D25" s="2">
        <v>0.27111400000000002</v>
      </c>
      <c r="E25" s="2">
        <v>28.161799999999999</v>
      </c>
      <c r="F25" s="17" t="str">
        <f t="shared" si="0"/>
        <v/>
      </c>
      <c r="G25" s="9"/>
      <c r="H25" s="25">
        <v>1</v>
      </c>
      <c r="I25" s="5"/>
      <c r="J25" s="5"/>
      <c r="K25" s="5"/>
      <c r="L25" s="5"/>
      <c r="M25" s="5">
        <v>2</v>
      </c>
      <c r="N25" s="5"/>
      <c r="O25" s="5"/>
      <c r="P25" s="5"/>
      <c r="Q25" s="5"/>
      <c r="R25" s="5">
        <v>3</v>
      </c>
      <c r="S25" s="5"/>
      <c r="T25" s="5"/>
      <c r="U25" s="5"/>
      <c r="V25" s="5"/>
      <c r="W25" s="22">
        <f t="shared" si="1"/>
        <v>-3.1130200000000001</v>
      </c>
      <c r="X25" s="21">
        <f t="shared" si="2"/>
        <v>-0.28917700000000002</v>
      </c>
      <c r="Y25" s="21">
        <f t="shared" si="3"/>
        <v>-0.28059899999999999</v>
      </c>
      <c r="Z25" s="11">
        <f t="shared" si="4"/>
        <v>-1</v>
      </c>
      <c r="AA25" s="22">
        <f t="shared" si="5"/>
        <v>-3.1117900000000001</v>
      </c>
      <c r="AB25" s="21">
        <f t="shared" si="6"/>
        <v>-0.29006599999999999</v>
      </c>
      <c r="AC25" s="21">
        <f t="shared" si="7"/>
        <v>-0.28034300000000001</v>
      </c>
      <c r="AD25" s="11">
        <f t="shared" si="8"/>
        <v>-1</v>
      </c>
      <c r="AE25" s="22">
        <f t="shared" si="9"/>
        <v>-3.1078199999999998</v>
      </c>
      <c r="AF25" s="21">
        <f t="shared" si="10"/>
        <v>-0.28968899999999997</v>
      </c>
      <c r="AG25" s="21">
        <f t="shared" si="11"/>
        <v>-0.281555</v>
      </c>
      <c r="AH25" s="11">
        <f t="shared" si="12"/>
        <v>-1</v>
      </c>
      <c r="AI25">
        <v>2.5000000000000001E-2</v>
      </c>
      <c r="AJ25">
        <v>-2.5000000000000001E-2</v>
      </c>
      <c r="AK25">
        <v>1.5E-3</v>
      </c>
      <c r="AL25">
        <v>-1.5E-3</v>
      </c>
      <c r="AM25">
        <v>1.5E-3</v>
      </c>
      <c r="AN25">
        <v>-1.5E-3</v>
      </c>
      <c r="AO25" s="16">
        <v>2.5000000000000001E-2</v>
      </c>
      <c r="AP25" s="16">
        <v>-2.5000000000000001E-2</v>
      </c>
      <c r="AQ25">
        <v>1.4999999999999999E-2</v>
      </c>
      <c r="AR25">
        <v>-1.4999999999999999E-2</v>
      </c>
      <c r="AS25">
        <v>1E-3</v>
      </c>
      <c r="AT25">
        <v>-1E-3</v>
      </c>
      <c r="AU25">
        <v>1E-3</v>
      </c>
      <c r="AV25">
        <v>-1E-3</v>
      </c>
      <c r="AW25" s="16">
        <v>1.4999999999999999E-2</v>
      </c>
      <c r="AX25" s="16">
        <v>-1.4999999999999999E-2</v>
      </c>
    </row>
    <row r="26" spans="1:279" customFormat="1">
      <c r="A26" s="2">
        <v>21</v>
      </c>
      <c r="B26" s="2">
        <v>3.1207799999999999</v>
      </c>
      <c r="C26" s="2">
        <v>0.28349000000000002</v>
      </c>
      <c r="D26" s="2">
        <v>0.26702599999999999</v>
      </c>
      <c r="E26" s="2">
        <v>27.9697</v>
      </c>
      <c r="F26" s="17" t="str">
        <f t="shared" si="0"/>
        <v/>
      </c>
      <c r="G26" s="9"/>
      <c r="H26" s="25">
        <v>1</v>
      </c>
      <c r="I26" s="5"/>
      <c r="J26" s="5"/>
      <c r="K26" s="5"/>
      <c r="L26" s="5"/>
      <c r="M26" s="5">
        <v>2</v>
      </c>
      <c r="N26" s="5"/>
      <c r="O26" s="5"/>
      <c r="P26" s="5"/>
      <c r="Q26" s="5"/>
      <c r="R26" s="5">
        <v>3</v>
      </c>
      <c r="S26" s="5"/>
      <c r="T26" s="5"/>
      <c r="U26" s="5"/>
      <c r="V26" s="5"/>
      <c r="W26" s="22">
        <f t="shared" si="1"/>
        <v>-3.1130200000000001</v>
      </c>
      <c r="X26" s="21">
        <f t="shared" si="2"/>
        <v>-0.28917700000000002</v>
      </c>
      <c r="Y26" s="21">
        <f t="shared" si="3"/>
        <v>-0.28059899999999999</v>
      </c>
      <c r="Z26" s="11">
        <f t="shared" si="4"/>
        <v>-1</v>
      </c>
      <c r="AA26" s="22">
        <f t="shared" si="5"/>
        <v>-3.1117900000000001</v>
      </c>
      <c r="AB26" s="21">
        <f t="shared" si="6"/>
        <v>-0.29006599999999999</v>
      </c>
      <c r="AC26" s="21">
        <f t="shared" si="7"/>
        <v>-0.28034300000000001</v>
      </c>
      <c r="AD26" s="11">
        <f t="shared" si="8"/>
        <v>-1</v>
      </c>
      <c r="AE26" s="22">
        <f t="shared" si="9"/>
        <v>-3.1078199999999998</v>
      </c>
      <c r="AF26" s="21">
        <f t="shared" si="10"/>
        <v>-0.28968899999999997</v>
      </c>
      <c r="AG26" s="21">
        <f t="shared" si="11"/>
        <v>-0.281555</v>
      </c>
      <c r="AH26" s="11">
        <f t="shared" si="12"/>
        <v>-1</v>
      </c>
      <c r="AI26">
        <v>2.5000000000000001E-2</v>
      </c>
      <c r="AJ26">
        <v>-2.5000000000000001E-2</v>
      </c>
      <c r="AK26">
        <v>1.5E-3</v>
      </c>
      <c r="AL26">
        <v>-1.5E-3</v>
      </c>
      <c r="AM26">
        <v>1.5E-3</v>
      </c>
      <c r="AN26">
        <v>-1.5E-3</v>
      </c>
      <c r="AO26" s="16">
        <v>2.5000000000000001E-2</v>
      </c>
      <c r="AP26" s="16">
        <v>-2.5000000000000001E-2</v>
      </c>
      <c r="AQ26">
        <v>1.4999999999999999E-2</v>
      </c>
      <c r="AR26">
        <v>-1.4999999999999999E-2</v>
      </c>
      <c r="AS26">
        <v>1E-3</v>
      </c>
      <c r="AT26">
        <v>-1E-3</v>
      </c>
      <c r="AU26">
        <v>1E-3</v>
      </c>
      <c r="AV26">
        <v>-1E-3</v>
      </c>
      <c r="AW26" s="16">
        <v>1.4999999999999999E-2</v>
      </c>
      <c r="AX26" s="16">
        <v>-1.4999999999999999E-2</v>
      </c>
    </row>
    <row r="27" spans="1:279" customFormat="1">
      <c r="A27" s="2">
        <v>22</v>
      </c>
      <c r="B27" s="2">
        <v>3.1168999999999998</v>
      </c>
      <c r="C27" s="2">
        <v>0.28172599999999998</v>
      </c>
      <c r="D27" s="2">
        <v>0.26464900000000002</v>
      </c>
      <c r="E27" s="2">
        <v>27.8948</v>
      </c>
      <c r="F27" s="17" t="str">
        <f t="shared" si="0"/>
        <v/>
      </c>
      <c r="G27" s="9"/>
      <c r="H27" s="25">
        <v>1</v>
      </c>
      <c r="I27" s="5"/>
      <c r="J27" s="5"/>
      <c r="K27" s="5"/>
      <c r="L27" s="5"/>
      <c r="M27" s="5">
        <v>2</v>
      </c>
      <c r="N27" s="5"/>
      <c r="O27" s="5"/>
      <c r="P27" s="5"/>
      <c r="Q27" s="5"/>
      <c r="R27" s="5">
        <v>3</v>
      </c>
      <c r="S27" s="5"/>
      <c r="T27" s="5"/>
      <c r="U27" s="5"/>
      <c r="V27" s="5"/>
      <c r="W27" s="22">
        <f t="shared" si="1"/>
        <v>-3.1130200000000001</v>
      </c>
      <c r="X27" s="21">
        <f t="shared" si="2"/>
        <v>-0.28917700000000002</v>
      </c>
      <c r="Y27" s="21">
        <f t="shared" si="3"/>
        <v>-0.28059899999999999</v>
      </c>
      <c r="Z27" s="11">
        <f t="shared" si="4"/>
        <v>-1</v>
      </c>
      <c r="AA27" s="22">
        <f t="shared" si="5"/>
        <v>-3.1117900000000001</v>
      </c>
      <c r="AB27" s="21">
        <f t="shared" si="6"/>
        <v>-0.29006599999999999</v>
      </c>
      <c r="AC27" s="21">
        <f t="shared" si="7"/>
        <v>-0.28034300000000001</v>
      </c>
      <c r="AD27" s="11">
        <f t="shared" si="8"/>
        <v>-1</v>
      </c>
      <c r="AE27" s="22">
        <f t="shared" si="9"/>
        <v>-3.1078199999999998</v>
      </c>
      <c r="AF27" s="21">
        <f t="shared" si="10"/>
        <v>-0.28968899999999997</v>
      </c>
      <c r="AG27" s="21">
        <f t="shared" si="11"/>
        <v>-0.281555</v>
      </c>
      <c r="AH27" s="11">
        <f t="shared" si="12"/>
        <v>-1</v>
      </c>
      <c r="AI27">
        <v>2.5000000000000001E-2</v>
      </c>
      <c r="AJ27">
        <v>-2.5000000000000001E-2</v>
      </c>
      <c r="AK27">
        <v>1.5E-3</v>
      </c>
      <c r="AL27">
        <v>-1.5E-3</v>
      </c>
      <c r="AM27">
        <v>1.5E-3</v>
      </c>
      <c r="AN27">
        <v>-1.5E-3</v>
      </c>
      <c r="AO27" s="16">
        <v>2.5000000000000001E-2</v>
      </c>
      <c r="AP27" s="16">
        <v>-2.5000000000000001E-2</v>
      </c>
      <c r="AQ27">
        <v>1.4999999999999999E-2</v>
      </c>
      <c r="AR27">
        <v>-1.4999999999999999E-2</v>
      </c>
      <c r="AS27">
        <v>1E-3</v>
      </c>
      <c r="AT27">
        <v>-1E-3</v>
      </c>
      <c r="AU27">
        <v>1E-3</v>
      </c>
      <c r="AV27">
        <v>-1E-3</v>
      </c>
      <c r="AW27" s="16">
        <v>1.4999999999999999E-2</v>
      </c>
      <c r="AX27" s="16">
        <v>-1.4999999999999999E-2</v>
      </c>
    </row>
    <row r="28" spans="1:279" customFormat="1">
      <c r="A28" s="2">
        <v>23</v>
      </c>
      <c r="B28" s="2">
        <v>3.1219199999999998</v>
      </c>
      <c r="C28" s="2">
        <v>0.284416</v>
      </c>
      <c r="D28" s="2">
        <v>0.26869900000000002</v>
      </c>
      <c r="E28" s="2">
        <v>28.0398</v>
      </c>
      <c r="F28" s="17" t="str">
        <f t="shared" si="0"/>
        <v/>
      </c>
      <c r="G28" s="9"/>
      <c r="H28" s="25">
        <v>1</v>
      </c>
      <c r="I28" s="5"/>
      <c r="J28" s="5"/>
      <c r="K28" s="5"/>
      <c r="L28" s="5"/>
      <c r="M28" s="5">
        <v>2</v>
      </c>
      <c r="N28" s="5"/>
      <c r="O28" s="5"/>
      <c r="P28" s="5"/>
      <c r="Q28" s="5"/>
      <c r="R28" s="5">
        <v>3</v>
      </c>
      <c r="S28" s="5"/>
      <c r="T28" s="5"/>
      <c r="U28" s="5"/>
      <c r="V28" s="5"/>
      <c r="W28" s="22">
        <f t="shared" si="1"/>
        <v>-3.1130200000000001</v>
      </c>
      <c r="X28" s="21">
        <f t="shared" si="2"/>
        <v>-0.28917700000000002</v>
      </c>
      <c r="Y28" s="21">
        <f t="shared" si="3"/>
        <v>-0.28059899999999999</v>
      </c>
      <c r="Z28" s="11">
        <f t="shared" si="4"/>
        <v>-1</v>
      </c>
      <c r="AA28" s="22">
        <f t="shared" si="5"/>
        <v>-3.1117900000000001</v>
      </c>
      <c r="AB28" s="21">
        <f t="shared" si="6"/>
        <v>-0.29006599999999999</v>
      </c>
      <c r="AC28" s="21">
        <f t="shared" si="7"/>
        <v>-0.28034300000000001</v>
      </c>
      <c r="AD28" s="11">
        <f t="shared" si="8"/>
        <v>-1</v>
      </c>
      <c r="AE28" s="22">
        <f t="shared" si="9"/>
        <v>-3.1078199999999998</v>
      </c>
      <c r="AF28" s="21">
        <f t="shared" si="10"/>
        <v>-0.28968899999999997</v>
      </c>
      <c r="AG28" s="21">
        <f t="shared" si="11"/>
        <v>-0.281555</v>
      </c>
      <c r="AH28" s="11">
        <f t="shared" si="12"/>
        <v>-1</v>
      </c>
      <c r="AI28">
        <v>2.5000000000000001E-2</v>
      </c>
      <c r="AJ28">
        <v>-2.5000000000000001E-2</v>
      </c>
      <c r="AK28">
        <v>1.5E-3</v>
      </c>
      <c r="AL28">
        <v>-1.5E-3</v>
      </c>
      <c r="AM28">
        <v>1.5E-3</v>
      </c>
      <c r="AN28">
        <v>-1.5E-3</v>
      </c>
      <c r="AO28" s="16">
        <v>2.5000000000000001E-2</v>
      </c>
      <c r="AP28" s="16">
        <v>-2.5000000000000001E-2</v>
      </c>
      <c r="AQ28">
        <v>1.4999999999999999E-2</v>
      </c>
      <c r="AR28">
        <v>-1.4999999999999999E-2</v>
      </c>
      <c r="AS28">
        <v>1E-3</v>
      </c>
      <c r="AT28">
        <v>-1E-3</v>
      </c>
      <c r="AU28">
        <v>1E-3</v>
      </c>
      <c r="AV28">
        <v>-1E-3</v>
      </c>
      <c r="AW28" s="16">
        <v>1.4999999999999999E-2</v>
      </c>
      <c r="AX28" s="16">
        <v>-1.4999999999999999E-2</v>
      </c>
    </row>
    <row r="29" spans="1:279" customFormat="1">
      <c r="A29" s="2">
        <v>24</v>
      </c>
      <c r="B29" s="2">
        <v>3.12182</v>
      </c>
      <c r="C29" s="2">
        <v>0.28104000000000001</v>
      </c>
      <c r="D29" s="2">
        <v>0.26255000000000001</v>
      </c>
      <c r="E29" s="2">
        <v>27.692599999999999</v>
      </c>
      <c r="F29" s="17" t="str">
        <f t="shared" si="0"/>
        <v/>
      </c>
      <c r="G29" s="9"/>
      <c r="H29" s="25">
        <v>1</v>
      </c>
      <c r="I29" s="5"/>
      <c r="J29" s="5"/>
      <c r="K29" s="5"/>
      <c r="L29" s="5"/>
      <c r="M29" s="5">
        <v>2</v>
      </c>
      <c r="N29" s="5"/>
      <c r="O29" s="5"/>
      <c r="P29" s="5"/>
      <c r="Q29" s="5"/>
      <c r="R29" s="5">
        <v>3</v>
      </c>
      <c r="S29" s="5"/>
      <c r="T29" s="5"/>
      <c r="U29" s="5"/>
      <c r="V29" s="5"/>
      <c r="W29" s="22">
        <f t="shared" si="1"/>
        <v>-3.1130200000000001</v>
      </c>
      <c r="X29" s="21">
        <f t="shared" si="2"/>
        <v>-0.28917700000000002</v>
      </c>
      <c r="Y29" s="21">
        <f t="shared" si="3"/>
        <v>-0.28059899999999999</v>
      </c>
      <c r="Z29" s="11">
        <f t="shared" si="4"/>
        <v>-1</v>
      </c>
      <c r="AA29" s="22">
        <f t="shared" si="5"/>
        <v>-3.1117900000000001</v>
      </c>
      <c r="AB29" s="21">
        <f t="shared" si="6"/>
        <v>-0.29006599999999999</v>
      </c>
      <c r="AC29" s="21">
        <f t="shared" si="7"/>
        <v>-0.28034300000000001</v>
      </c>
      <c r="AD29" s="11">
        <f t="shared" si="8"/>
        <v>-1</v>
      </c>
      <c r="AE29" s="22">
        <f t="shared" si="9"/>
        <v>-3.1078199999999998</v>
      </c>
      <c r="AF29" s="21">
        <f t="shared" si="10"/>
        <v>-0.28968899999999997</v>
      </c>
      <c r="AG29" s="21">
        <f t="shared" si="11"/>
        <v>-0.281555</v>
      </c>
      <c r="AH29" s="11">
        <f t="shared" si="12"/>
        <v>-1</v>
      </c>
      <c r="AI29">
        <v>2.5000000000000001E-2</v>
      </c>
      <c r="AJ29">
        <v>-2.5000000000000001E-2</v>
      </c>
      <c r="AK29">
        <v>1.5E-3</v>
      </c>
      <c r="AL29">
        <v>-1.5E-3</v>
      </c>
      <c r="AM29">
        <v>1.5E-3</v>
      </c>
      <c r="AN29">
        <v>-1.5E-3</v>
      </c>
      <c r="AO29" s="16">
        <v>2.5000000000000001E-2</v>
      </c>
      <c r="AP29" s="16">
        <v>-2.5000000000000001E-2</v>
      </c>
      <c r="AQ29">
        <v>1.4999999999999999E-2</v>
      </c>
      <c r="AR29">
        <v>-1.4999999999999999E-2</v>
      </c>
      <c r="AS29">
        <v>1E-3</v>
      </c>
      <c r="AT29">
        <v>-1E-3</v>
      </c>
      <c r="AU29">
        <v>1E-3</v>
      </c>
      <c r="AV29">
        <v>-1E-3</v>
      </c>
      <c r="AW29" s="16">
        <v>1.4999999999999999E-2</v>
      </c>
      <c r="AX29" s="16">
        <v>-1.4999999999999999E-2</v>
      </c>
    </row>
    <row r="30" spans="1:279" customFormat="1">
      <c r="A30" s="2">
        <v>25</v>
      </c>
      <c r="B30" s="2">
        <v>3.1274999999999999</v>
      </c>
      <c r="C30" s="2">
        <v>0.28336800000000001</v>
      </c>
      <c r="D30" s="2">
        <v>0.266679</v>
      </c>
      <c r="E30" s="2">
        <v>27.975899999999999</v>
      </c>
      <c r="F30" s="17" t="str">
        <f t="shared" si="0"/>
        <v/>
      </c>
      <c r="G30" s="9"/>
      <c r="H30" s="25">
        <v>1</v>
      </c>
      <c r="I30" s="5"/>
      <c r="J30" s="5"/>
      <c r="K30" s="5"/>
      <c r="L30" s="5"/>
      <c r="M30" s="5">
        <v>2</v>
      </c>
      <c r="N30" s="5"/>
      <c r="O30" s="5"/>
      <c r="P30" s="5"/>
      <c r="Q30" s="5"/>
      <c r="R30" s="5">
        <v>3</v>
      </c>
      <c r="S30" s="5"/>
      <c r="T30" s="5"/>
      <c r="U30" s="5"/>
      <c r="V30" s="5"/>
      <c r="W30" s="22">
        <f t="shared" si="1"/>
        <v>-3.1130200000000001</v>
      </c>
      <c r="X30" s="21">
        <f t="shared" si="2"/>
        <v>-0.28917700000000002</v>
      </c>
      <c r="Y30" s="21">
        <f t="shared" si="3"/>
        <v>-0.28059899999999999</v>
      </c>
      <c r="Z30" s="11">
        <f t="shared" si="4"/>
        <v>-1</v>
      </c>
      <c r="AA30" s="22">
        <f t="shared" si="5"/>
        <v>-3.1117900000000001</v>
      </c>
      <c r="AB30" s="21">
        <f t="shared" si="6"/>
        <v>-0.29006599999999999</v>
      </c>
      <c r="AC30" s="21">
        <f t="shared" si="7"/>
        <v>-0.28034300000000001</v>
      </c>
      <c r="AD30" s="11">
        <f t="shared" si="8"/>
        <v>-1</v>
      </c>
      <c r="AE30" s="22">
        <f t="shared" si="9"/>
        <v>-3.1078199999999998</v>
      </c>
      <c r="AF30" s="21">
        <f t="shared" si="10"/>
        <v>-0.28968899999999997</v>
      </c>
      <c r="AG30" s="21">
        <f t="shared" si="11"/>
        <v>-0.281555</v>
      </c>
      <c r="AH30" s="11">
        <f t="shared" si="12"/>
        <v>-1</v>
      </c>
      <c r="AI30">
        <v>2.5000000000000001E-2</v>
      </c>
      <c r="AJ30">
        <v>-2.5000000000000001E-2</v>
      </c>
      <c r="AK30">
        <v>1.5E-3</v>
      </c>
      <c r="AL30">
        <v>-1.5E-3</v>
      </c>
      <c r="AM30">
        <v>1.5E-3</v>
      </c>
      <c r="AN30">
        <v>-1.5E-3</v>
      </c>
      <c r="AO30" s="16">
        <v>2.5000000000000001E-2</v>
      </c>
      <c r="AP30" s="16">
        <v>-2.5000000000000001E-2</v>
      </c>
      <c r="AQ30">
        <v>1.4999999999999999E-2</v>
      </c>
      <c r="AR30">
        <v>-1.4999999999999999E-2</v>
      </c>
      <c r="AS30">
        <v>1E-3</v>
      </c>
      <c r="AT30">
        <v>-1E-3</v>
      </c>
      <c r="AU30">
        <v>1E-3</v>
      </c>
      <c r="AV30">
        <v>-1E-3</v>
      </c>
      <c r="AW30" s="16">
        <v>1.4999999999999999E-2</v>
      </c>
      <c r="AX30" s="16">
        <v>-1.4999999999999999E-2</v>
      </c>
    </row>
    <row r="31" spans="1:279" customFormat="1">
      <c r="A31" s="2">
        <v>26</v>
      </c>
      <c r="B31" s="2">
        <v>3.11103</v>
      </c>
      <c r="C31" s="2">
        <v>0.28412799999999999</v>
      </c>
      <c r="D31" s="2">
        <v>0.26944099999999999</v>
      </c>
      <c r="E31" s="2">
        <v>28.191700000000001</v>
      </c>
      <c r="F31" s="17" t="str">
        <f t="shared" si="0"/>
        <v/>
      </c>
      <c r="G31" s="9"/>
      <c r="H31" s="25">
        <v>1</v>
      </c>
      <c r="I31" s="5"/>
      <c r="J31" s="5"/>
      <c r="K31" s="5"/>
      <c r="L31" s="5"/>
      <c r="M31" s="5">
        <v>2</v>
      </c>
      <c r="N31" s="5"/>
      <c r="O31" s="5"/>
      <c r="P31" s="5"/>
      <c r="Q31" s="5"/>
      <c r="R31" s="5">
        <v>3</v>
      </c>
      <c r="S31" s="5"/>
      <c r="T31" s="5"/>
      <c r="U31" s="5"/>
      <c r="V31" s="5"/>
      <c r="W31" s="22">
        <f t="shared" si="1"/>
        <v>-3.1130200000000001</v>
      </c>
      <c r="X31" s="21">
        <f t="shared" si="2"/>
        <v>-0.28917700000000002</v>
      </c>
      <c r="Y31" s="21">
        <f t="shared" si="3"/>
        <v>-0.28059899999999999</v>
      </c>
      <c r="Z31" s="11">
        <f t="shared" si="4"/>
        <v>-1</v>
      </c>
      <c r="AA31" s="22">
        <f t="shared" si="5"/>
        <v>-3.1117900000000001</v>
      </c>
      <c r="AB31" s="21">
        <f t="shared" si="6"/>
        <v>-0.29006599999999999</v>
      </c>
      <c r="AC31" s="21">
        <f t="shared" si="7"/>
        <v>-0.28034300000000001</v>
      </c>
      <c r="AD31" s="11">
        <f t="shared" si="8"/>
        <v>-1</v>
      </c>
      <c r="AE31" s="22">
        <f t="shared" si="9"/>
        <v>-3.1078199999999998</v>
      </c>
      <c r="AF31" s="21">
        <f t="shared" si="10"/>
        <v>-0.28968899999999997</v>
      </c>
      <c r="AG31" s="21">
        <f t="shared" si="11"/>
        <v>-0.281555</v>
      </c>
      <c r="AH31" s="11">
        <f t="shared" si="12"/>
        <v>-1</v>
      </c>
      <c r="AI31">
        <v>2.5000000000000001E-2</v>
      </c>
      <c r="AJ31">
        <v>-2.5000000000000001E-2</v>
      </c>
      <c r="AK31">
        <v>1.5E-3</v>
      </c>
      <c r="AL31">
        <v>-1.5E-3</v>
      </c>
      <c r="AM31">
        <v>1.5E-3</v>
      </c>
      <c r="AN31">
        <v>-1.5E-3</v>
      </c>
      <c r="AO31" s="16">
        <v>2.5000000000000001E-2</v>
      </c>
      <c r="AP31" s="16">
        <v>-2.5000000000000001E-2</v>
      </c>
      <c r="AQ31">
        <v>1.4999999999999999E-2</v>
      </c>
      <c r="AR31">
        <v>-1.4999999999999999E-2</v>
      </c>
      <c r="AS31">
        <v>1E-3</v>
      </c>
      <c r="AT31">
        <v>-1E-3</v>
      </c>
      <c r="AU31">
        <v>1E-3</v>
      </c>
      <c r="AV31">
        <v>-1E-3</v>
      </c>
      <c r="AW31" s="16">
        <v>1.4999999999999999E-2</v>
      </c>
      <c r="AX31" s="16">
        <v>-1.4999999999999999E-2</v>
      </c>
    </row>
    <row r="32" spans="1:279" customFormat="1">
      <c r="A32" s="2">
        <v>27</v>
      </c>
      <c r="B32" s="2">
        <v>3.1185100000000001</v>
      </c>
      <c r="C32" s="2">
        <v>0.28375699999999998</v>
      </c>
      <c r="D32" s="2">
        <v>0.26868700000000001</v>
      </c>
      <c r="E32" s="2">
        <v>28.115600000000001</v>
      </c>
      <c r="F32" s="17" t="str">
        <f t="shared" si="0"/>
        <v/>
      </c>
      <c r="G32" s="9"/>
      <c r="H32" s="25">
        <v>1</v>
      </c>
      <c r="I32" s="5"/>
      <c r="J32" s="5"/>
      <c r="K32" s="5"/>
      <c r="L32" s="5"/>
      <c r="M32" s="5">
        <v>2</v>
      </c>
      <c r="N32" s="5"/>
      <c r="O32" s="5"/>
      <c r="P32" s="5"/>
      <c r="Q32" s="5"/>
      <c r="R32" s="5">
        <v>3</v>
      </c>
      <c r="S32" s="5"/>
      <c r="T32" s="5"/>
      <c r="U32" s="5"/>
      <c r="V32" s="5"/>
      <c r="W32" s="22">
        <f t="shared" si="1"/>
        <v>-3.1130200000000001</v>
      </c>
      <c r="X32" s="21">
        <f t="shared" si="2"/>
        <v>-0.28917700000000002</v>
      </c>
      <c r="Y32" s="21">
        <f t="shared" si="3"/>
        <v>-0.28059899999999999</v>
      </c>
      <c r="Z32" s="11">
        <f t="shared" si="4"/>
        <v>-1</v>
      </c>
      <c r="AA32" s="22">
        <f t="shared" si="5"/>
        <v>-3.1117900000000001</v>
      </c>
      <c r="AB32" s="21">
        <f t="shared" si="6"/>
        <v>-0.29006599999999999</v>
      </c>
      <c r="AC32" s="21">
        <f t="shared" si="7"/>
        <v>-0.28034300000000001</v>
      </c>
      <c r="AD32" s="11">
        <f t="shared" si="8"/>
        <v>-1</v>
      </c>
      <c r="AE32" s="22">
        <f t="shared" si="9"/>
        <v>-3.1078199999999998</v>
      </c>
      <c r="AF32" s="21">
        <f t="shared" si="10"/>
        <v>-0.28968899999999997</v>
      </c>
      <c r="AG32" s="21">
        <f t="shared" si="11"/>
        <v>-0.281555</v>
      </c>
      <c r="AH32" s="11">
        <f t="shared" si="12"/>
        <v>-1</v>
      </c>
      <c r="AI32">
        <v>2.5000000000000001E-2</v>
      </c>
      <c r="AJ32">
        <v>-2.5000000000000001E-2</v>
      </c>
      <c r="AK32">
        <v>1.5E-3</v>
      </c>
      <c r="AL32">
        <v>-1.5E-3</v>
      </c>
      <c r="AM32">
        <v>1.5E-3</v>
      </c>
      <c r="AN32">
        <v>-1.5E-3</v>
      </c>
      <c r="AO32" s="16">
        <v>2.5000000000000001E-2</v>
      </c>
      <c r="AP32" s="16">
        <v>-2.5000000000000001E-2</v>
      </c>
      <c r="AQ32">
        <v>1.4999999999999999E-2</v>
      </c>
      <c r="AR32">
        <v>-1.4999999999999999E-2</v>
      </c>
      <c r="AS32">
        <v>1E-3</v>
      </c>
      <c r="AT32">
        <v>-1E-3</v>
      </c>
      <c r="AU32">
        <v>1E-3</v>
      </c>
      <c r="AV32">
        <v>-1E-3</v>
      </c>
      <c r="AW32" s="16">
        <v>1.4999999999999999E-2</v>
      </c>
      <c r="AX32" s="16">
        <v>-1.4999999999999999E-2</v>
      </c>
    </row>
    <row r="33" spans="1:279" customFormat="1">
      <c r="A33" s="2">
        <v>28</v>
      </c>
      <c r="B33" s="2">
        <v>3.1106600000000002</v>
      </c>
      <c r="C33" s="2">
        <v>0.283972</v>
      </c>
      <c r="D33" s="2">
        <v>0.26960099999999998</v>
      </c>
      <c r="E33" s="2">
        <v>27.931699999999999</v>
      </c>
      <c r="F33" s="17" t="str">
        <f t="shared" si="0"/>
        <v/>
      </c>
      <c r="G33" s="9"/>
      <c r="H33" s="25">
        <v>1</v>
      </c>
      <c r="I33" s="5"/>
      <c r="J33" s="5"/>
      <c r="K33" s="5"/>
      <c r="L33" s="5"/>
      <c r="M33" s="5">
        <v>2</v>
      </c>
      <c r="N33" s="5"/>
      <c r="O33" s="5"/>
      <c r="P33" s="5"/>
      <c r="Q33" s="5"/>
      <c r="R33" s="5">
        <v>3</v>
      </c>
      <c r="S33" s="5"/>
      <c r="T33" s="5"/>
      <c r="U33" s="5"/>
      <c r="V33" s="5"/>
      <c r="W33" s="22">
        <f t="shared" si="1"/>
        <v>-3.1130200000000001</v>
      </c>
      <c r="X33" s="21">
        <f t="shared" si="2"/>
        <v>-0.28917700000000002</v>
      </c>
      <c r="Y33" s="21">
        <f t="shared" si="3"/>
        <v>-0.28059899999999999</v>
      </c>
      <c r="Z33" s="11">
        <f t="shared" si="4"/>
        <v>-1</v>
      </c>
      <c r="AA33" s="22">
        <f t="shared" si="5"/>
        <v>-3.1117900000000001</v>
      </c>
      <c r="AB33" s="21">
        <f t="shared" si="6"/>
        <v>-0.29006599999999999</v>
      </c>
      <c r="AC33" s="21">
        <f t="shared" si="7"/>
        <v>-0.28034300000000001</v>
      </c>
      <c r="AD33" s="11">
        <f t="shared" si="8"/>
        <v>-1</v>
      </c>
      <c r="AE33" s="22">
        <f t="shared" si="9"/>
        <v>-3.1078199999999998</v>
      </c>
      <c r="AF33" s="21">
        <f t="shared" si="10"/>
        <v>-0.28968899999999997</v>
      </c>
      <c r="AG33" s="21">
        <f t="shared" si="11"/>
        <v>-0.281555</v>
      </c>
      <c r="AH33" s="11">
        <f t="shared" si="12"/>
        <v>-1</v>
      </c>
      <c r="AI33">
        <v>2.5000000000000001E-2</v>
      </c>
      <c r="AJ33">
        <v>-2.5000000000000001E-2</v>
      </c>
      <c r="AK33">
        <v>1.5E-3</v>
      </c>
      <c r="AL33">
        <v>-1.5E-3</v>
      </c>
      <c r="AM33">
        <v>1.5E-3</v>
      </c>
      <c r="AN33">
        <v>-1.5E-3</v>
      </c>
      <c r="AO33" s="16">
        <v>2.5000000000000001E-2</v>
      </c>
      <c r="AP33" s="16">
        <v>-2.5000000000000001E-2</v>
      </c>
      <c r="AQ33">
        <v>1.4999999999999999E-2</v>
      </c>
      <c r="AR33">
        <v>-1.4999999999999999E-2</v>
      </c>
      <c r="AS33">
        <v>1E-3</v>
      </c>
      <c r="AT33">
        <v>-1E-3</v>
      </c>
      <c r="AU33">
        <v>1E-3</v>
      </c>
      <c r="AV33">
        <v>-1E-3</v>
      </c>
      <c r="AW33" s="16">
        <v>1.4999999999999999E-2</v>
      </c>
      <c r="AX33" s="16">
        <v>-1.4999999999999999E-2</v>
      </c>
      <c r="JR33">
        <v>12.849506578947368</v>
      </c>
    </row>
    <row r="34" spans="1:279" customFormat="1">
      <c r="A34" s="2">
        <v>29</v>
      </c>
      <c r="B34" s="2">
        <v>3.1124499999999999</v>
      </c>
      <c r="C34" s="2">
        <v>0.28117199999999998</v>
      </c>
      <c r="D34" s="2">
        <v>0.26465</v>
      </c>
      <c r="E34" s="2">
        <v>27.662299999999998</v>
      </c>
      <c r="F34" s="17" t="str">
        <f t="shared" si="0"/>
        <v/>
      </c>
      <c r="G34" s="9"/>
      <c r="H34" s="25">
        <v>1</v>
      </c>
      <c r="I34" s="5"/>
      <c r="J34" s="5"/>
      <c r="K34" s="5"/>
      <c r="L34" s="5"/>
      <c r="M34" s="5">
        <v>2</v>
      </c>
      <c r="N34" s="5"/>
      <c r="O34" s="5"/>
      <c r="P34" s="5"/>
      <c r="Q34" s="5"/>
      <c r="R34" s="5">
        <v>3</v>
      </c>
      <c r="S34" s="5"/>
      <c r="T34" s="5"/>
      <c r="U34" s="5"/>
      <c r="V34" s="5"/>
      <c r="W34" s="22">
        <f t="shared" si="1"/>
        <v>-3.1130200000000001</v>
      </c>
      <c r="X34" s="21">
        <f t="shared" si="2"/>
        <v>-0.28917700000000002</v>
      </c>
      <c r="Y34" s="21">
        <f t="shared" si="3"/>
        <v>-0.28059899999999999</v>
      </c>
      <c r="Z34" s="11">
        <f t="shared" si="4"/>
        <v>-1</v>
      </c>
      <c r="AA34" s="22">
        <f t="shared" si="5"/>
        <v>-3.1117900000000001</v>
      </c>
      <c r="AB34" s="21">
        <f t="shared" si="6"/>
        <v>-0.29006599999999999</v>
      </c>
      <c r="AC34" s="21">
        <f t="shared" si="7"/>
        <v>-0.28034300000000001</v>
      </c>
      <c r="AD34" s="11">
        <f t="shared" si="8"/>
        <v>-1</v>
      </c>
      <c r="AE34" s="22">
        <f t="shared" si="9"/>
        <v>-3.1078199999999998</v>
      </c>
      <c r="AF34" s="21">
        <f t="shared" si="10"/>
        <v>-0.28968899999999997</v>
      </c>
      <c r="AG34" s="21">
        <f t="shared" si="11"/>
        <v>-0.281555</v>
      </c>
      <c r="AH34" s="11">
        <f t="shared" si="12"/>
        <v>-1</v>
      </c>
      <c r="AI34">
        <v>2.5000000000000001E-2</v>
      </c>
      <c r="AJ34">
        <v>-2.5000000000000001E-2</v>
      </c>
      <c r="AK34">
        <v>1.5E-3</v>
      </c>
      <c r="AL34">
        <v>-1.5E-3</v>
      </c>
      <c r="AM34">
        <v>1.5E-3</v>
      </c>
      <c r="AN34">
        <v>-1.5E-3</v>
      </c>
      <c r="AO34" s="16">
        <v>2.5000000000000001E-2</v>
      </c>
      <c r="AP34" s="16">
        <v>-2.5000000000000001E-2</v>
      </c>
      <c r="AQ34">
        <v>1.4999999999999999E-2</v>
      </c>
      <c r="AR34">
        <v>-1.4999999999999999E-2</v>
      </c>
      <c r="AS34">
        <v>1E-3</v>
      </c>
      <c r="AT34">
        <v>-1E-3</v>
      </c>
      <c r="AU34">
        <v>1E-3</v>
      </c>
      <c r="AV34">
        <v>-1E-3</v>
      </c>
      <c r="AW34" s="16">
        <v>1.4999999999999999E-2</v>
      </c>
      <c r="AX34" s="16">
        <v>-1.4999999999999999E-2</v>
      </c>
      <c r="JR34">
        <v>12.849506578947368</v>
      </c>
      <c r="JS34">
        <v>12.849506578947368</v>
      </c>
    </row>
    <row r="35" spans="1:279" customFormat="1">
      <c r="A35" s="2">
        <v>30</v>
      </c>
      <c r="B35" s="2">
        <v>3.1137800000000002</v>
      </c>
      <c r="C35" s="2">
        <v>0.28374700000000003</v>
      </c>
      <c r="D35" s="2">
        <v>0.26988499999999999</v>
      </c>
      <c r="E35" s="2">
        <v>28.2531</v>
      </c>
      <c r="F35" s="17" t="str">
        <f t="shared" si="0"/>
        <v/>
      </c>
      <c r="G35" s="9"/>
      <c r="H35" s="25">
        <v>1</v>
      </c>
      <c r="I35" s="5"/>
      <c r="J35" s="5"/>
      <c r="K35" s="5"/>
      <c r="L35" s="5"/>
      <c r="M35" s="5">
        <v>2</v>
      </c>
      <c r="N35" s="5"/>
      <c r="O35" s="5"/>
      <c r="P35" s="5"/>
      <c r="Q35" s="5"/>
      <c r="R35" s="5">
        <v>3</v>
      </c>
      <c r="S35" s="5"/>
      <c r="T35" s="5"/>
      <c r="U35" s="5"/>
      <c r="V35" s="5"/>
      <c r="W35" s="22">
        <f t="shared" si="1"/>
        <v>-3.1130200000000001</v>
      </c>
      <c r="X35" s="21">
        <f t="shared" si="2"/>
        <v>-0.28917700000000002</v>
      </c>
      <c r="Y35" s="21">
        <f t="shared" si="3"/>
        <v>-0.28059899999999999</v>
      </c>
      <c r="Z35" s="11">
        <f t="shared" si="4"/>
        <v>-1</v>
      </c>
      <c r="AA35" s="22">
        <f t="shared" si="5"/>
        <v>-3.1117900000000001</v>
      </c>
      <c r="AB35" s="21">
        <f t="shared" si="6"/>
        <v>-0.29006599999999999</v>
      </c>
      <c r="AC35" s="21">
        <f t="shared" si="7"/>
        <v>-0.28034300000000001</v>
      </c>
      <c r="AD35" s="11">
        <f t="shared" si="8"/>
        <v>-1</v>
      </c>
      <c r="AE35" s="22">
        <f t="shared" si="9"/>
        <v>-3.1078199999999998</v>
      </c>
      <c r="AF35" s="21">
        <f t="shared" si="10"/>
        <v>-0.28968899999999997</v>
      </c>
      <c r="AG35" s="21">
        <f t="shared" si="11"/>
        <v>-0.281555</v>
      </c>
      <c r="AH35" s="11">
        <f t="shared" si="12"/>
        <v>-1</v>
      </c>
      <c r="AI35">
        <v>2.5000000000000001E-2</v>
      </c>
      <c r="AJ35">
        <v>-2.5000000000000001E-2</v>
      </c>
      <c r="AK35">
        <v>1.5E-3</v>
      </c>
      <c r="AL35">
        <v>-1.5E-3</v>
      </c>
      <c r="AM35">
        <v>1.5E-3</v>
      </c>
      <c r="AN35">
        <v>-1.5E-3</v>
      </c>
      <c r="AO35" s="16">
        <v>2.5000000000000001E-2</v>
      </c>
      <c r="AP35" s="16">
        <v>-2.5000000000000001E-2</v>
      </c>
      <c r="AQ35">
        <v>1.4999999999999999E-2</v>
      </c>
      <c r="AR35">
        <v>-1.4999999999999999E-2</v>
      </c>
      <c r="AS35">
        <v>1E-3</v>
      </c>
      <c r="AT35">
        <v>-1E-3</v>
      </c>
      <c r="AU35">
        <v>1E-3</v>
      </c>
      <c r="AV35">
        <v>-1E-3</v>
      </c>
      <c r="AW35" s="16">
        <v>1.4999999999999999E-2</v>
      </c>
      <c r="AX35" s="16">
        <v>-1.4999999999999999E-2</v>
      </c>
    </row>
    <row r="36" spans="1:279" customFormat="1">
      <c r="F36" s="17" t="str">
        <f t="shared" si="0"/>
        <v/>
      </c>
      <c r="G36" s="9"/>
      <c r="H36" s="25">
        <v>1</v>
      </c>
      <c r="I36" s="5"/>
      <c r="J36" s="5"/>
      <c r="K36" s="5"/>
      <c r="L36" s="5"/>
      <c r="M36" s="5">
        <v>2</v>
      </c>
      <c r="N36" s="5"/>
      <c r="O36" s="5"/>
      <c r="P36" s="5"/>
      <c r="Q36" s="5"/>
      <c r="R36" s="5">
        <v>3</v>
      </c>
      <c r="S36" s="5"/>
      <c r="T36" s="5"/>
      <c r="U36" s="5"/>
      <c r="V36" s="5"/>
      <c r="W36" s="22">
        <f t="shared" si="1"/>
        <v>-3.1130200000000001</v>
      </c>
      <c r="X36" s="21">
        <f t="shared" si="2"/>
        <v>-0.28917700000000002</v>
      </c>
      <c r="Y36" s="21">
        <f t="shared" si="3"/>
        <v>-0.28059899999999999</v>
      </c>
      <c r="Z36" s="11">
        <f t="shared" si="4"/>
        <v>-1</v>
      </c>
      <c r="AA36" s="22">
        <f t="shared" si="5"/>
        <v>-3.1117900000000001</v>
      </c>
      <c r="AB36" s="21">
        <f t="shared" si="6"/>
        <v>-0.29006599999999999</v>
      </c>
      <c r="AC36" s="21">
        <f t="shared" si="7"/>
        <v>-0.28034300000000001</v>
      </c>
      <c r="AD36" s="11">
        <f t="shared" si="8"/>
        <v>-1</v>
      </c>
      <c r="AE36" s="22">
        <f t="shared" si="9"/>
        <v>-3.1078199999999998</v>
      </c>
      <c r="AF36" s="21">
        <f t="shared" si="10"/>
        <v>-0.28968899999999997</v>
      </c>
      <c r="AG36" s="21">
        <f t="shared" si="11"/>
        <v>-0.281555</v>
      </c>
      <c r="AH36" s="11">
        <f t="shared" si="12"/>
        <v>-1</v>
      </c>
      <c r="AI36">
        <v>2.5000000000000001E-2</v>
      </c>
      <c r="AJ36">
        <v>-2.5000000000000001E-2</v>
      </c>
      <c r="AK36">
        <v>1.5E-3</v>
      </c>
      <c r="AL36">
        <v>-1.5E-3</v>
      </c>
      <c r="AM36">
        <v>1.5E-3</v>
      </c>
      <c r="AN36">
        <v>-1.5E-3</v>
      </c>
      <c r="AO36" s="16">
        <v>2.5000000000000001E-2</v>
      </c>
      <c r="AP36" s="16">
        <v>-2.5000000000000001E-2</v>
      </c>
      <c r="AQ36">
        <v>1.4999999999999999E-2</v>
      </c>
      <c r="AR36">
        <v>-1.4999999999999999E-2</v>
      </c>
      <c r="AS36">
        <v>1E-3</v>
      </c>
      <c r="AT36">
        <v>-1E-3</v>
      </c>
      <c r="AU36">
        <v>1E-3</v>
      </c>
      <c r="AV36">
        <v>-1E-3</v>
      </c>
      <c r="AW36" s="16">
        <v>1.4999999999999999E-2</v>
      </c>
      <c r="AX36" s="16">
        <v>-1.4999999999999999E-2</v>
      </c>
    </row>
    <row r="37" spans="1:279" customFormat="1">
      <c r="F37" s="17" t="str">
        <f t="shared" si="0"/>
        <v/>
      </c>
      <c r="G37" s="9"/>
      <c r="H37" s="25">
        <v>1</v>
      </c>
      <c r="I37" s="5"/>
      <c r="J37" s="5"/>
      <c r="K37" s="5"/>
      <c r="L37" s="5"/>
      <c r="M37" s="5">
        <v>2</v>
      </c>
      <c r="N37" s="5"/>
      <c r="O37" s="5"/>
      <c r="P37" s="5"/>
      <c r="Q37" s="5"/>
      <c r="R37" s="5">
        <v>3</v>
      </c>
      <c r="S37" s="5"/>
      <c r="T37" s="5"/>
      <c r="U37" s="5"/>
      <c r="V37" s="5"/>
      <c r="W37" s="22">
        <f t="shared" si="1"/>
        <v>-3.1130200000000001</v>
      </c>
      <c r="X37" s="21">
        <f t="shared" si="2"/>
        <v>-0.28917700000000002</v>
      </c>
      <c r="Y37" s="21">
        <f t="shared" si="3"/>
        <v>-0.28059899999999999</v>
      </c>
      <c r="Z37" s="11">
        <f t="shared" si="4"/>
        <v>-1</v>
      </c>
      <c r="AA37" s="22">
        <f t="shared" si="5"/>
        <v>-3.1117900000000001</v>
      </c>
      <c r="AB37" s="21">
        <f t="shared" si="6"/>
        <v>-0.29006599999999999</v>
      </c>
      <c r="AC37" s="21">
        <f t="shared" si="7"/>
        <v>-0.28034300000000001</v>
      </c>
      <c r="AD37" s="11">
        <f t="shared" si="8"/>
        <v>-1</v>
      </c>
      <c r="AE37" s="22">
        <f t="shared" si="9"/>
        <v>-3.1078199999999998</v>
      </c>
      <c r="AF37" s="21">
        <f t="shared" si="10"/>
        <v>-0.28968899999999997</v>
      </c>
      <c r="AG37" s="21">
        <f t="shared" si="11"/>
        <v>-0.281555</v>
      </c>
      <c r="AH37" s="11">
        <f t="shared" si="12"/>
        <v>-1</v>
      </c>
      <c r="AI37">
        <v>2.5000000000000001E-2</v>
      </c>
      <c r="AJ37">
        <v>-2.5000000000000001E-2</v>
      </c>
      <c r="AK37">
        <v>1.5E-3</v>
      </c>
      <c r="AL37">
        <v>-1.5E-3</v>
      </c>
      <c r="AM37">
        <v>1.5E-3</v>
      </c>
      <c r="AN37">
        <v>-1.5E-3</v>
      </c>
      <c r="AO37" s="16">
        <v>2.5000000000000001E-2</v>
      </c>
      <c r="AP37" s="16">
        <v>-2.5000000000000001E-2</v>
      </c>
      <c r="AQ37">
        <v>1.4999999999999999E-2</v>
      </c>
      <c r="AR37">
        <v>-1.4999999999999999E-2</v>
      </c>
      <c r="AS37">
        <v>1E-3</v>
      </c>
      <c r="AT37">
        <v>-1E-3</v>
      </c>
      <c r="AU37">
        <v>1E-3</v>
      </c>
      <c r="AV37">
        <v>-1E-3</v>
      </c>
      <c r="AW37" s="16">
        <v>1.4999999999999999E-2</v>
      </c>
      <c r="AX37" s="16">
        <v>-1.4999999999999999E-2</v>
      </c>
    </row>
    <row r="38" spans="1:279" customFormat="1">
      <c r="F38" s="17" t="str">
        <f t="shared" si="0"/>
        <v/>
      </c>
      <c r="G38" s="9"/>
      <c r="H38" s="25">
        <v>1</v>
      </c>
      <c r="I38" s="5"/>
      <c r="J38" s="5"/>
      <c r="K38" s="5"/>
      <c r="L38" s="5"/>
      <c r="M38" s="5">
        <v>2</v>
      </c>
      <c r="N38" s="5"/>
      <c r="O38" s="5"/>
      <c r="P38" s="5"/>
      <c r="Q38" s="5"/>
      <c r="R38" s="5">
        <v>3</v>
      </c>
      <c r="S38" s="5"/>
      <c r="T38" s="5"/>
      <c r="U38" s="5"/>
      <c r="V38" s="5"/>
      <c r="W38" s="22">
        <f t="shared" si="1"/>
        <v>-3.1130200000000001</v>
      </c>
      <c r="X38" s="21">
        <f t="shared" si="2"/>
        <v>-0.28917700000000002</v>
      </c>
      <c r="Y38" s="21">
        <f t="shared" si="3"/>
        <v>-0.28059899999999999</v>
      </c>
      <c r="Z38" s="11">
        <f t="shared" si="4"/>
        <v>-1</v>
      </c>
      <c r="AA38" s="22">
        <f t="shared" si="5"/>
        <v>-3.1117900000000001</v>
      </c>
      <c r="AB38" s="21">
        <f t="shared" si="6"/>
        <v>-0.29006599999999999</v>
      </c>
      <c r="AC38" s="21">
        <f t="shared" si="7"/>
        <v>-0.28034300000000001</v>
      </c>
      <c r="AD38" s="11">
        <f t="shared" si="8"/>
        <v>-1</v>
      </c>
      <c r="AE38" s="22">
        <f t="shared" si="9"/>
        <v>-3.1078199999999998</v>
      </c>
      <c r="AF38" s="21">
        <f t="shared" si="10"/>
        <v>-0.28968899999999997</v>
      </c>
      <c r="AG38" s="21">
        <f t="shared" si="11"/>
        <v>-0.281555</v>
      </c>
      <c r="AH38" s="11">
        <f t="shared" si="12"/>
        <v>-1</v>
      </c>
      <c r="AI38">
        <v>2.5000000000000001E-2</v>
      </c>
      <c r="AJ38">
        <v>-2.5000000000000001E-2</v>
      </c>
      <c r="AK38">
        <v>1.5E-3</v>
      </c>
      <c r="AL38">
        <v>-1.5E-3</v>
      </c>
      <c r="AM38">
        <v>1.5E-3</v>
      </c>
      <c r="AN38">
        <v>-1.5E-3</v>
      </c>
      <c r="AO38" s="16">
        <v>2.5000000000000001E-2</v>
      </c>
      <c r="AP38" s="16">
        <v>-2.5000000000000001E-2</v>
      </c>
      <c r="AQ38">
        <v>1.4999999999999999E-2</v>
      </c>
      <c r="AR38">
        <v>-1.4999999999999999E-2</v>
      </c>
      <c r="AS38">
        <v>1E-3</v>
      </c>
      <c r="AT38">
        <v>-1E-3</v>
      </c>
      <c r="AU38">
        <v>1E-3</v>
      </c>
      <c r="AV38">
        <v>-1E-3</v>
      </c>
      <c r="AW38" s="16">
        <v>1.4999999999999999E-2</v>
      </c>
      <c r="AX38" s="16">
        <v>-1.4999999999999999E-2</v>
      </c>
    </row>
    <row r="39" spans="1:279" customFormat="1">
      <c r="F39" s="17" t="str">
        <f t="shared" si="0"/>
        <v/>
      </c>
      <c r="G39" s="9"/>
      <c r="H39" s="25">
        <v>1</v>
      </c>
      <c r="I39" s="5"/>
      <c r="J39" s="5"/>
      <c r="K39" s="5"/>
      <c r="L39" s="5"/>
      <c r="M39" s="5">
        <v>2</v>
      </c>
      <c r="N39" s="5"/>
      <c r="O39" s="5"/>
      <c r="P39" s="5"/>
      <c r="Q39" s="5"/>
      <c r="R39" s="5">
        <v>3</v>
      </c>
      <c r="S39" s="5"/>
      <c r="T39" s="5"/>
      <c r="U39" s="5"/>
      <c r="V39" s="5"/>
      <c r="W39" s="22">
        <f t="shared" si="1"/>
        <v>-3.1130200000000001</v>
      </c>
      <c r="X39" s="21">
        <f t="shared" si="2"/>
        <v>-0.28917700000000002</v>
      </c>
      <c r="Y39" s="21">
        <f t="shared" si="3"/>
        <v>-0.28059899999999999</v>
      </c>
      <c r="Z39" s="11">
        <f t="shared" si="4"/>
        <v>-1</v>
      </c>
      <c r="AA39" s="22">
        <f t="shared" si="5"/>
        <v>-3.1117900000000001</v>
      </c>
      <c r="AB39" s="21">
        <f t="shared" si="6"/>
        <v>-0.29006599999999999</v>
      </c>
      <c r="AC39" s="21">
        <f t="shared" si="7"/>
        <v>-0.28034300000000001</v>
      </c>
      <c r="AD39" s="11">
        <f t="shared" si="8"/>
        <v>-1</v>
      </c>
      <c r="AE39" s="22">
        <f t="shared" si="9"/>
        <v>-3.1078199999999998</v>
      </c>
      <c r="AF39" s="21">
        <f t="shared" si="10"/>
        <v>-0.28968899999999997</v>
      </c>
      <c r="AG39" s="21">
        <f t="shared" si="11"/>
        <v>-0.281555</v>
      </c>
      <c r="AH39" s="11">
        <f t="shared" si="12"/>
        <v>-1</v>
      </c>
      <c r="AI39">
        <v>2.5000000000000001E-2</v>
      </c>
      <c r="AJ39">
        <v>-2.5000000000000001E-2</v>
      </c>
      <c r="AK39">
        <v>1.5E-3</v>
      </c>
      <c r="AL39">
        <v>-1.5E-3</v>
      </c>
      <c r="AM39">
        <v>1.5E-3</v>
      </c>
      <c r="AN39">
        <v>-1.5E-3</v>
      </c>
      <c r="AO39" s="16">
        <v>2.5000000000000001E-2</v>
      </c>
      <c r="AP39" s="16">
        <v>-2.5000000000000001E-2</v>
      </c>
      <c r="AQ39">
        <v>1.4999999999999999E-2</v>
      </c>
      <c r="AR39">
        <v>-1.4999999999999999E-2</v>
      </c>
      <c r="AS39">
        <v>1E-3</v>
      </c>
      <c r="AT39">
        <v>-1E-3</v>
      </c>
      <c r="AU39">
        <v>1E-3</v>
      </c>
      <c r="AV39">
        <v>-1E-3</v>
      </c>
      <c r="AW39" s="16">
        <v>1.4999999999999999E-2</v>
      </c>
      <c r="AX39" s="16">
        <v>-1.4999999999999999E-2</v>
      </c>
    </row>
    <row r="40" spans="1:279" customFormat="1">
      <c r="F40" s="17" t="str">
        <f t="shared" si="0"/>
        <v/>
      </c>
      <c r="G40" s="9"/>
      <c r="H40" s="25">
        <v>1</v>
      </c>
      <c r="I40" s="5"/>
      <c r="J40" s="5"/>
      <c r="K40" s="5"/>
      <c r="L40" s="5"/>
      <c r="M40" s="5">
        <v>2</v>
      </c>
      <c r="N40" s="5"/>
      <c r="O40" s="5"/>
      <c r="P40" s="5"/>
      <c r="Q40" s="5"/>
      <c r="R40" s="5">
        <v>3</v>
      </c>
      <c r="S40" s="5"/>
      <c r="T40" s="5"/>
      <c r="U40" s="5"/>
      <c r="V40" s="5"/>
      <c r="W40" s="22">
        <f t="shared" si="1"/>
        <v>-3.1130200000000001</v>
      </c>
      <c r="X40" s="21">
        <f t="shared" si="2"/>
        <v>-0.28917700000000002</v>
      </c>
      <c r="Y40" s="21">
        <f t="shared" si="3"/>
        <v>-0.28059899999999999</v>
      </c>
      <c r="Z40" s="11">
        <f t="shared" si="4"/>
        <v>-1</v>
      </c>
      <c r="AA40" s="22">
        <f t="shared" si="5"/>
        <v>-3.1117900000000001</v>
      </c>
      <c r="AB40" s="21">
        <f t="shared" si="6"/>
        <v>-0.29006599999999999</v>
      </c>
      <c r="AC40" s="21">
        <f t="shared" si="7"/>
        <v>-0.28034300000000001</v>
      </c>
      <c r="AD40" s="11">
        <f t="shared" si="8"/>
        <v>-1</v>
      </c>
      <c r="AE40" s="22">
        <f t="shared" si="9"/>
        <v>-3.1078199999999998</v>
      </c>
      <c r="AF40" s="21">
        <f t="shared" si="10"/>
        <v>-0.28968899999999997</v>
      </c>
      <c r="AG40" s="21">
        <f t="shared" si="11"/>
        <v>-0.281555</v>
      </c>
      <c r="AH40" s="11">
        <f t="shared" si="12"/>
        <v>-1</v>
      </c>
      <c r="AI40">
        <v>2.5000000000000001E-2</v>
      </c>
      <c r="AJ40">
        <v>-2.5000000000000001E-2</v>
      </c>
      <c r="AK40">
        <v>1.5E-3</v>
      </c>
      <c r="AL40">
        <v>-1.5E-3</v>
      </c>
      <c r="AM40">
        <v>1.5E-3</v>
      </c>
      <c r="AN40">
        <v>-1.5E-3</v>
      </c>
      <c r="AO40" s="16">
        <v>2.5000000000000001E-2</v>
      </c>
      <c r="AP40" s="16">
        <v>-2.5000000000000001E-2</v>
      </c>
      <c r="AQ40">
        <v>1.4999999999999999E-2</v>
      </c>
      <c r="AR40">
        <v>-1.4999999999999999E-2</v>
      </c>
      <c r="AS40">
        <v>1E-3</v>
      </c>
      <c r="AT40">
        <v>-1E-3</v>
      </c>
      <c r="AU40">
        <v>1E-3</v>
      </c>
      <c r="AV40">
        <v>-1E-3</v>
      </c>
      <c r="AW40" s="16">
        <v>1.4999999999999999E-2</v>
      </c>
      <c r="AX40" s="16">
        <v>-1.4999999999999999E-2</v>
      </c>
    </row>
    <row r="41" spans="1:279" customFormat="1">
      <c r="F41" s="17" t="str">
        <f t="shared" si="0"/>
        <v/>
      </c>
      <c r="G41" s="9"/>
      <c r="H41" s="2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22" t="e">
        <f t="shared" si="1"/>
        <v>#N/A</v>
      </c>
      <c r="X41" s="21" t="e">
        <f t="shared" si="2"/>
        <v>#N/A</v>
      </c>
      <c r="Y41" s="21" t="e">
        <f t="shared" si="3"/>
        <v>#N/A</v>
      </c>
      <c r="Z41" s="11" t="e">
        <f t="shared" si="4"/>
        <v>#N/A</v>
      </c>
      <c r="AA41" s="22" t="e">
        <f t="shared" si="5"/>
        <v>#N/A</v>
      </c>
      <c r="AB41" s="21" t="e">
        <f t="shared" si="6"/>
        <v>#N/A</v>
      </c>
      <c r="AC41" s="21" t="e">
        <f t="shared" si="7"/>
        <v>#N/A</v>
      </c>
      <c r="AD41" s="11" t="e">
        <f t="shared" si="8"/>
        <v>#N/A</v>
      </c>
      <c r="AE41" s="22" t="e">
        <f t="shared" si="9"/>
        <v>#N/A</v>
      </c>
      <c r="AF41" s="21" t="e">
        <f t="shared" si="10"/>
        <v>#N/A</v>
      </c>
      <c r="AG41" s="21" t="e">
        <f t="shared" si="11"/>
        <v>#N/A</v>
      </c>
      <c r="AH41" s="11" t="e">
        <f t="shared" si="12"/>
        <v>#N/A</v>
      </c>
      <c r="AI41">
        <v>2.5000000000000001E-2</v>
      </c>
      <c r="AJ41">
        <v>-2.5000000000000001E-2</v>
      </c>
      <c r="AK41">
        <v>1.5E-3</v>
      </c>
      <c r="AL41">
        <v>-1.5E-3</v>
      </c>
      <c r="AM41">
        <v>1.5E-3</v>
      </c>
      <c r="AN41">
        <v>-1.5E-3</v>
      </c>
      <c r="AO41" s="16">
        <v>2.5000000000000001E-2</v>
      </c>
      <c r="AP41" s="16">
        <v>-2.5000000000000001E-2</v>
      </c>
      <c r="AQ41">
        <v>1.4999999999999999E-2</v>
      </c>
      <c r="AR41">
        <v>-1.4999999999999999E-2</v>
      </c>
      <c r="AS41">
        <v>1E-3</v>
      </c>
      <c r="AT41">
        <v>-1E-3</v>
      </c>
      <c r="AU41">
        <v>1E-3</v>
      </c>
      <c r="AV41">
        <v>-1E-3</v>
      </c>
      <c r="AW41" s="16">
        <v>1.4999999999999999E-2</v>
      </c>
      <c r="AX41" s="16">
        <v>-1.4999999999999999E-2</v>
      </c>
    </row>
    <row r="42" spans="1:279" customFormat="1">
      <c r="F42" s="17" t="str">
        <f t="shared" si="0"/>
        <v/>
      </c>
      <c r="G42" s="9"/>
      <c r="H42" s="2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22" t="e">
        <f t="shared" si="1"/>
        <v>#N/A</v>
      </c>
      <c r="X42" s="21" t="e">
        <f t="shared" si="2"/>
        <v>#N/A</v>
      </c>
      <c r="Y42" s="21" t="e">
        <f t="shared" si="3"/>
        <v>#N/A</v>
      </c>
      <c r="Z42" s="11" t="e">
        <f t="shared" si="4"/>
        <v>#N/A</v>
      </c>
      <c r="AA42" s="22" t="e">
        <f t="shared" si="5"/>
        <v>#N/A</v>
      </c>
      <c r="AB42" s="21" t="e">
        <f t="shared" si="6"/>
        <v>#N/A</v>
      </c>
      <c r="AC42" s="21" t="e">
        <f t="shared" si="7"/>
        <v>#N/A</v>
      </c>
      <c r="AD42" s="11" t="e">
        <f t="shared" si="8"/>
        <v>#N/A</v>
      </c>
      <c r="AE42" s="22" t="e">
        <f t="shared" si="9"/>
        <v>#N/A</v>
      </c>
      <c r="AF42" s="21" t="e">
        <f t="shared" si="10"/>
        <v>#N/A</v>
      </c>
      <c r="AG42" s="21" t="e">
        <f t="shared" si="11"/>
        <v>#N/A</v>
      </c>
      <c r="AH42" s="11" t="e">
        <f t="shared" si="12"/>
        <v>#N/A</v>
      </c>
      <c r="AI42">
        <v>2.5000000000000001E-2</v>
      </c>
      <c r="AJ42">
        <v>-2.5000000000000001E-2</v>
      </c>
      <c r="AK42">
        <v>1.5E-3</v>
      </c>
      <c r="AL42">
        <v>-1.5E-3</v>
      </c>
      <c r="AM42">
        <v>1.5E-3</v>
      </c>
      <c r="AN42">
        <v>-1.5E-3</v>
      </c>
      <c r="AO42" s="16">
        <v>2.5000000000000001E-2</v>
      </c>
      <c r="AP42" s="16">
        <v>-2.5000000000000001E-2</v>
      </c>
      <c r="AQ42">
        <v>1.4999999999999999E-2</v>
      </c>
      <c r="AR42">
        <v>-1.4999999999999999E-2</v>
      </c>
      <c r="AS42">
        <v>1E-3</v>
      </c>
      <c r="AT42">
        <v>-1E-3</v>
      </c>
      <c r="AU42">
        <v>1E-3</v>
      </c>
      <c r="AV42">
        <v>-1E-3</v>
      </c>
      <c r="AW42" s="16">
        <v>1.4999999999999999E-2</v>
      </c>
      <c r="AX42" s="16">
        <v>-1.4999999999999999E-2</v>
      </c>
    </row>
    <row r="43" spans="1:279" customFormat="1">
      <c r="F43" s="17" t="str">
        <f t="shared" si="0"/>
        <v/>
      </c>
      <c r="G43" s="9"/>
      <c r="H43" s="2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22" t="e">
        <f t="shared" si="1"/>
        <v>#N/A</v>
      </c>
      <c r="X43" s="21" t="e">
        <f t="shared" si="2"/>
        <v>#N/A</v>
      </c>
      <c r="Y43" s="21" t="e">
        <f t="shared" si="3"/>
        <v>#N/A</v>
      </c>
      <c r="Z43" s="11" t="e">
        <f t="shared" si="4"/>
        <v>#N/A</v>
      </c>
      <c r="AA43" s="22" t="e">
        <f t="shared" si="5"/>
        <v>#N/A</v>
      </c>
      <c r="AB43" s="21" t="e">
        <f t="shared" si="6"/>
        <v>#N/A</v>
      </c>
      <c r="AC43" s="21" t="e">
        <f t="shared" si="7"/>
        <v>#N/A</v>
      </c>
      <c r="AD43" s="11" t="e">
        <f t="shared" si="8"/>
        <v>#N/A</v>
      </c>
      <c r="AE43" s="22" t="e">
        <f t="shared" si="9"/>
        <v>#N/A</v>
      </c>
      <c r="AF43" s="21" t="e">
        <f t="shared" si="10"/>
        <v>#N/A</v>
      </c>
      <c r="AG43" s="21" t="e">
        <f t="shared" si="11"/>
        <v>#N/A</v>
      </c>
      <c r="AH43" s="11" t="e">
        <f t="shared" si="12"/>
        <v>#N/A</v>
      </c>
      <c r="AI43">
        <v>2.5000000000000001E-2</v>
      </c>
      <c r="AJ43">
        <v>-2.5000000000000001E-2</v>
      </c>
      <c r="AK43">
        <v>1.5E-3</v>
      </c>
      <c r="AL43">
        <v>-1.5E-3</v>
      </c>
      <c r="AM43">
        <v>1.5E-3</v>
      </c>
      <c r="AN43">
        <v>-1.5E-3</v>
      </c>
      <c r="AO43" s="16">
        <v>2.5000000000000001E-2</v>
      </c>
      <c r="AP43" s="16">
        <v>-2.5000000000000001E-2</v>
      </c>
      <c r="AQ43">
        <v>1.4999999999999999E-2</v>
      </c>
      <c r="AR43">
        <v>-1.4999999999999999E-2</v>
      </c>
      <c r="AS43">
        <v>1E-3</v>
      </c>
      <c r="AT43">
        <v>-1E-3</v>
      </c>
      <c r="AU43">
        <v>1E-3</v>
      </c>
      <c r="AV43">
        <v>-1E-3</v>
      </c>
      <c r="AW43" s="16">
        <v>1.4999999999999999E-2</v>
      </c>
      <c r="AX43" s="16">
        <v>-1.4999999999999999E-2</v>
      </c>
    </row>
    <row r="44" spans="1:279" customFormat="1">
      <c r="F44" s="17" t="str">
        <f t="shared" si="0"/>
        <v/>
      </c>
      <c r="G44" s="9"/>
      <c r="H44" s="2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22" t="e">
        <f t="shared" si="1"/>
        <v>#N/A</v>
      </c>
      <c r="X44" s="21" t="e">
        <f t="shared" si="2"/>
        <v>#N/A</v>
      </c>
      <c r="Y44" s="21" t="e">
        <f t="shared" si="3"/>
        <v>#N/A</v>
      </c>
      <c r="Z44" s="11" t="e">
        <f t="shared" si="4"/>
        <v>#N/A</v>
      </c>
      <c r="AA44" s="22" t="e">
        <f t="shared" si="5"/>
        <v>#N/A</v>
      </c>
      <c r="AB44" s="21" t="e">
        <f t="shared" si="6"/>
        <v>#N/A</v>
      </c>
      <c r="AC44" s="21" t="e">
        <f t="shared" si="7"/>
        <v>#N/A</v>
      </c>
      <c r="AD44" s="11" t="e">
        <f t="shared" si="8"/>
        <v>#N/A</v>
      </c>
      <c r="AE44" s="22" t="e">
        <f t="shared" si="9"/>
        <v>#N/A</v>
      </c>
      <c r="AF44" s="21" t="e">
        <f t="shared" si="10"/>
        <v>#N/A</v>
      </c>
      <c r="AG44" s="21" t="e">
        <f t="shared" si="11"/>
        <v>#N/A</v>
      </c>
      <c r="AH44" s="11" t="e">
        <f t="shared" si="12"/>
        <v>#N/A</v>
      </c>
      <c r="AI44">
        <v>2.5000000000000001E-2</v>
      </c>
      <c r="AJ44">
        <v>-2.5000000000000001E-2</v>
      </c>
      <c r="AK44">
        <v>1.5E-3</v>
      </c>
      <c r="AL44">
        <v>-1.5E-3</v>
      </c>
      <c r="AM44">
        <v>1.5E-3</v>
      </c>
      <c r="AN44">
        <v>-1.5E-3</v>
      </c>
      <c r="AO44" s="16">
        <v>2.5000000000000001E-2</v>
      </c>
      <c r="AP44" s="16">
        <v>-2.5000000000000001E-2</v>
      </c>
      <c r="AQ44">
        <v>1.4999999999999999E-2</v>
      </c>
      <c r="AR44">
        <v>-1.4999999999999999E-2</v>
      </c>
      <c r="AS44">
        <v>1E-3</v>
      </c>
      <c r="AT44">
        <v>-1E-3</v>
      </c>
      <c r="AU44">
        <v>1E-3</v>
      </c>
      <c r="AV44">
        <v>-1E-3</v>
      </c>
      <c r="AW44" s="16">
        <v>1.4999999999999999E-2</v>
      </c>
      <c r="AX44" s="16">
        <v>-1.4999999999999999E-2</v>
      </c>
    </row>
    <row r="45" spans="1:279" customFormat="1">
      <c r="F45" s="17" t="str">
        <f t="shared" si="0"/>
        <v/>
      </c>
      <c r="G45" s="9"/>
      <c r="H45" s="2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22" t="e">
        <f t="shared" si="1"/>
        <v>#N/A</v>
      </c>
      <c r="X45" s="21" t="e">
        <f t="shared" si="2"/>
        <v>#N/A</v>
      </c>
      <c r="Y45" s="21" t="e">
        <f t="shared" si="3"/>
        <v>#N/A</v>
      </c>
      <c r="Z45" s="11" t="e">
        <f t="shared" si="4"/>
        <v>#N/A</v>
      </c>
      <c r="AA45" s="22" t="e">
        <f t="shared" si="5"/>
        <v>#N/A</v>
      </c>
      <c r="AB45" s="21" t="e">
        <f t="shared" si="6"/>
        <v>#N/A</v>
      </c>
      <c r="AC45" s="21" t="e">
        <f t="shared" si="7"/>
        <v>#N/A</v>
      </c>
      <c r="AD45" s="11" t="e">
        <f t="shared" si="8"/>
        <v>#N/A</v>
      </c>
      <c r="AE45" s="22" t="e">
        <f t="shared" si="9"/>
        <v>#N/A</v>
      </c>
      <c r="AF45" s="21" t="e">
        <f t="shared" si="10"/>
        <v>#N/A</v>
      </c>
      <c r="AG45" s="21" t="e">
        <f t="shared" si="11"/>
        <v>#N/A</v>
      </c>
      <c r="AH45" s="11" t="e">
        <f t="shared" si="12"/>
        <v>#N/A</v>
      </c>
      <c r="AI45">
        <v>2.5000000000000001E-2</v>
      </c>
      <c r="AJ45">
        <v>-2.5000000000000001E-2</v>
      </c>
      <c r="AK45">
        <v>1.5E-3</v>
      </c>
      <c r="AL45">
        <v>-1.5E-3</v>
      </c>
      <c r="AM45">
        <v>1.5E-3</v>
      </c>
      <c r="AN45">
        <v>-1.5E-3</v>
      </c>
      <c r="AO45" s="16">
        <v>2.5000000000000001E-2</v>
      </c>
      <c r="AP45" s="16">
        <v>-2.5000000000000001E-2</v>
      </c>
      <c r="AQ45">
        <v>1.4999999999999999E-2</v>
      </c>
      <c r="AR45">
        <v>-1.4999999999999999E-2</v>
      </c>
      <c r="AS45">
        <v>1E-3</v>
      </c>
      <c r="AT45">
        <v>-1E-3</v>
      </c>
      <c r="AU45">
        <v>1E-3</v>
      </c>
      <c r="AV45">
        <v>-1E-3</v>
      </c>
      <c r="AW45" s="16">
        <v>1.4999999999999999E-2</v>
      </c>
      <c r="AX45" s="16">
        <v>-1.4999999999999999E-2</v>
      </c>
    </row>
    <row r="46" spans="1:279" customFormat="1">
      <c r="F46" s="17" t="str">
        <f t="shared" si="0"/>
        <v/>
      </c>
      <c r="G46" s="9"/>
      <c r="H46" s="2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22" t="e">
        <f t="shared" si="1"/>
        <v>#N/A</v>
      </c>
      <c r="X46" s="21" t="e">
        <f t="shared" si="2"/>
        <v>#N/A</v>
      </c>
      <c r="Y46" s="21" t="e">
        <f t="shared" si="3"/>
        <v>#N/A</v>
      </c>
      <c r="Z46" s="11" t="e">
        <f t="shared" si="4"/>
        <v>#N/A</v>
      </c>
      <c r="AA46" s="22" t="e">
        <f t="shared" si="5"/>
        <v>#N/A</v>
      </c>
      <c r="AB46" s="21" t="e">
        <f t="shared" si="6"/>
        <v>#N/A</v>
      </c>
      <c r="AC46" s="21" t="e">
        <f t="shared" si="7"/>
        <v>#N/A</v>
      </c>
      <c r="AD46" s="11" t="e">
        <f t="shared" si="8"/>
        <v>#N/A</v>
      </c>
      <c r="AE46" s="22" t="e">
        <f t="shared" si="9"/>
        <v>#N/A</v>
      </c>
      <c r="AF46" s="21" t="e">
        <f t="shared" si="10"/>
        <v>#N/A</v>
      </c>
      <c r="AG46" s="21" t="e">
        <f t="shared" si="11"/>
        <v>#N/A</v>
      </c>
      <c r="AH46" s="11" t="e">
        <f t="shared" si="12"/>
        <v>#N/A</v>
      </c>
      <c r="AI46">
        <v>2.5000000000000001E-2</v>
      </c>
      <c r="AJ46">
        <v>-2.5000000000000001E-2</v>
      </c>
      <c r="AK46">
        <v>1.5E-3</v>
      </c>
      <c r="AL46">
        <v>-1.5E-3</v>
      </c>
      <c r="AM46">
        <v>1.5E-3</v>
      </c>
      <c r="AN46">
        <v>-1.5E-3</v>
      </c>
      <c r="AO46" s="16">
        <v>2.5000000000000001E-2</v>
      </c>
      <c r="AP46" s="16">
        <v>-2.5000000000000001E-2</v>
      </c>
      <c r="AQ46">
        <v>1.4999999999999999E-2</v>
      </c>
      <c r="AR46">
        <v>-1.4999999999999999E-2</v>
      </c>
      <c r="AS46">
        <v>1E-3</v>
      </c>
      <c r="AT46">
        <v>-1E-3</v>
      </c>
      <c r="AU46">
        <v>1E-3</v>
      </c>
      <c r="AV46">
        <v>-1E-3</v>
      </c>
      <c r="AW46" s="16">
        <v>1.4999999999999999E-2</v>
      </c>
      <c r="AX46" s="16">
        <v>-1.4999999999999999E-2</v>
      </c>
      <c r="JR46">
        <v>12.849506578947368</v>
      </c>
      <c r="JS46">
        <v>25.699013157894736</v>
      </c>
    </row>
    <row r="47" spans="1:279" customFormat="1">
      <c r="F47" s="17" t="str">
        <f t="shared" si="0"/>
        <v/>
      </c>
      <c r="G47" s="9"/>
      <c r="H47" s="2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22" t="e">
        <f t="shared" si="1"/>
        <v>#N/A</v>
      </c>
      <c r="X47" s="21" t="e">
        <f t="shared" si="2"/>
        <v>#N/A</v>
      </c>
      <c r="Y47" s="21" t="e">
        <f t="shared" si="3"/>
        <v>#N/A</v>
      </c>
      <c r="Z47" s="11" t="e">
        <f t="shared" si="4"/>
        <v>#N/A</v>
      </c>
      <c r="AA47" s="22" t="e">
        <f t="shared" si="5"/>
        <v>#N/A</v>
      </c>
      <c r="AB47" s="21" t="e">
        <f t="shared" si="6"/>
        <v>#N/A</v>
      </c>
      <c r="AC47" s="21" t="e">
        <f t="shared" si="7"/>
        <v>#N/A</v>
      </c>
      <c r="AD47" s="11" t="e">
        <f t="shared" si="8"/>
        <v>#N/A</v>
      </c>
      <c r="AE47" s="22" t="e">
        <f t="shared" si="9"/>
        <v>#N/A</v>
      </c>
      <c r="AF47" s="21" t="e">
        <f t="shared" si="10"/>
        <v>#N/A</v>
      </c>
      <c r="AG47" s="21" t="e">
        <f t="shared" si="11"/>
        <v>#N/A</v>
      </c>
      <c r="AH47" s="11" t="e">
        <f t="shared" si="12"/>
        <v>#N/A</v>
      </c>
      <c r="AI47">
        <v>2.5000000000000001E-2</v>
      </c>
      <c r="AJ47">
        <v>-2.5000000000000001E-2</v>
      </c>
      <c r="AK47">
        <v>1.5E-3</v>
      </c>
      <c r="AL47">
        <v>-1.5E-3</v>
      </c>
      <c r="AM47">
        <v>1.5E-3</v>
      </c>
      <c r="AN47">
        <v>-1.5E-3</v>
      </c>
      <c r="AO47" s="16">
        <v>2.5000000000000001E-2</v>
      </c>
      <c r="AP47" s="16">
        <v>-2.5000000000000001E-2</v>
      </c>
      <c r="AQ47">
        <v>1.4999999999999999E-2</v>
      </c>
      <c r="AR47">
        <v>-1.4999999999999999E-2</v>
      </c>
      <c r="AS47">
        <v>1E-3</v>
      </c>
      <c r="AT47">
        <v>-1E-3</v>
      </c>
      <c r="AU47">
        <v>1E-3</v>
      </c>
      <c r="AV47">
        <v>-1E-3</v>
      </c>
      <c r="AW47" s="16">
        <v>1.4999999999999999E-2</v>
      </c>
      <c r="AX47" s="16">
        <v>-1.4999999999999999E-2</v>
      </c>
    </row>
    <row r="48" spans="1:279" customFormat="1">
      <c r="F48" s="17" t="str">
        <f t="shared" si="0"/>
        <v/>
      </c>
      <c r="G48" s="9"/>
      <c r="H48" s="2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22" t="e">
        <f t="shared" si="1"/>
        <v>#N/A</v>
      </c>
      <c r="X48" s="21" t="e">
        <f t="shared" si="2"/>
        <v>#N/A</v>
      </c>
      <c r="Y48" s="21" t="e">
        <f t="shared" si="3"/>
        <v>#N/A</v>
      </c>
      <c r="Z48" s="11" t="e">
        <f t="shared" si="4"/>
        <v>#N/A</v>
      </c>
      <c r="AA48" s="22" t="e">
        <f t="shared" si="5"/>
        <v>#N/A</v>
      </c>
      <c r="AB48" s="21" t="e">
        <f t="shared" si="6"/>
        <v>#N/A</v>
      </c>
      <c r="AC48" s="21" t="e">
        <f t="shared" si="7"/>
        <v>#N/A</v>
      </c>
      <c r="AD48" s="11" t="e">
        <f t="shared" si="8"/>
        <v>#N/A</v>
      </c>
      <c r="AE48" s="22" t="e">
        <f t="shared" si="9"/>
        <v>#N/A</v>
      </c>
      <c r="AF48" s="21" t="e">
        <f t="shared" si="10"/>
        <v>#N/A</v>
      </c>
      <c r="AG48" s="21" t="e">
        <f t="shared" si="11"/>
        <v>#N/A</v>
      </c>
      <c r="AH48" s="11" t="e">
        <f t="shared" si="12"/>
        <v>#N/A</v>
      </c>
      <c r="AI48">
        <v>2.5000000000000001E-2</v>
      </c>
      <c r="AJ48">
        <v>-2.5000000000000001E-2</v>
      </c>
      <c r="AK48">
        <v>1.5E-3</v>
      </c>
      <c r="AL48">
        <v>-1.5E-3</v>
      </c>
      <c r="AM48">
        <v>1.5E-3</v>
      </c>
      <c r="AN48">
        <v>-1.5E-3</v>
      </c>
      <c r="AO48" s="16">
        <v>2.5000000000000001E-2</v>
      </c>
      <c r="AP48" s="16">
        <v>-2.5000000000000001E-2</v>
      </c>
      <c r="AQ48">
        <v>1.4999999999999999E-2</v>
      </c>
      <c r="AR48">
        <v>-1.4999999999999999E-2</v>
      </c>
      <c r="AS48">
        <v>1E-3</v>
      </c>
      <c r="AT48">
        <v>-1E-3</v>
      </c>
      <c r="AU48">
        <v>1E-3</v>
      </c>
      <c r="AV48">
        <v>-1E-3</v>
      </c>
      <c r="AW48" s="16">
        <v>1.4999999999999999E-2</v>
      </c>
      <c r="AX48" s="16">
        <v>-1.4999999999999999E-2</v>
      </c>
      <c r="JQ48">
        <v>12.849506578947368</v>
      </c>
      <c r="JR48">
        <v>12.849506578947368</v>
      </c>
      <c r="JS48">
        <v>12.849506578947368</v>
      </c>
    </row>
    <row r="49" spans="6:279" customFormat="1">
      <c r="F49" s="17" t="str">
        <f t="shared" si="0"/>
        <v/>
      </c>
      <c r="G49" s="9"/>
      <c r="H49" s="2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22" t="e">
        <f t="shared" si="1"/>
        <v>#N/A</v>
      </c>
      <c r="X49" s="21" t="e">
        <f t="shared" si="2"/>
        <v>#N/A</v>
      </c>
      <c r="Y49" s="21" t="e">
        <f t="shared" si="3"/>
        <v>#N/A</v>
      </c>
      <c r="Z49" s="11" t="e">
        <f t="shared" si="4"/>
        <v>#N/A</v>
      </c>
      <c r="AA49" s="22" t="e">
        <f t="shared" si="5"/>
        <v>#N/A</v>
      </c>
      <c r="AB49" s="21" t="e">
        <f t="shared" si="6"/>
        <v>#N/A</v>
      </c>
      <c r="AC49" s="21" t="e">
        <f t="shared" si="7"/>
        <v>#N/A</v>
      </c>
      <c r="AD49" s="11" t="e">
        <f t="shared" si="8"/>
        <v>#N/A</v>
      </c>
      <c r="AE49" s="22" t="e">
        <f t="shared" si="9"/>
        <v>#N/A</v>
      </c>
      <c r="AF49" s="21" t="e">
        <f t="shared" si="10"/>
        <v>#N/A</v>
      </c>
      <c r="AG49" s="21" t="e">
        <f t="shared" si="11"/>
        <v>#N/A</v>
      </c>
      <c r="AH49" s="11" t="e">
        <f t="shared" si="12"/>
        <v>#N/A</v>
      </c>
      <c r="AI49">
        <v>2.5000000000000001E-2</v>
      </c>
      <c r="AJ49">
        <v>-2.5000000000000001E-2</v>
      </c>
      <c r="AK49">
        <v>1.5E-3</v>
      </c>
      <c r="AL49">
        <v>-1.5E-3</v>
      </c>
      <c r="AM49">
        <v>1.5E-3</v>
      </c>
      <c r="AN49">
        <v>-1.5E-3</v>
      </c>
      <c r="AO49" s="16">
        <v>2.5000000000000001E-2</v>
      </c>
      <c r="AP49" s="16">
        <v>-2.5000000000000001E-2</v>
      </c>
      <c r="AQ49">
        <v>1.4999999999999999E-2</v>
      </c>
      <c r="AR49">
        <v>-1.4999999999999999E-2</v>
      </c>
      <c r="AS49">
        <v>1E-3</v>
      </c>
      <c r="AT49">
        <v>-1E-3</v>
      </c>
      <c r="AU49">
        <v>1E-3</v>
      </c>
      <c r="AV49">
        <v>-1E-3</v>
      </c>
      <c r="AW49" s="16">
        <v>1.4999999999999999E-2</v>
      </c>
      <c r="AX49" s="16">
        <v>-1.4999999999999999E-2</v>
      </c>
    </row>
    <row r="50" spans="6:279" customFormat="1">
      <c r="F50" s="17" t="str">
        <f t="shared" si="0"/>
        <v/>
      </c>
      <c r="G50" s="9"/>
      <c r="H50" s="2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22" t="e">
        <f t="shared" si="1"/>
        <v>#N/A</v>
      </c>
      <c r="X50" s="21" t="e">
        <f t="shared" si="2"/>
        <v>#N/A</v>
      </c>
      <c r="Y50" s="21" t="e">
        <f t="shared" si="3"/>
        <v>#N/A</v>
      </c>
      <c r="Z50" s="11" t="e">
        <f t="shared" si="4"/>
        <v>#N/A</v>
      </c>
      <c r="AA50" s="22" t="e">
        <f t="shared" si="5"/>
        <v>#N/A</v>
      </c>
      <c r="AB50" s="21" t="e">
        <f t="shared" si="6"/>
        <v>#N/A</v>
      </c>
      <c r="AC50" s="21" t="e">
        <f t="shared" si="7"/>
        <v>#N/A</v>
      </c>
      <c r="AD50" s="11" t="e">
        <f t="shared" si="8"/>
        <v>#N/A</v>
      </c>
      <c r="AE50" s="22" t="e">
        <f t="shared" si="9"/>
        <v>#N/A</v>
      </c>
      <c r="AF50" s="21" t="e">
        <f t="shared" si="10"/>
        <v>#N/A</v>
      </c>
      <c r="AG50" s="21" t="e">
        <f t="shared" si="11"/>
        <v>#N/A</v>
      </c>
      <c r="AH50" s="11" t="e">
        <f t="shared" si="12"/>
        <v>#N/A</v>
      </c>
      <c r="AI50">
        <v>2.5000000000000001E-2</v>
      </c>
      <c r="AJ50">
        <v>-2.5000000000000001E-2</v>
      </c>
      <c r="AK50">
        <v>1.5E-3</v>
      </c>
      <c r="AL50">
        <v>-1.5E-3</v>
      </c>
      <c r="AM50">
        <v>1.5E-3</v>
      </c>
      <c r="AN50">
        <v>-1.5E-3</v>
      </c>
      <c r="AO50" s="16">
        <v>2.5000000000000001E-2</v>
      </c>
      <c r="AP50" s="16">
        <v>-2.5000000000000001E-2</v>
      </c>
      <c r="AQ50">
        <v>1.4999999999999999E-2</v>
      </c>
      <c r="AR50">
        <v>-1.4999999999999999E-2</v>
      </c>
      <c r="AS50">
        <v>1E-3</v>
      </c>
      <c r="AT50">
        <v>-1E-3</v>
      </c>
      <c r="AU50">
        <v>1E-3</v>
      </c>
      <c r="AV50">
        <v>-1E-3</v>
      </c>
      <c r="AW50" s="16">
        <v>1.4999999999999999E-2</v>
      </c>
      <c r="AX50" s="16">
        <v>-1.4999999999999999E-2</v>
      </c>
    </row>
    <row r="51" spans="6:279" customFormat="1">
      <c r="F51" s="17" t="str">
        <f t="shared" si="0"/>
        <v/>
      </c>
      <c r="G51" s="9"/>
      <c r="H51" s="2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22" t="e">
        <f t="shared" si="1"/>
        <v>#N/A</v>
      </c>
      <c r="X51" s="21" t="e">
        <f t="shared" si="2"/>
        <v>#N/A</v>
      </c>
      <c r="Y51" s="21" t="e">
        <f t="shared" si="3"/>
        <v>#N/A</v>
      </c>
      <c r="Z51" s="11" t="e">
        <f t="shared" si="4"/>
        <v>#N/A</v>
      </c>
      <c r="AA51" s="22" t="e">
        <f t="shared" si="5"/>
        <v>#N/A</v>
      </c>
      <c r="AB51" s="21" t="e">
        <f t="shared" si="6"/>
        <v>#N/A</v>
      </c>
      <c r="AC51" s="21" t="e">
        <f t="shared" si="7"/>
        <v>#N/A</v>
      </c>
      <c r="AD51" s="11" t="e">
        <f t="shared" si="8"/>
        <v>#N/A</v>
      </c>
      <c r="AE51" s="22" t="e">
        <f t="shared" si="9"/>
        <v>#N/A</v>
      </c>
      <c r="AF51" s="21" t="e">
        <f t="shared" si="10"/>
        <v>#N/A</v>
      </c>
      <c r="AG51" s="21" t="e">
        <f t="shared" si="11"/>
        <v>#N/A</v>
      </c>
      <c r="AH51" s="11" t="e">
        <f t="shared" si="12"/>
        <v>#N/A</v>
      </c>
      <c r="AI51">
        <v>2.5000000000000001E-2</v>
      </c>
      <c r="AJ51">
        <v>-2.5000000000000001E-2</v>
      </c>
      <c r="AK51">
        <v>1.5E-3</v>
      </c>
      <c r="AL51">
        <v>-1.5E-3</v>
      </c>
      <c r="AM51">
        <v>1.5E-3</v>
      </c>
      <c r="AN51">
        <v>-1.5E-3</v>
      </c>
      <c r="AO51" s="16">
        <v>2.5000000000000001E-2</v>
      </c>
      <c r="AP51" s="16">
        <v>-2.5000000000000001E-2</v>
      </c>
      <c r="AQ51">
        <v>1.4999999999999999E-2</v>
      </c>
      <c r="AR51">
        <v>-1.4999999999999999E-2</v>
      </c>
      <c r="AS51">
        <v>1E-3</v>
      </c>
      <c r="AT51">
        <v>-1E-3</v>
      </c>
      <c r="AU51">
        <v>1E-3</v>
      </c>
      <c r="AV51">
        <v>-1E-3</v>
      </c>
      <c r="AW51" s="16">
        <v>1.4999999999999999E-2</v>
      </c>
      <c r="AX51" s="16">
        <v>-1.4999999999999999E-2</v>
      </c>
    </row>
    <row r="52" spans="6:279" customFormat="1">
      <c r="F52" s="17" t="str">
        <f t="shared" si="0"/>
        <v/>
      </c>
      <c r="G52" s="9"/>
      <c r="H52" s="2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22" t="e">
        <f t="shared" si="1"/>
        <v>#N/A</v>
      </c>
      <c r="X52" s="21" t="e">
        <f t="shared" si="2"/>
        <v>#N/A</v>
      </c>
      <c r="Y52" s="21" t="e">
        <f t="shared" si="3"/>
        <v>#N/A</v>
      </c>
      <c r="Z52" s="11" t="e">
        <f t="shared" si="4"/>
        <v>#N/A</v>
      </c>
      <c r="AA52" s="22" t="e">
        <f t="shared" si="5"/>
        <v>#N/A</v>
      </c>
      <c r="AB52" s="21" t="e">
        <f t="shared" si="6"/>
        <v>#N/A</v>
      </c>
      <c r="AC52" s="21" t="e">
        <f t="shared" si="7"/>
        <v>#N/A</v>
      </c>
      <c r="AD52" s="11" t="e">
        <f t="shared" si="8"/>
        <v>#N/A</v>
      </c>
      <c r="AE52" s="22" t="e">
        <f t="shared" si="9"/>
        <v>#N/A</v>
      </c>
      <c r="AF52" s="21" t="e">
        <f t="shared" si="10"/>
        <v>#N/A</v>
      </c>
      <c r="AG52" s="21" t="e">
        <f t="shared" si="11"/>
        <v>#N/A</v>
      </c>
      <c r="AH52" s="11" t="e">
        <f t="shared" si="12"/>
        <v>#N/A</v>
      </c>
      <c r="AI52">
        <v>2.5000000000000001E-2</v>
      </c>
      <c r="AJ52">
        <v>-2.5000000000000001E-2</v>
      </c>
      <c r="AK52">
        <v>1.5E-3</v>
      </c>
      <c r="AL52">
        <v>-1.5E-3</v>
      </c>
      <c r="AM52">
        <v>1.5E-3</v>
      </c>
      <c r="AN52">
        <v>-1.5E-3</v>
      </c>
      <c r="AO52" s="16">
        <v>2.5000000000000001E-2</v>
      </c>
      <c r="AP52" s="16">
        <v>-2.5000000000000001E-2</v>
      </c>
      <c r="AQ52">
        <v>1.4999999999999999E-2</v>
      </c>
      <c r="AR52">
        <v>-1.4999999999999999E-2</v>
      </c>
      <c r="AS52">
        <v>1E-3</v>
      </c>
      <c r="AT52">
        <v>-1E-3</v>
      </c>
      <c r="AU52">
        <v>1E-3</v>
      </c>
      <c r="AV52">
        <v>-1E-3</v>
      </c>
      <c r="AW52" s="16">
        <v>1.4999999999999999E-2</v>
      </c>
      <c r="AX52" s="16">
        <v>-1.4999999999999999E-2</v>
      </c>
    </row>
    <row r="53" spans="6:279" customFormat="1">
      <c r="F53" s="17" t="str">
        <f t="shared" si="0"/>
        <v/>
      </c>
      <c r="G53" s="9"/>
      <c r="H53" s="2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22" t="e">
        <f t="shared" si="1"/>
        <v>#N/A</v>
      </c>
      <c r="X53" s="21" t="e">
        <f t="shared" si="2"/>
        <v>#N/A</v>
      </c>
      <c r="Y53" s="21" t="e">
        <f t="shared" si="3"/>
        <v>#N/A</v>
      </c>
      <c r="Z53" s="11" t="e">
        <f t="shared" si="4"/>
        <v>#N/A</v>
      </c>
      <c r="AA53" s="22" t="e">
        <f t="shared" si="5"/>
        <v>#N/A</v>
      </c>
      <c r="AB53" s="21" t="e">
        <f t="shared" si="6"/>
        <v>#N/A</v>
      </c>
      <c r="AC53" s="21" t="e">
        <f t="shared" si="7"/>
        <v>#N/A</v>
      </c>
      <c r="AD53" s="11" t="e">
        <f t="shared" si="8"/>
        <v>#N/A</v>
      </c>
      <c r="AE53" s="22" t="e">
        <f t="shared" si="9"/>
        <v>#N/A</v>
      </c>
      <c r="AF53" s="21" t="e">
        <f t="shared" si="10"/>
        <v>#N/A</v>
      </c>
      <c r="AG53" s="21" t="e">
        <f t="shared" si="11"/>
        <v>#N/A</v>
      </c>
      <c r="AH53" s="11" t="e">
        <f t="shared" si="12"/>
        <v>#N/A</v>
      </c>
      <c r="AI53">
        <v>2.5000000000000001E-2</v>
      </c>
      <c r="AJ53">
        <v>-2.5000000000000001E-2</v>
      </c>
      <c r="AK53">
        <v>1.5E-3</v>
      </c>
      <c r="AL53">
        <v>-1.5E-3</v>
      </c>
      <c r="AM53">
        <v>1.5E-3</v>
      </c>
      <c r="AN53">
        <v>-1.5E-3</v>
      </c>
      <c r="AO53" s="16">
        <v>2.5000000000000001E-2</v>
      </c>
      <c r="AP53" s="16">
        <v>-2.5000000000000001E-2</v>
      </c>
      <c r="AQ53">
        <v>1.4999999999999999E-2</v>
      </c>
      <c r="AR53">
        <v>-1.4999999999999999E-2</v>
      </c>
      <c r="AS53">
        <v>1E-3</v>
      </c>
      <c r="AT53">
        <v>-1E-3</v>
      </c>
      <c r="AU53">
        <v>1E-3</v>
      </c>
      <c r="AV53">
        <v>-1E-3</v>
      </c>
      <c r="AW53" s="16">
        <v>1.4999999999999999E-2</v>
      </c>
      <c r="AX53" s="16">
        <v>-1.4999999999999999E-2</v>
      </c>
      <c r="JR53">
        <v>12.849506578947368</v>
      </c>
    </row>
    <row r="54" spans="6:279" customFormat="1">
      <c r="F54" s="17" t="str">
        <f t="shared" si="0"/>
        <v/>
      </c>
      <c r="G54" s="9"/>
      <c r="H54" s="2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22" t="e">
        <f t="shared" si="1"/>
        <v>#N/A</v>
      </c>
      <c r="X54" s="21" t="e">
        <f t="shared" si="2"/>
        <v>#N/A</v>
      </c>
      <c r="Y54" s="21" t="e">
        <f t="shared" si="3"/>
        <v>#N/A</v>
      </c>
      <c r="Z54" s="11" t="e">
        <f t="shared" si="4"/>
        <v>#N/A</v>
      </c>
      <c r="AA54" s="22" t="e">
        <f t="shared" si="5"/>
        <v>#N/A</v>
      </c>
      <c r="AB54" s="21" t="e">
        <f t="shared" si="6"/>
        <v>#N/A</v>
      </c>
      <c r="AC54" s="21" t="e">
        <f t="shared" si="7"/>
        <v>#N/A</v>
      </c>
      <c r="AD54" s="11" t="e">
        <f t="shared" si="8"/>
        <v>#N/A</v>
      </c>
      <c r="AE54" s="22" t="e">
        <f t="shared" si="9"/>
        <v>#N/A</v>
      </c>
      <c r="AF54" s="21" t="e">
        <f t="shared" si="10"/>
        <v>#N/A</v>
      </c>
      <c r="AG54" s="21" t="e">
        <f t="shared" si="11"/>
        <v>#N/A</v>
      </c>
      <c r="AH54" s="11" t="e">
        <f t="shared" si="12"/>
        <v>#N/A</v>
      </c>
      <c r="AI54">
        <v>2.5000000000000001E-2</v>
      </c>
      <c r="AJ54">
        <v>-2.5000000000000001E-2</v>
      </c>
      <c r="AK54">
        <v>1.5E-3</v>
      </c>
      <c r="AL54">
        <v>-1.5E-3</v>
      </c>
      <c r="AM54">
        <v>1.5E-3</v>
      </c>
      <c r="AN54">
        <v>-1.5E-3</v>
      </c>
      <c r="AO54" s="16">
        <v>2.5000000000000001E-2</v>
      </c>
      <c r="AP54" s="16">
        <v>-2.5000000000000001E-2</v>
      </c>
      <c r="AQ54">
        <v>1.4999999999999999E-2</v>
      </c>
      <c r="AR54">
        <v>-1.4999999999999999E-2</v>
      </c>
      <c r="AS54">
        <v>1E-3</v>
      </c>
      <c r="AT54">
        <v>-1E-3</v>
      </c>
      <c r="AU54">
        <v>1E-3</v>
      </c>
      <c r="AV54">
        <v>-1E-3</v>
      </c>
      <c r="AW54" s="16">
        <v>1.4999999999999999E-2</v>
      </c>
      <c r="AX54" s="16">
        <v>-1.4999999999999999E-2</v>
      </c>
    </row>
    <row r="55" spans="6:279" customFormat="1">
      <c r="F55" s="17" t="str">
        <f t="shared" si="0"/>
        <v/>
      </c>
      <c r="G55" s="9"/>
      <c r="H55" s="2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22" t="e">
        <f t="shared" si="1"/>
        <v>#N/A</v>
      </c>
      <c r="X55" s="21" t="e">
        <f t="shared" si="2"/>
        <v>#N/A</v>
      </c>
      <c r="Y55" s="21" t="e">
        <f t="shared" si="3"/>
        <v>#N/A</v>
      </c>
      <c r="Z55" s="11" t="e">
        <f t="shared" si="4"/>
        <v>#N/A</v>
      </c>
      <c r="AA55" s="22" t="e">
        <f t="shared" si="5"/>
        <v>#N/A</v>
      </c>
      <c r="AB55" s="21" t="e">
        <f t="shared" si="6"/>
        <v>#N/A</v>
      </c>
      <c r="AC55" s="21" t="e">
        <f t="shared" si="7"/>
        <v>#N/A</v>
      </c>
      <c r="AD55" s="11" t="e">
        <f t="shared" si="8"/>
        <v>#N/A</v>
      </c>
      <c r="AE55" s="22" t="e">
        <f t="shared" si="9"/>
        <v>#N/A</v>
      </c>
      <c r="AF55" s="21" t="e">
        <f t="shared" si="10"/>
        <v>#N/A</v>
      </c>
      <c r="AG55" s="21" t="e">
        <f t="shared" si="11"/>
        <v>#N/A</v>
      </c>
      <c r="AH55" s="11" t="e">
        <f t="shared" si="12"/>
        <v>#N/A</v>
      </c>
      <c r="AI55">
        <v>2.5000000000000001E-2</v>
      </c>
      <c r="AJ55">
        <v>-2.5000000000000001E-2</v>
      </c>
      <c r="AK55">
        <v>1.5E-3</v>
      </c>
      <c r="AL55">
        <v>-1.5E-3</v>
      </c>
      <c r="AM55">
        <v>1.5E-3</v>
      </c>
      <c r="AN55">
        <v>-1.5E-3</v>
      </c>
      <c r="AO55" s="16">
        <v>2.5000000000000001E-2</v>
      </c>
      <c r="AP55" s="16">
        <v>-2.5000000000000001E-2</v>
      </c>
      <c r="AQ55">
        <v>1.4999999999999999E-2</v>
      </c>
      <c r="AR55">
        <v>-1.4999999999999999E-2</v>
      </c>
      <c r="AS55">
        <v>1E-3</v>
      </c>
      <c r="AT55">
        <v>-1E-3</v>
      </c>
      <c r="AU55">
        <v>1E-3</v>
      </c>
      <c r="AV55">
        <v>-1E-3</v>
      </c>
      <c r="AW55" s="16">
        <v>1.4999999999999999E-2</v>
      </c>
      <c r="AX55" s="16">
        <v>-1.4999999999999999E-2</v>
      </c>
      <c r="JR55">
        <v>12.849506578947368</v>
      </c>
      <c r="JS55">
        <v>12.849506578947368</v>
      </c>
    </row>
    <row r="56" spans="6:279" customFormat="1">
      <c r="F56" s="17" t="str">
        <f t="shared" si="0"/>
        <v/>
      </c>
      <c r="G56" s="9"/>
      <c r="H56" s="2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22" t="e">
        <f t="shared" si="1"/>
        <v>#N/A</v>
      </c>
      <c r="X56" s="21" t="e">
        <f t="shared" si="2"/>
        <v>#N/A</v>
      </c>
      <c r="Y56" s="21" t="e">
        <f t="shared" si="3"/>
        <v>#N/A</v>
      </c>
      <c r="Z56" s="11" t="e">
        <f t="shared" si="4"/>
        <v>#N/A</v>
      </c>
      <c r="AA56" s="22" t="e">
        <f t="shared" si="5"/>
        <v>#N/A</v>
      </c>
      <c r="AB56" s="21" t="e">
        <f t="shared" si="6"/>
        <v>#N/A</v>
      </c>
      <c r="AC56" s="21" t="e">
        <f t="shared" si="7"/>
        <v>#N/A</v>
      </c>
      <c r="AD56" s="11" t="e">
        <f t="shared" si="8"/>
        <v>#N/A</v>
      </c>
      <c r="AE56" s="22" t="e">
        <f t="shared" si="9"/>
        <v>#N/A</v>
      </c>
      <c r="AF56" s="21" t="e">
        <f t="shared" si="10"/>
        <v>#N/A</v>
      </c>
      <c r="AG56" s="21" t="e">
        <f t="shared" si="11"/>
        <v>#N/A</v>
      </c>
      <c r="AH56" s="11" t="e">
        <f t="shared" si="12"/>
        <v>#N/A</v>
      </c>
      <c r="AI56">
        <v>2.5000000000000001E-2</v>
      </c>
      <c r="AJ56">
        <v>-2.5000000000000001E-2</v>
      </c>
      <c r="AK56">
        <v>1.5E-3</v>
      </c>
      <c r="AL56">
        <v>-1.5E-3</v>
      </c>
      <c r="AM56">
        <v>1.5E-3</v>
      </c>
      <c r="AN56">
        <v>-1.5E-3</v>
      </c>
      <c r="AO56" s="16">
        <v>2.5000000000000001E-2</v>
      </c>
      <c r="AP56" s="16">
        <v>-2.5000000000000001E-2</v>
      </c>
      <c r="AQ56">
        <v>1.4999999999999999E-2</v>
      </c>
      <c r="AR56">
        <v>-1.4999999999999999E-2</v>
      </c>
      <c r="AS56">
        <v>1E-3</v>
      </c>
      <c r="AT56">
        <v>-1E-3</v>
      </c>
      <c r="AU56">
        <v>1E-3</v>
      </c>
      <c r="AV56">
        <v>-1E-3</v>
      </c>
      <c r="AW56" s="16">
        <v>1.4999999999999999E-2</v>
      </c>
      <c r="AX56" s="16">
        <v>-1.4999999999999999E-2</v>
      </c>
      <c r="JP56">
        <v>12.849506578947368</v>
      </c>
    </row>
    <row r="57" spans="6:279" customFormat="1">
      <c r="F57" s="17" t="str">
        <f t="shared" si="0"/>
        <v/>
      </c>
      <c r="G57" s="9"/>
      <c r="H57" s="2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22" t="e">
        <f t="shared" si="1"/>
        <v>#N/A</v>
      </c>
      <c r="X57" s="21" t="e">
        <f t="shared" si="2"/>
        <v>#N/A</v>
      </c>
      <c r="Y57" s="21" t="e">
        <f t="shared" si="3"/>
        <v>#N/A</v>
      </c>
      <c r="Z57" s="11" t="e">
        <f t="shared" si="4"/>
        <v>#N/A</v>
      </c>
      <c r="AA57" s="22" t="e">
        <f t="shared" si="5"/>
        <v>#N/A</v>
      </c>
      <c r="AB57" s="21" t="e">
        <f t="shared" si="6"/>
        <v>#N/A</v>
      </c>
      <c r="AC57" s="21" t="e">
        <f t="shared" si="7"/>
        <v>#N/A</v>
      </c>
      <c r="AD57" s="11" t="e">
        <f t="shared" si="8"/>
        <v>#N/A</v>
      </c>
      <c r="AE57" s="22" t="e">
        <f t="shared" si="9"/>
        <v>#N/A</v>
      </c>
      <c r="AF57" s="21" t="e">
        <f t="shared" si="10"/>
        <v>#N/A</v>
      </c>
      <c r="AG57" s="21" t="e">
        <f t="shared" si="11"/>
        <v>#N/A</v>
      </c>
      <c r="AH57" s="11" t="e">
        <f t="shared" si="12"/>
        <v>#N/A</v>
      </c>
      <c r="AI57">
        <v>2.5000000000000001E-2</v>
      </c>
      <c r="AJ57">
        <v>-2.5000000000000001E-2</v>
      </c>
      <c r="AK57">
        <v>1.5E-3</v>
      </c>
      <c r="AL57">
        <v>-1.5E-3</v>
      </c>
      <c r="AM57">
        <v>1.5E-3</v>
      </c>
      <c r="AN57">
        <v>-1.5E-3</v>
      </c>
      <c r="AO57" s="16">
        <v>2.5000000000000001E-2</v>
      </c>
      <c r="AP57" s="16">
        <v>-2.5000000000000001E-2</v>
      </c>
      <c r="AQ57">
        <v>1.4999999999999999E-2</v>
      </c>
      <c r="AR57">
        <v>-1.4999999999999999E-2</v>
      </c>
      <c r="AS57">
        <v>1E-3</v>
      </c>
      <c r="AT57">
        <v>-1E-3</v>
      </c>
      <c r="AU57">
        <v>1E-3</v>
      </c>
      <c r="AV57">
        <v>-1E-3</v>
      </c>
      <c r="AW57" s="16">
        <v>1.4999999999999999E-2</v>
      </c>
      <c r="AX57" s="16">
        <v>-1.4999999999999999E-2</v>
      </c>
      <c r="JP57">
        <v>38.548519736842103</v>
      </c>
      <c r="JR57">
        <v>12.849506578947368</v>
      </c>
      <c r="JS57">
        <v>12.849506578947368</v>
      </c>
    </row>
    <row r="58" spans="6:279" customFormat="1">
      <c r="F58" s="17" t="str">
        <f t="shared" si="0"/>
        <v/>
      </c>
      <c r="G58" s="9"/>
      <c r="H58" s="2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22" t="e">
        <f t="shared" si="1"/>
        <v>#N/A</v>
      </c>
      <c r="X58" s="21" t="e">
        <f t="shared" si="2"/>
        <v>#N/A</v>
      </c>
      <c r="Y58" s="21" t="e">
        <f t="shared" si="3"/>
        <v>#N/A</v>
      </c>
      <c r="Z58" s="11" t="e">
        <f t="shared" si="4"/>
        <v>#N/A</v>
      </c>
      <c r="AA58" s="22" t="e">
        <f t="shared" si="5"/>
        <v>#N/A</v>
      </c>
      <c r="AB58" s="21" t="e">
        <f t="shared" si="6"/>
        <v>#N/A</v>
      </c>
      <c r="AC58" s="21" t="e">
        <f t="shared" si="7"/>
        <v>#N/A</v>
      </c>
      <c r="AD58" s="11" t="e">
        <f t="shared" si="8"/>
        <v>#N/A</v>
      </c>
      <c r="AE58" s="22" t="e">
        <f t="shared" si="9"/>
        <v>#N/A</v>
      </c>
      <c r="AF58" s="21" t="e">
        <f t="shared" si="10"/>
        <v>#N/A</v>
      </c>
      <c r="AG58" s="21" t="e">
        <f t="shared" si="11"/>
        <v>#N/A</v>
      </c>
      <c r="AH58" s="11" t="e">
        <f t="shared" si="12"/>
        <v>#N/A</v>
      </c>
      <c r="AI58">
        <v>2.5000000000000001E-2</v>
      </c>
      <c r="AJ58">
        <v>-2.5000000000000001E-2</v>
      </c>
      <c r="AK58">
        <v>1.5E-3</v>
      </c>
      <c r="AL58">
        <v>-1.5E-3</v>
      </c>
      <c r="AM58">
        <v>1.5E-3</v>
      </c>
      <c r="AN58">
        <v>-1.5E-3</v>
      </c>
      <c r="AO58" s="16">
        <v>2.5000000000000001E-2</v>
      </c>
      <c r="AP58" s="16">
        <v>-2.5000000000000001E-2</v>
      </c>
      <c r="AQ58">
        <v>1.4999999999999999E-2</v>
      </c>
      <c r="AR58">
        <v>-1.4999999999999999E-2</v>
      </c>
      <c r="AS58">
        <v>1E-3</v>
      </c>
      <c r="AT58">
        <v>-1E-3</v>
      </c>
      <c r="AU58">
        <v>1E-3</v>
      </c>
      <c r="AV58">
        <v>-1E-3</v>
      </c>
      <c r="AW58" s="16">
        <v>1.4999999999999999E-2</v>
      </c>
      <c r="AX58" s="16">
        <v>-1.4999999999999999E-2</v>
      </c>
    </row>
    <row r="59" spans="6:279" customFormat="1">
      <c r="F59" s="17" t="str">
        <f t="shared" si="0"/>
        <v/>
      </c>
      <c r="G59" s="9"/>
      <c r="H59" s="2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22" t="e">
        <f t="shared" si="1"/>
        <v>#N/A</v>
      </c>
      <c r="X59" s="21" t="e">
        <f t="shared" si="2"/>
        <v>#N/A</v>
      </c>
      <c r="Y59" s="21" t="e">
        <f t="shared" si="3"/>
        <v>#N/A</v>
      </c>
      <c r="Z59" s="11" t="e">
        <f t="shared" si="4"/>
        <v>#N/A</v>
      </c>
      <c r="AA59" s="22" t="e">
        <f t="shared" si="5"/>
        <v>#N/A</v>
      </c>
      <c r="AB59" s="21" t="e">
        <f t="shared" si="6"/>
        <v>#N/A</v>
      </c>
      <c r="AC59" s="21" t="e">
        <f t="shared" si="7"/>
        <v>#N/A</v>
      </c>
      <c r="AD59" s="11" t="e">
        <f t="shared" si="8"/>
        <v>#N/A</v>
      </c>
      <c r="AE59" s="22" t="e">
        <f t="shared" si="9"/>
        <v>#N/A</v>
      </c>
      <c r="AF59" s="21" t="e">
        <f t="shared" si="10"/>
        <v>#N/A</v>
      </c>
      <c r="AG59" s="21" t="e">
        <f t="shared" si="11"/>
        <v>#N/A</v>
      </c>
      <c r="AH59" s="11" t="e">
        <f t="shared" si="12"/>
        <v>#N/A</v>
      </c>
      <c r="AI59">
        <v>2.5000000000000001E-2</v>
      </c>
      <c r="AJ59">
        <v>-2.5000000000000001E-2</v>
      </c>
      <c r="AK59">
        <v>1.5E-3</v>
      </c>
      <c r="AL59">
        <v>-1.5E-3</v>
      </c>
      <c r="AM59">
        <v>1.5E-3</v>
      </c>
      <c r="AN59">
        <v>-1.5E-3</v>
      </c>
      <c r="AO59" s="16">
        <v>2.5000000000000001E-2</v>
      </c>
      <c r="AP59" s="16">
        <v>-2.5000000000000001E-2</v>
      </c>
      <c r="AQ59">
        <v>1.4999999999999999E-2</v>
      </c>
      <c r="AR59">
        <v>-1.4999999999999999E-2</v>
      </c>
      <c r="AS59">
        <v>1E-3</v>
      </c>
      <c r="AT59">
        <v>-1E-3</v>
      </c>
      <c r="AU59">
        <v>1E-3</v>
      </c>
      <c r="AV59">
        <v>-1E-3</v>
      </c>
      <c r="AW59" s="16">
        <v>1.4999999999999999E-2</v>
      </c>
      <c r="AX59" s="16">
        <v>-1.4999999999999999E-2</v>
      </c>
      <c r="JQ59">
        <v>12.849506578947368</v>
      </c>
      <c r="JR59">
        <v>12.849506578947368</v>
      </c>
      <c r="JS59">
        <v>38.548519736842103</v>
      </c>
    </row>
    <row r="60" spans="6:279" customFormat="1">
      <c r="F60" s="17" t="str">
        <f t="shared" si="0"/>
        <v/>
      </c>
      <c r="G60" s="9"/>
      <c r="H60" s="2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22" t="e">
        <f t="shared" si="1"/>
        <v>#N/A</v>
      </c>
      <c r="X60" s="21" t="e">
        <f t="shared" si="2"/>
        <v>#N/A</v>
      </c>
      <c r="Y60" s="21" t="e">
        <f t="shared" si="3"/>
        <v>#N/A</v>
      </c>
      <c r="Z60" s="11" t="e">
        <f t="shared" si="4"/>
        <v>#N/A</v>
      </c>
      <c r="AA60" s="22" t="e">
        <f t="shared" si="5"/>
        <v>#N/A</v>
      </c>
      <c r="AB60" s="21" t="e">
        <f t="shared" si="6"/>
        <v>#N/A</v>
      </c>
      <c r="AC60" s="21" t="e">
        <f t="shared" si="7"/>
        <v>#N/A</v>
      </c>
      <c r="AD60" s="11" t="e">
        <f t="shared" si="8"/>
        <v>#N/A</v>
      </c>
      <c r="AE60" s="22" t="e">
        <f t="shared" si="9"/>
        <v>#N/A</v>
      </c>
      <c r="AF60" s="21" t="e">
        <f t="shared" si="10"/>
        <v>#N/A</v>
      </c>
      <c r="AG60" s="21" t="e">
        <f t="shared" si="11"/>
        <v>#N/A</v>
      </c>
      <c r="AH60" s="11" t="e">
        <f t="shared" si="12"/>
        <v>#N/A</v>
      </c>
      <c r="AI60">
        <v>2.5000000000000001E-2</v>
      </c>
      <c r="AJ60">
        <v>-2.5000000000000001E-2</v>
      </c>
      <c r="AK60">
        <v>1.5E-3</v>
      </c>
      <c r="AL60">
        <v>-1.5E-3</v>
      </c>
      <c r="AM60">
        <v>1.5E-3</v>
      </c>
      <c r="AN60">
        <v>-1.5E-3</v>
      </c>
      <c r="AO60" s="16">
        <v>2.5000000000000001E-2</v>
      </c>
      <c r="AP60" s="16">
        <v>-2.5000000000000001E-2</v>
      </c>
      <c r="AQ60">
        <v>1.4999999999999999E-2</v>
      </c>
      <c r="AR60">
        <v>-1.4999999999999999E-2</v>
      </c>
      <c r="AS60">
        <v>1E-3</v>
      </c>
      <c r="AT60">
        <v>-1E-3</v>
      </c>
      <c r="AU60">
        <v>1E-3</v>
      </c>
      <c r="AV60">
        <v>-1E-3</v>
      </c>
      <c r="AW60" s="16">
        <v>1.4999999999999999E-2</v>
      </c>
      <c r="AX60" s="16">
        <v>-1.4999999999999999E-2</v>
      </c>
    </row>
    <row r="61" spans="6:279" customFormat="1">
      <c r="F61" s="17" t="str">
        <f t="shared" si="0"/>
        <v/>
      </c>
      <c r="G61" s="9"/>
      <c r="H61" s="2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22" t="e">
        <f t="shared" si="1"/>
        <v>#N/A</v>
      </c>
      <c r="X61" s="21" t="e">
        <f t="shared" si="2"/>
        <v>#N/A</v>
      </c>
      <c r="Y61" s="21" t="e">
        <f t="shared" si="3"/>
        <v>#N/A</v>
      </c>
      <c r="Z61" s="11" t="e">
        <f t="shared" si="4"/>
        <v>#N/A</v>
      </c>
      <c r="AA61" s="22" t="e">
        <f t="shared" si="5"/>
        <v>#N/A</v>
      </c>
      <c r="AB61" s="21" t="e">
        <f t="shared" si="6"/>
        <v>#N/A</v>
      </c>
      <c r="AC61" s="21" t="e">
        <f t="shared" si="7"/>
        <v>#N/A</v>
      </c>
      <c r="AD61" s="11" t="e">
        <f t="shared" si="8"/>
        <v>#N/A</v>
      </c>
      <c r="AE61" s="22" t="e">
        <f t="shared" si="9"/>
        <v>#N/A</v>
      </c>
      <c r="AF61" s="21" t="e">
        <f t="shared" si="10"/>
        <v>#N/A</v>
      </c>
      <c r="AG61" s="21" t="e">
        <f t="shared" si="11"/>
        <v>#N/A</v>
      </c>
      <c r="AH61" s="11" t="e">
        <f t="shared" si="12"/>
        <v>#N/A</v>
      </c>
      <c r="AI61">
        <v>2.5000000000000001E-2</v>
      </c>
      <c r="AJ61">
        <v>-2.5000000000000001E-2</v>
      </c>
      <c r="AK61">
        <v>1.5E-3</v>
      </c>
      <c r="AL61">
        <v>-1.5E-3</v>
      </c>
      <c r="AM61">
        <v>1.5E-3</v>
      </c>
      <c r="AN61">
        <v>-1.5E-3</v>
      </c>
      <c r="AO61" s="16">
        <v>2.5000000000000001E-2</v>
      </c>
      <c r="AP61" s="16">
        <v>-2.5000000000000001E-2</v>
      </c>
      <c r="AQ61">
        <v>1.4999999999999999E-2</v>
      </c>
      <c r="AR61">
        <v>-1.4999999999999999E-2</v>
      </c>
      <c r="AS61">
        <v>1E-3</v>
      </c>
      <c r="AT61">
        <v>-1E-3</v>
      </c>
      <c r="AU61">
        <v>1E-3</v>
      </c>
      <c r="AV61">
        <v>-1E-3</v>
      </c>
      <c r="AW61" s="16">
        <v>1.4999999999999999E-2</v>
      </c>
      <c r="AX61" s="16">
        <v>-1.4999999999999999E-2</v>
      </c>
      <c r="JS61">
        <v>12.849506578947368</v>
      </c>
    </row>
    <row r="62" spans="6:279" customFormat="1">
      <c r="F62" s="17" t="str">
        <f t="shared" si="0"/>
        <v/>
      </c>
      <c r="G62" s="9"/>
      <c r="H62" s="2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22" t="e">
        <f t="shared" si="1"/>
        <v>#N/A</v>
      </c>
      <c r="X62" s="21" t="e">
        <f t="shared" si="2"/>
        <v>#N/A</v>
      </c>
      <c r="Y62" s="21" t="e">
        <f t="shared" si="3"/>
        <v>#N/A</v>
      </c>
      <c r="Z62" s="11" t="e">
        <f t="shared" si="4"/>
        <v>#N/A</v>
      </c>
      <c r="AA62" s="22" t="e">
        <f t="shared" si="5"/>
        <v>#N/A</v>
      </c>
      <c r="AB62" s="21" t="e">
        <f t="shared" si="6"/>
        <v>#N/A</v>
      </c>
      <c r="AC62" s="21" t="e">
        <f t="shared" si="7"/>
        <v>#N/A</v>
      </c>
      <c r="AD62" s="11" t="e">
        <f t="shared" si="8"/>
        <v>#N/A</v>
      </c>
      <c r="AE62" s="22" t="e">
        <f t="shared" si="9"/>
        <v>#N/A</v>
      </c>
      <c r="AF62" s="21" t="e">
        <f t="shared" si="10"/>
        <v>#N/A</v>
      </c>
      <c r="AG62" s="21" t="e">
        <f t="shared" si="11"/>
        <v>#N/A</v>
      </c>
      <c r="AH62" s="11" t="e">
        <f t="shared" si="12"/>
        <v>#N/A</v>
      </c>
      <c r="AI62">
        <v>2.5000000000000001E-2</v>
      </c>
      <c r="AJ62">
        <v>-2.5000000000000001E-2</v>
      </c>
      <c r="AK62">
        <v>1.5E-3</v>
      </c>
      <c r="AL62">
        <v>-1.5E-3</v>
      </c>
      <c r="AM62">
        <v>1.5E-3</v>
      </c>
      <c r="AN62">
        <v>-1.5E-3</v>
      </c>
      <c r="AO62" s="16">
        <v>2.5000000000000001E-2</v>
      </c>
      <c r="AP62" s="16">
        <v>-2.5000000000000001E-2</v>
      </c>
      <c r="AQ62">
        <v>1.4999999999999999E-2</v>
      </c>
      <c r="AR62">
        <v>-1.4999999999999999E-2</v>
      </c>
      <c r="AS62">
        <v>1E-3</v>
      </c>
      <c r="AT62">
        <v>-1E-3</v>
      </c>
      <c r="AU62">
        <v>1E-3</v>
      </c>
      <c r="AV62">
        <v>-1E-3</v>
      </c>
      <c r="AW62" s="16">
        <v>1.4999999999999999E-2</v>
      </c>
      <c r="AX62" s="16">
        <v>-1.4999999999999999E-2</v>
      </c>
      <c r="JS62">
        <v>12.849506578947368</v>
      </c>
    </row>
    <row r="63" spans="6:279" customFormat="1">
      <c r="F63" s="17" t="str">
        <f t="shared" si="0"/>
        <v/>
      </c>
      <c r="G63" s="9"/>
      <c r="H63" s="2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22" t="e">
        <f t="shared" si="1"/>
        <v>#N/A</v>
      </c>
      <c r="X63" s="21" t="e">
        <f t="shared" si="2"/>
        <v>#N/A</v>
      </c>
      <c r="Y63" s="21" t="e">
        <f t="shared" si="3"/>
        <v>#N/A</v>
      </c>
      <c r="Z63" s="11" t="e">
        <f t="shared" si="4"/>
        <v>#N/A</v>
      </c>
      <c r="AA63" s="22" t="e">
        <f t="shared" si="5"/>
        <v>#N/A</v>
      </c>
      <c r="AB63" s="21" t="e">
        <f t="shared" si="6"/>
        <v>#N/A</v>
      </c>
      <c r="AC63" s="21" t="e">
        <f t="shared" si="7"/>
        <v>#N/A</v>
      </c>
      <c r="AD63" s="11" t="e">
        <f t="shared" si="8"/>
        <v>#N/A</v>
      </c>
      <c r="AE63" s="22" t="e">
        <f t="shared" si="9"/>
        <v>#N/A</v>
      </c>
      <c r="AF63" s="21" t="e">
        <f t="shared" si="10"/>
        <v>#N/A</v>
      </c>
      <c r="AG63" s="21" t="e">
        <f t="shared" si="11"/>
        <v>#N/A</v>
      </c>
      <c r="AH63" s="11" t="e">
        <f t="shared" si="12"/>
        <v>#N/A</v>
      </c>
      <c r="AI63">
        <v>2.5000000000000001E-2</v>
      </c>
      <c r="AJ63">
        <v>-2.5000000000000001E-2</v>
      </c>
      <c r="AK63">
        <v>1.5E-3</v>
      </c>
      <c r="AL63">
        <v>-1.5E-3</v>
      </c>
      <c r="AM63">
        <v>1.5E-3</v>
      </c>
      <c r="AN63">
        <v>-1.5E-3</v>
      </c>
      <c r="AO63" s="16">
        <v>2.5000000000000001E-2</v>
      </c>
      <c r="AP63" s="16">
        <v>-2.5000000000000001E-2</v>
      </c>
      <c r="AQ63">
        <v>1.4999999999999999E-2</v>
      </c>
      <c r="AR63">
        <v>-1.4999999999999999E-2</v>
      </c>
      <c r="AS63">
        <v>1E-3</v>
      </c>
      <c r="AT63">
        <v>-1E-3</v>
      </c>
      <c r="AU63">
        <v>1E-3</v>
      </c>
      <c r="AV63">
        <v>-1E-3</v>
      </c>
      <c r="AW63" s="16">
        <v>1.4999999999999999E-2</v>
      </c>
      <c r="AX63" s="16">
        <v>-1.4999999999999999E-2</v>
      </c>
      <c r="JR63">
        <v>12.849506578947368</v>
      </c>
    </row>
    <row r="64" spans="6:279" customFormat="1">
      <c r="F64" s="17" t="str">
        <f t="shared" si="0"/>
        <v/>
      </c>
      <c r="G64" s="9"/>
      <c r="H64" s="2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22" t="e">
        <f t="shared" si="1"/>
        <v>#N/A</v>
      </c>
      <c r="X64" s="21" t="e">
        <f t="shared" si="2"/>
        <v>#N/A</v>
      </c>
      <c r="Y64" s="21" t="e">
        <f t="shared" si="3"/>
        <v>#N/A</v>
      </c>
      <c r="Z64" s="11" t="e">
        <f t="shared" si="4"/>
        <v>#N/A</v>
      </c>
      <c r="AA64" s="22" t="e">
        <f t="shared" si="5"/>
        <v>#N/A</v>
      </c>
      <c r="AB64" s="21" t="e">
        <f t="shared" si="6"/>
        <v>#N/A</v>
      </c>
      <c r="AC64" s="21" t="e">
        <f t="shared" si="7"/>
        <v>#N/A</v>
      </c>
      <c r="AD64" s="11" t="e">
        <f t="shared" si="8"/>
        <v>#N/A</v>
      </c>
      <c r="AE64" s="22" t="e">
        <f t="shared" si="9"/>
        <v>#N/A</v>
      </c>
      <c r="AF64" s="21" t="e">
        <f t="shared" si="10"/>
        <v>#N/A</v>
      </c>
      <c r="AG64" s="21" t="e">
        <f t="shared" si="11"/>
        <v>#N/A</v>
      </c>
      <c r="AH64" s="11" t="e">
        <f t="shared" si="12"/>
        <v>#N/A</v>
      </c>
      <c r="AI64">
        <v>2.5000000000000001E-2</v>
      </c>
      <c r="AJ64">
        <v>-2.5000000000000001E-2</v>
      </c>
      <c r="AK64">
        <v>1.5E-3</v>
      </c>
      <c r="AL64">
        <v>-1.5E-3</v>
      </c>
      <c r="AM64">
        <v>1.5E-3</v>
      </c>
      <c r="AN64">
        <v>-1.5E-3</v>
      </c>
      <c r="AO64" s="16">
        <v>2.5000000000000001E-2</v>
      </c>
      <c r="AP64" s="16">
        <v>-2.5000000000000001E-2</v>
      </c>
      <c r="AQ64">
        <v>1.4999999999999999E-2</v>
      </c>
      <c r="AR64">
        <v>-1.4999999999999999E-2</v>
      </c>
      <c r="AS64">
        <v>1E-3</v>
      </c>
      <c r="AT64">
        <v>-1E-3</v>
      </c>
      <c r="AU64">
        <v>1E-3</v>
      </c>
      <c r="AV64">
        <v>-1E-3</v>
      </c>
      <c r="AW64" s="16">
        <v>1.4999999999999999E-2</v>
      </c>
      <c r="AX64" s="16">
        <v>-1.4999999999999999E-2</v>
      </c>
    </row>
    <row r="65" spans="6:278" customFormat="1">
      <c r="F65" s="17" t="str">
        <f t="shared" si="0"/>
        <v/>
      </c>
      <c r="G65" s="9"/>
      <c r="H65" s="2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22" t="e">
        <f t="shared" si="1"/>
        <v>#N/A</v>
      </c>
      <c r="X65" s="21" t="e">
        <f t="shared" si="2"/>
        <v>#N/A</v>
      </c>
      <c r="Y65" s="21" t="e">
        <f t="shared" si="3"/>
        <v>#N/A</v>
      </c>
      <c r="Z65" s="11" t="e">
        <f t="shared" si="4"/>
        <v>#N/A</v>
      </c>
      <c r="AA65" s="22" t="e">
        <f t="shared" si="5"/>
        <v>#N/A</v>
      </c>
      <c r="AB65" s="21" t="e">
        <f t="shared" si="6"/>
        <v>#N/A</v>
      </c>
      <c r="AC65" s="21" t="e">
        <f t="shared" si="7"/>
        <v>#N/A</v>
      </c>
      <c r="AD65" s="11" t="e">
        <f t="shared" si="8"/>
        <v>#N/A</v>
      </c>
      <c r="AE65" s="22" t="e">
        <f t="shared" si="9"/>
        <v>#N/A</v>
      </c>
      <c r="AF65" s="21" t="e">
        <f t="shared" si="10"/>
        <v>#N/A</v>
      </c>
      <c r="AG65" s="21" t="e">
        <f t="shared" si="11"/>
        <v>#N/A</v>
      </c>
      <c r="AH65" s="11" t="e">
        <f t="shared" si="12"/>
        <v>#N/A</v>
      </c>
      <c r="AI65">
        <v>2.5000000000000001E-2</v>
      </c>
      <c r="AJ65">
        <v>-2.5000000000000001E-2</v>
      </c>
      <c r="AK65">
        <v>1.5E-3</v>
      </c>
      <c r="AL65">
        <v>-1.5E-3</v>
      </c>
      <c r="AM65">
        <v>1.5E-3</v>
      </c>
      <c r="AN65">
        <v>-1.5E-3</v>
      </c>
      <c r="AO65" s="16">
        <v>2.5000000000000001E-2</v>
      </c>
      <c r="AP65" s="16">
        <v>-2.5000000000000001E-2</v>
      </c>
      <c r="AQ65">
        <v>1.4999999999999999E-2</v>
      </c>
      <c r="AR65">
        <v>-1.4999999999999999E-2</v>
      </c>
      <c r="AS65">
        <v>1E-3</v>
      </c>
      <c r="AT65">
        <v>-1E-3</v>
      </c>
      <c r="AU65">
        <v>1E-3</v>
      </c>
      <c r="AV65">
        <v>-1E-3</v>
      </c>
      <c r="AW65" s="16">
        <v>1.4999999999999999E-2</v>
      </c>
      <c r="AX65" s="16">
        <v>-1.4999999999999999E-2</v>
      </c>
      <c r="JR65">
        <v>12.849506578947368</v>
      </c>
    </row>
    <row r="66" spans="6:278" customFormat="1">
      <c r="F66" s="17" t="str">
        <f t="shared" si="0"/>
        <v/>
      </c>
      <c r="G66" s="9"/>
      <c r="H66" s="2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22" t="e">
        <f t="shared" si="1"/>
        <v>#N/A</v>
      </c>
      <c r="X66" s="21" t="e">
        <f t="shared" si="2"/>
        <v>#N/A</v>
      </c>
      <c r="Y66" s="21" t="e">
        <f t="shared" si="3"/>
        <v>#N/A</v>
      </c>
      <c r="Z66" s="11" t="e">
        <f t="shared" si="4"/>
        <v>#N/A</v>
      </c>
      <c r="AA66" s="22" t="e">
        <f t="shared" si="5"/>
        <v>#N/A</v>
      </c>
      <c r="AB66" s="21" t="e">
        <f t="shared" si="6"/>
        <v>#N/A</v>
      </c>
      <c r="AC66" s="21" t="e">
        <f t="shared" si="7"/>
        <v>#N/A</v>
      </c>
      <c r="AD66" s="11" t="e">
        <f t="shared" si="8"/>
        <v>#N/A</v>
      </c>
      <c r="AE66" s="22" t="e">
        <f t="shared" si="9"/>
        <v>#N/A</v>
      </c>
      <c r="AF66" s="21" t="e">
        <f t="shared" si="10"/>
        <v>#N/A</v>
      </c>
      <c r="AG66" s="21" t="e">
        <f t="shared" si="11"/>
        <v>#N/A</v>
      </c>
      <c r="AH66" s="11" t="e">
        <f t="shared" si="12"/>
        <v>#N/A</v>
      </c>
      <c r="AI66">
        <v>2.5000000000000001E-2</v>
      </c>
      <c r="AJ66">
        <v>-2.5000000000000001E-2</v>
      </c>
      <c r="AK66">
        <v>1.5E-3</v>
      </c>
      <c r="AL66">
        <v>-1.5E-3</v>
      </c>
      <c r="AM66">
        <v>1.5E-3</v>
      </c>
      <c r="AN66">
        <v>-1.5E-3</v>
      </c>
      <c r="AO66" s="16">
        <v>2.5000000000000001E-2</v>
      </c>
      <c r="AP66" s="16">
        <v>-2.5000000000000001E-2</v>
      </c>
      <c r="AQ66">
        <v>1.4999999999999999E-2</v>
      </c>
      <c r="AR66">
        <v>-1.4999999999999999E-2</v>
      </c>
      <c r="AS66">
        <v>1E-3</v>
      </c>
      <c r="AT66">
        <v>-1E-3</v>
      </c>
      <c r="AU66">
        <v>1E-3</v>
      </c>
      <c r="AV66">
        <v>-1E-3</v>
      </c>
      <c r="AW66" s="16">
        <v>1.4999999999999999E-2</v>
      </c>
      <c r="AX66" s="16">
        <v>-1.4999999999999999E-2</v>
      </c>
      <c r="JR66">
        <v>24.187306501547987</v>
      </c>
    </row>
    <row r="67" spans="6:278" customFormat="1">
      <c r="F67" s="17" t="str">
        <f t="shared" si="0"/>
        <v/>
      </c>
      <c r="G67" s="9"/>
      <c r="H67" s="2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22" t="e">
        <f t="shared" si="1"/>
        <v>#N/A</v>
      </c>
      <c r="X67" s="21" t="e">
        <f t="shared" si="2"/>
        <v>#N/A</v>
      </c>
      <c r="Y67" s="21" t="e">
        <f t="shared" si="3"/>
        <v>#N/A</v>
      </c>
      <c r="Z67" s="11" t="e">
        <f t="shared" si="4"/>
        <v>#N/A</v>
      </c>
      <c r="AA67" s="22" t="e">
        <f t="shared" si="5"/>
        <v>#N/A</v>
      </c>
      <c r="AB67" s="21" t="e">
        <f t="shared" si="6"/>
        <v>#N/A</v>
      </c>
      <c r="AC67" s="21" t="e">
        <f t="shared" si="7"/>
        <v>#N/A</v>
      </c>
      <c r="AD67" s="11" t="e">
        <f t="shared" si="8"/>
        <v>#N/A</v>
      </c>
      <c r="AE67" s="22" t="e">
        <f t="shared" si="9"/>
        <v>#N/A</v>
      </c>
      <c r="AF67" s="21" t="e">
        <f t="shared" si="10"/>
        <v>#N/A</v>
      </c>
      <c r="AG67" s="21" t="e">
        <f t="shared" si="11"/>
        <v>#N/A</v>
      </c>
      <c r="AH67" s="11" t="e">
        <f t="shared" si="12"/>
        <v>#N/A</v>
      </c>
      <c r="AI67">
        <v>2.5000000000000001E-2</v>
      </c>
      <c r="AJ67">
        <v>-2.5000000000000001E-2</v>
      </c>
      <c r="AK67">
        <v>1.5E-3</v>
      </c>
      <c r="AL67">
        <v>-1.5E-3</v>
      </c>
      <c r="AM67">
        <v>1.5E-3</v>
      </c>
      <c r="AN67">
        <v>-1.5E-3</v>
      </c>
      <c r="AO67" s="16">
        <v>2.5000000000000001E-2</v>
      </c>
      <c r="AP67" s="16">
        <v>-2.5000000000000001E-2</v>
      </c>
      <c r="AQ67">
        <v>1.4999999999999999E-2</v>
      </c>
      <c r="AR67">
        <v>-1.4999999999999999E-2</v>
      </c>
      <c r="AS67">
        <v>1E-3</v>
      </c>
      <c r="AT67">
        <v>-1E-3</v>
      </c>
      <c r="AU67">
        <v>1E-3</v>
      </c>
      <c r="AV67">
        <v>-1E-3</v>
      </c>
      <c r="AW67" s="16">
        <v>1.4999999999999999E-2</v>
      </c>
      <c r="AX67" s="16">
        <v>-1.4999999999999999E-2</v>
      </c>
    </row>
    <row r="68" spans="6:278" customFormat="1">
      <c r="F68" s="17" t="str">
        <f t="shared" si="0"/>
        <v/>
      </c>
      <c r="G68" s="9"/>
      <c r="H68" s="2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22" t="e">
        <f t="shared" si="1"/>
        <v>#N/A</v>
      </c>
      <c r="X68" s="21" t="e">
        <f t="shared" si="2"/>
        <v>#N/A</v>
      </c>
      <c r="Y68" s="21" t="e">
        <f t="shared" si="3"/>
        <v>#N/A</v>
      </c>
      <c r="Z68" s="11" t="e">
        <f t="shared" si="4"/>
        <v>#N/A</v>
      </c>
      <c r="AA68" s="22" t="e">
        <f t="shared" si="5"/>
        <v>#N/A</v>
      </c>
      <c r="AB68" s="21" t="e">
        <f t="shared" si="6"/>
        <v>#N/A</v>
      </c>
      <c r="AC68" s="21" t="e">
        <f t="shared" si="7"/>
        <v>#N/A</v>
      </c>
      <c r="AD68" s="11" t="e">
        <f t="shared" si="8"/>
        <v>#N/A</v>
      </c>
      <c r="AE68" s="22" t="e">
        <f t="shared" si="9"/>
        <v>#N/A</v>
      </c>
      <c r="AF68" s="21" t="e">
        <f t="shared" si="10"/>
        <v>#N/A</v>
      </c>
      <c r="AG68" s="21" t="e">
        <f t="shared" si="11"/>
        <v>#N/A</v>
      </c>
      <c r="AH68" s="11" t="e">
        <f t="shared" si="12"/>
        <v>#N/A</v>
      </c>
      <c r="AI68">
        <v>2.5000000000000001E-2</v>
      </c>
      <c r="AJ68">
        <v>-2.5000000000000001E-2</v>
      </c>
      <c r="AK68">
        <v>1.5E-3</v>
      </c>
      <c r="AL68">
        <v>-1.5E-3</v>
      </c>
      <c r="AM68">
        <v>1.5E-3</v>
      </c>
      <c r="AN68">
        <v>-1.5E-3</v>
      </c>
      <c r="AO68" s="16">
        <v>2.5000000000000001E-2</v>
      </c>
      <c r="AP68" s="16">
        <v>-2.5000000000000001E-2</v>
      </c>
      <c r="AQ68">
        <v>1.4999999999999999E-2</v>
      </c>
      <c r="AR68">
        <v>-1.4999999999999999E-2</v>
      </c>
      <c r="AS68">
        <v>1E-3</v>
      </c>
      <c r="AT68">
        <v>-1E-3</v>
      </c>
      <c r="AU68">
        <v>1E-3</v>
      </c>
      <c r="AV68">
        <v>-1E-3</v>
      </c>
      <c r="AW68" s="16">
        <v>1.4999999999999999E-2</v>
      </c>
      <c r="AX68" s="16">
        <v>-1.4999999999999999E-2</v>
      </c>
    </row>
    <row r="69" spans="6:278" customFormat="1">
      <c r="F69" s="17" t="str">
        <f t="shared" si="0"/>
        <v/>
      </c>
      <c r="G69" s="9"/>
      <c r="H69" s="2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22" t="e">
        <f t="shared" si="1"/>
        <v>#N/A</v>
      </c>
      <c r="X69" s="21" t="e">
        <f t="shared" si="2"/>
        <v>#N/A</v>
      </c>
      <c r="Y69" s="21" t="e">
        <f t="shared" si="3"/>
        <v>#N/A</v>
      </c>
      <c r="Z69" s="11" t="e">
        <f t="shared" si="4"/>
        <v>#N/A</v>
      </c>
      <c r="AA69" s="22" t="e">
        <f t="shared" si="5"/>
        <v>#N/A</v>
      </c>
      <c r="AB69" s="21" t="e">
        <f t="shared" si="6"/>
        <v>#N/A</v>
      </c>
      <c r="AC69" s="21" t="e">
        <f t="shared" si="7"/>
        <v>#N/A</v>
      </c>
      <c r="AD69" s="11" t="e">
        <f t="shared" si="8"/>
        <v>#N/A</v>
      </c>
      <c r="AE69" s="22" t="e">
        <f t="shared" si="9"/>
        <v>#N/A</v>
      </c>
      <c r="AF69" s="21" t="e">
        <f t="shared" si="10"/>
        <v>#N/A</v>
      </c>
      <c r="AG69" s="21" t="e">
        <f t="shared" si="11"/>
        <v>#N/A</v>
      </c>
      <c r="AH69" s="11" t="e">
        <f t="shared" si="12"/>
        <v>#N/A</v>
      </c>
      <c r="AI69">
        <v>2.5000000000000001E-2</v>
      </c>
      <c r="AJ69">
        <v>-2.5000000000000001E-2</v>
      </c>
      <c r="AK69">
        <v>1.5E-3</v>
      </c>
      <c r="AL69">
        <v>-1.5E-3</v>
      </c>
      <c r="AM69">
        <v>1.5E-3</v>
      </c>
      <c r="AN69">
        <v>-1.5E-3</v>
      </c>
      <c r="AO69" s="16">
        <v>2.5000000000000001E-2</v>
      </c>
      <c r="AP69" s="16">
        <v>-2.5000000000000001E-2</v>
      </c>
      <c r="AQ69">
        <v>1.4999999999999999E-2</v>
      </c>
      <c r="AR69">
        <v>-1.4999999999999999E-2</v>
      </c>
      <c r="AS69">
        <v>1E-3</v>
      </c>
      <c r="AT69">
        <v>-1E-3</v>
      </c>
      <c r="AU69">
        <v>1E-3</v>
      </c>
      <c r="AV69">
        <v>-1E-3</v>
      </c>
      <c r="AW69" s="16">
        <v>1.4999999999999999E-2</v>
      </c>
      <c r="AX69" s="16">
        <v>-1.4999999999999999E-2</v>
      </c>
    </row>
    <row r="70" spans="6:278" customFormat="1">
      <c r="F70" s="17" t="str">
        <f t="shared" si="0"/>
        <v/>
      </c>
      <c r="G70" s="9"/>
      <c r="H70" s="2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22" t="e">
        <f t="shared" si="1"/>
        <v>#N/A</v>
      </c>
      <c r="X70" s="21" t="e">
        <f t="shared" si="2"/>
        <v>#N/A</v>
      </c>
      <c r="Y70" s="21" t="e">
        <f t="shared" si="3"/>
        <v>#N/A</v>
      </c>
      <c r="Z70" s="11" t="e">
        <f t="shared" si="4"/>
        <v>#N/A</v>
      </c>
      <c r="AA70" s="22" t="e">
        <f t="shared" si="5"/>
        <v>#N/A</v>
      </c>
      <c r="AB70" s="21" t="e">
        <f t="shared" si="6"/>
        <v>#N/A</v>
      </c>
      <c r="AC70" s="21" t="e">
        <f t="shared" si="7"/>
        <v>#N/A</v>
      </c>
      <c r="AD70" s="11" t="e">
        <f t="shared" si="8"/>
        <v>#N/A</v>
      </c>
      <c r="AE70" s="22" t="e">
        <f t="shared" si="9"/>
        <v>#N/A</v>
      </c>
      <c r="AF70" s="21" t="e">
        <f t="shared" si="10"/>
        <v>#N/A</v>
      </c>
      <c r="AG70" s="21" t="e">
        <f t="shared" si="11"/>
        <v>#N/A</v>
      </c>
      <c r="AH70" s="11" t="e">
        <f t="shared" si="12"/>
        <v>#N/A</v>
      </c>
      <c r="AI70">
        <v>2.5000000000000001E-2</v>
      </c>
      <c r="AJ70">
        <v>-2.5000000000000001E-2</v>
      </c>
      <c r="AK70">
        <v>1.5E-3</v>
      </c>
      <c r="AL70">
        <v>-1.5E-3</v>
      </c>
      <c r="AM70">
        <v>1.5E-3</v>
      </c>
      <c r="AN70">
        <v>-1.5E-3</v>
      </c>
      <c r="AO70" s="16">
        <v>2.5000000000000001E-2</v>
      </c>
      <c r="AP70" s="16">
        <v>-2.5000000000000001E-2</v>
      </c>
      <c r="AQ70">
        <v>1.4999999999999999E-2</v>
      </c>
      <c r="AR70">
        <v>-1.4999999999999999E-2</v>
      </c>
      <c r="AS70">
        <v>1E-3</v>
      </c>
      <c r="AT70">
        <v>-1E-3</v>
      </c>
      <c r="AU70">
        <v>1E-3</v>
      </c>
      <c r="AV70">
        <v>-1E-3</v>
      </c>
      <c r="AW70" s="16">
        <v>1.4999999999999999E-2</v>
      </c>
      <c r="AX70" s="16">
        <v>-1.4999999999999999E-2</v>
      </c>
    </row>
    <row r="71" spans="6:278" customFormat="1">
      <c r="F71" s="17" t="str">
        <f t="shared" ref="F71:F100" si="13">IF(G71="","",G71)</f>
        <v/>
      </c>
      <c r="G71" s="9"/>
      <c r="H71" s="2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22" t="e">
        <f t="shared" ref="W71:W100" si="14">IF(H71="",NA(),I71-VLOOKUP(H71,$A$6:$E$35,2,FALSE))</f>
        <v>#N/A</v>
      </c>
      <c r="X71" s="21" t="e">
        <f t="shared" ref="X71:X100" si="15">IF(H71="",NA(),J71-VLOOKUP(H71,$A$6:$E$35,3,FALSE))</f>
        <v>#N/A</v>
      </c>
      <c r="Y71" s="21" t="e">
        <f t="shared" ref="Y71:Y100" si="16">IF(H71="",NA(),K71-VLOOKUP(H71,$A$6:$E$35,4,FALSE))</f>
        <v>#N/A</v>
      </c>
      <c r="Z71" s="11" t="e">
        <f t="shared" ref="Z71:Z100" si="17">IF(H71="",NA(),L71/VLOOKUP(H71,$A$6:$E$35,5,FALSE)-1)</f>
        <v>#N/A</v>
      </c>
      <c r="AA71" s="22" t="e">
        <f t="shared" ref="AA71:AA100" si="18">IF(M71="",NA(),N71-VLOOKUP(M71,$A$6:$E$35,2,FALSE))</f>
        <v>#N/A</v>
      </c>
      <c r="AB71" s="21" t="e">
        <f t="shared" ref="AB71:AB100" si="19">IF(M71="",NA(),O71-VLOOKUP(M71,$A$6:$E$35,3,FALSE))</f>
        <v>#N/A</v>
      </c>
      <c r="AC71" s="21" t="e">
        <f t="shared" ref="AC71:AC100" si="20">IF(M71="",NA(),P71-VLOOKUP(M71,$A$6:$E$35,4,FALSE))</f>
        <v>#N/A</v>
      </c>
      <c r="AD71" s="11" t="e">
        <f t="shared" ref="AD71:AD100" si="21">IF(M71="",NA(),Q71/VLOOKUP(M71,$A$6:$E$35,5,FALSE)-1)</f>
        <v>#N/A</v>
      </c>
      <c r="AE71" s="22" t="e">
        <f t="shared" ref="AE71:AE100" si="22">IF(R71="",NA(),S71-VLOOKUP(R71,$A$6:$E$35,2,FALSE))</f>
        <v>#N/A</v>
      </c>
      <c r="AF71" s="21" t="e">
        <f t="shared" ref="AF71:AF100" si="23">IF(R71="",NA(),T71-VLOOKUP(R71,$A$6:$E$35,3,FALSE))</f>
        <v>#N/A</v>
      </c>
      <c r="AG71" s="21" t="e">
        <f t="shared" ref="AG71:AG100" si="24">IF(R71="",NA(),U71-VLOOKUP(R71,$A$6:$E$35,4,FALSE))</f>
        <v>#N/A</v>
      </c>
      <c r="AH71" s="11" t="e">
        <f t="shared" ref="AH71:AH100" si="25">IF(R71="",NA(),V71/VLOOKUP(R71,$A$6:$E$35,5,FALSE)-1)</f>
        <v>#N/A</v>
      </c>
      <c r="AI71">
        <v>2.5000000000000001E-2</v>
      </c>
      <c r="AJ71">
        <v>-2.5000000000000001E-2</v>
      </c>
      <c r="AK71">
        <v>1.5E-3</v>
      </c>
      <c r="AL71">
        <v>-1.5E-3</v>
      </c>
      <c r="AM71">
        <v>1.5E-3</v>
      </c>
      <c r="AN71">
        <v>-1.5E-3</v>
      </c>
      <c r="AO71" s="16">
        <v>2.5000000000000001E-2</v>
      </c>
      <c r="AP71" s="16">
        <v>-2.5000000000000001E-2</v>
      </c>
      <c r="AQ71">
        <v>1.4999999999999999E-2</v>
      </c>
      <c r="AR71">
        <v>-1.4999999999999999E-2</v>
      </c>
      <c r="AS71">
        <v>1E-3</v>
      </c>
      <c r="AT71">
        <v>-1E-3</v>
      </c>
      <c r="AU71">
        <v>1E-3</v>
      </c>
      <c r="AV71">
        <v>-1E-3</v>
      </c>
      <c r="AW71" s="16">
        <v>1.4999999999999999E-2</v>
      </c>
      <c r="AX71" s="16">
        <v>-1.4999999999999999E-2</v>
      </c>
    </row>
    <row r="72" spans="6:278" customFormat="1">
      <c r="F72" s="17" t="str">
        <f t="shared" si="13"/>
        <v/>
      </c>
      <c r="G72" s="9"/>
      <c r="H72" s="2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22" t="e">
        <f t="shared" si="14"/>
        <v>#N/A</v>
      </c>
      <c r="X72" s="21" t="e">
        <f t="shared" si="15"/>
        <v>#N/A</v>
      </c>
      <c r="Y72" s="21" t="e">
        <f t="shared" si="16"/>
        <v>#N/A</v>
      </c>
      <c r="Z72" s="11" t="e">
        <f t="shared" si="17"/>
        <v>#N/A</v>
      </c>
      <c r="AA72" s="22" t="e">
        <f t="shared" si="18"/>
        <v>#N/A</v>
      </c>
      <c r="AB72" s="21" t="e">
        <f t="shared" si="19"/>
        <v>#N/A</v>
      </c>
      <c r="AC72" s="21" t="e">
        <f t="shared" si="20"/>
        <v>#N/A</v>
      </c>
      <c r="AD72" s="11" t="e">
        <f t="shared" si="21"/>
        <v>#N/A</v>
      </c>
      <c r="AE72" s="22" t="e">
        <f t="shared" si="22"/>
        <v>#N/A</v>
      </c>
      <c r="AF72" s="21" t="e">
        <f t="shared" si="23"/>
        <v>#N/A</v>
      </c>
      <c r="AG72" s="21" t="e">
        <f t="shared" si="24"/>
        <v>#N/A</v>
      </c>
      <c r="AH72" s="11" t="e">
        <f t="shared" si="25"/>
        <v>#N/A</v>
      </c>
      <c r="AI72">
        <v>2.5000000000000001E-2</v>
      </c>
      <c r="AJ72">
        <v>-2.5000000000000001E-2</v>
      </c>
      <c r="AK72">
        <v>1.5E-3</v>
      </c>
      <c r="AL72">
        <v>-1.5E-3</v>
      </c>
      <c r="AM72">
        <v>1.5E-3</v>
      </c>
      <c r="AN72">
        <v>-1.5E-3</v>
      </c>
      <c r="AO72" s="16">
        <v>2.5000000000000001E-2</v>
      </c>
      <c r="AP72" s="16">
        <v>-2.5000000000000001E-2</v>
      </c>
      <c r="AQ72">
        <v>1.4999999999999999E-2</v>
      </c>
      <c r="AR72">
        <v>-1.4999999999999999E-2</v>
      </c>
      <c r="AS72">
        <v>1E-3</v>
      </c>
      <c r="AT72">
        <v>-1E-3</v>
      </c>
      <c r="AU72">
        <v>1E-3</v>
      </c>
      <c r="AV72">
        <v>-1E-3</v>
      </c>
      <c r="AW72" s="16">
        <v>1.4999999999999999E-2</v>
      </c>
      <c r="AX72" s="16">
        <v>-1.4999999999999999E-2</v>
      </c>
    </row>
    <row r="73" spans="6:278" customFormat="1">
      <c r="F73" s="17" t="str">
        <f t="shared" si="13"/>
        <v/>
      </c>
      <c r="G73" s="9"/>
      <c r="H73" s="2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22" t="e">
        <f t="shared" si="14"/>
        <v>#N/A</v>
      </c>
      <c r="X73" s="21" t="e">
        <f t="shared" si="15"/>
        <v>#N/A</v>
      </c>
      <c r="Y73" s="21" t="e">
        <f t="shared" si="16"/>
        <v>#N/A</v>
      </c>
      <c r="Z73" s="11" t="e">
        <f t="shared" si="17"/>
        <v>#N/A</v>
      </c>
      <c r="AA73" s="22" t="e">
        <f t="shared" si="18"/>
        <v>#N/A</v>
      </c>
      <c r="AB73" s="21" t="e">
        <f t="shared" si="19"/>
        <v>#N/A</v>
      </c>
      <c r="AC73" s="21" t="e">
        <f t="shared" si="20"/>
        <v>#N/A</v>
      </c>
      <c r="AD73" s="11" t="e">
        <f t="shared" si="21"/>
        <v>#N/A</v>
      </c>
      <c r="AE73" s="22" t="e">
        <f t="shared" si="22"/>
        <v>#N/A</v>
      </c>
      <c r="AF73" s="21" t="e">
        <f t="shared" si="23"/>
        <v>#N/A</v>
      </c>
      <c r="AG73" s="21" t="e">
        <f t="shared" si="24"/>
        <v>#N/A</v>
      </c>
      <c r="AH73" s="11" t="e">
        <f t="shared" si="25"/>
        <v>#N/A</v>
      </c>
      <c r="AI73">
        <v>2.5000000000000001E-2</v>
      </c>
      <c r="AJ73">
        <v>-2.5000000000000001E-2</v>
      </c>
      <c r="AK73">
        <v>1.5E-3</v>
      </c>
      <c r="AL73">
        <v>-1.5E-3</v>
      </c>
      <c r="AM73">
        <v>1.5E-3</v>
      </c>
      <c r="AN73">
        <v>-1.5E-3</v>
      </c>
      <c r="AO73" s="16">
        <v>2.5000000000000001E-2</v>
      </c>
      <c r="AP73" s="16">
        <v>-2.5000000000000001E-2</v>
      </c>
      <c r="AQ73">
        <v>1.4999999999999999E-2</v>
      </c>
      <c r="AR73">
        <v>-1.4999999999999999E-2</v>
      </c>
      <c r="AS73">
        <v>1E-3</v>
      </c>
      <c r="AT73">
        <v>-1E-3</v>
      </c>
      <c r="AU73">
        <v>1E-3</v>
      </c>
      <c r="AV73">
        <v>-1E-3</v>
      </c>
      <c r="AW73" s="16">
        <v>1.4999999999999999E-2</v>
      </c>
      <c r="AX73" s="16">
        <v>-1.4999999999999999E-2</v>
      </c>
    </row>
    <row r="74" spans="6:278" customFormat="1">
      <c r="F74" s="17" t="str">
        <f t="shared" si="13"/>
        <v/>
      </c>
      <c r="G74" s="9"/>
      <c r="H74" s="2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22" t="e">
        <f t="shared" si="14"/>
        <v>#N/A</v>
      </c>
      <c r="X74" s="21" t="e">
        <f t="shared" si="15"/>
        <v>#N/A</v>
      </c>
      <c r="Y74" s="21" t="e">
        <f t="shared" si="16"/>
        <v>#N/A</v>
      </c>
      <c r="Z74" s="11" t="e">
        <f t="shared" si="17"/>
        <v>#N/A</v>
      </c>
      <c r="AA74" s="22" t="e">
        <f t="shared" si="18"/>
        <v>#N/A</v>
      </c>
      <c r="AB74" s="21" t="e">
        <f t="shared" si="19"/>
        <v>#N/A</v>
      </c>
      <c r="AC74" s="21" t="e">
        <f t="shared" si="20"/>
        <v>#N/A</v>
      </c>
      <c r="AD74" s="11" t="e">
        <f t="shared" si="21"/>
        <v>#N/A</v>
      </c>
      <c r="AE74" s="22" t="e">
        <f t="shared" si="22"/>
        <v>#N/A</v>
      </c>
      <c r="AF74" s="21" t="e">
        <f t="shared" si="23"/>
        <v>#N/A</v>
      </c>
      <c r="AG74" s="21" t="e">
        <f t="shared" si="24"/>
        <v>#N/A</v>
      </c>
      <c r="AH74" s="11" t="e">
        <f t="shared" si="25"/>
        <v>#N/A</v>
      </c>
      <c r="AI74">
        <v>2.5000000000000001E-2</v>
      </c>
      <c r="AJ74">
        <v>-2.5000000000000001E-2</v>
      </c>
      <c r="AK74">
        <v>1.5E-3</v>
      </c>
      <c r="AL74">
        <v>-1.5E-3</v>
      </c>
      <c r="AM74">
        <v>1.5E-3</v>
      </c>
      <c r="AN74">
        <v>-1.5E-3</v>
      </c>
      <c r="AO74" s="16">
        <v>2.5000000000000001E-2</v>
      </c>
      <c r="AP74" s="16">
        <v>-2.5000000000000001E-2</v>
      </c>
      <c r="AQ74">
        <v>1.4999999999999999E-2</v>
      </c>
      <c r="AR74">
        <v>-1.4999999999999999E-2</v>
      </c>
      <c r="AS74">
        <v>1E-3</v>
      </c>
      <c r="AT74">
        <v>-1E-3</v>
      </c>
      <c r="AU74">
        <v>1E-3</v>
      </c>
      <c r="AV74">
        <v>-1E-3</v>
      </c>
      <c r="AW74" s="16">
        <v>1.4999999999999999E-2</v>
      </c>
      <c r="AX74" s="16">
        <v>-1.4999999999999999E-2</v>
      </c>
    </row>
    <row r="75" spans="6:278" customFormat="1">
      <c r="F75" s="17" t="str">
        <f t="shared" si="13"/>
        <v/>
      </c>
      <c r="G75" s="9"/>
      <c r="H75" s="2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22" t="e">
        <f t="shared" si="14"/>
        <v>#N/A</v>
      </c>
      <c r="X75" s="21" t="e">
        <f t="shared" si="15"/>
        <v>#N/A</v>
      </c>
      <c r="Y75" s="21" t="e">
        <f t="shared" si="16"/>
        <v>#N/A</v>
      </c>
      <c r="Z75" s="11" t="e">
        <f t="shared" si="17"/>
        <v>#N/A</v>
      </c>
      <c r="AA75" s="22" t="e">
        <f t="shared" si="18"/>
        <v>#N/A</v>
      </c>
      <c r="AB75" s="21" t="e">
        <f t="shared" si="19"/>
        <v>#N/A</v>
      </c>
      <c r="AC75" s="21" t="e">
        <f t="shared" si="20"/>
        <v>#N/A</v>
      </c>
      <c r="AD75" s="11" t="e">
        <f t="shared" si="21"/>
        <v>#N/A</v>
      </c>
      <c r="AE75" s="22" t="e">
        <f t="shared" si="22"/>
        <v>#N/A</v>
      </c>
      <c r="AF75" s="21" t="e">
        <f t="shared" si="23"/>
        <v>#N/A</v>
      </c>
      <c r="AG75" s="21" t="e">
        <f t="shared" si="24"/>
        <v>#N/A</v>
      </c>
      <c r="AH75" s="11" t="e">
        <f t="shared" si="25"/>
        <v>#N/A</v>
      </c>
      <c r="AI75">
        <v>2.5000000000000001E-2</v>
      </c>
      <c r="AJ75">
        <v>-2.5000000000000001E-2</v>
      </c>
      <c r="AK75">
        <v>1.5E-3</v>
      </c>
      <c r="AL75">
        <v>-1.5E-3</v>
      </c>
      <c r="AM75">
        <v>1.5E-3</v>
      </c>
      <c r="AN75">
        <v>-1.5E-3</v>
      </c>
      <c r="AO75" s="16">
        <v>2.5000000000000001E-2</v>
      </c>
      <c r="AP75" s="16">
        <v>-2.5000000000000001E-2</v>
      </c>
      <c r="AQ75">
        <v>1.4999999999999999E-2</v>
      </c>
      <c r="AR75">
        <v>-1.4999999999999999E-2</v>
      </c>
      <c r="AS75">
        <v>1E-3</v>
      </c>
      <c r="AT75">
        <v>-1E-3</v>
      </c>
      <c r="AU75">
        <v>1E-3</v>
      </c>
      <c r="AV75">
        <v>-1E-3</v>
      </c>
      <c r="AW75" s="16">
        <v>1.4999999999999999E-2</v>
      </c>
      <c r="AX75" s="16">
        <v>-1.4999999999999999E-2</v>
      </c>
    </row>
    <row r="76" spans="6:278" customFormat="1">
      <c r="F76" s="17" t="str">
        <f t="shared" si="13"/>
        <v/>
      </c>
      <c r="G76" s="4"/>
      <c r="H76" s="2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22" t="e">
        <f t="shared" si="14"/>
        <v>#N/A</v>
      </c>
      <c r="X76" s="21" t="e">
        <f t="shared" si="15"/>
        <v>#N/A</v>
      </c>
      <c r="Y76" s="21" t="e">
        <f t="shared" si="16"/>
        <v>#N/A</v>
      </c>
      <c r="Z76" s="11" t="e">
        <f t="shared" si="17"/>
        <v>#N/A</v>
      </c>
      <c r="AA76" s="22" t="e">
        <f t="shared" si="18"/>
        <v>#N/A</v>
      </c>
      <c r="AB76" s="21" t="e">
        <f t="shared" si="19"/>
        <v>#N/A</v>
      </c>
      <c r="AC76" s="21" t="e">
        <f t="shared" si="20"/>
        <v>#N/A</v>
      </c>
      <c r="AD76" s="11" t="e">
        <f t="shared" si="21"/>
        <v>#N/A</v>
      </c>
      <c r="AE76" s="22" t="e">
        <f t="shared" si="22"/>
        <v>#N/A</v>
      </c>
      <c r="AF76" s="21" t="e">
        <f t="shared" si="23"/>
        <v>#N/A</v>
      </c>
      <c r="AG76" s="21" t="e">
        <f t="shared" si="24"/>
        <v>#N/A</v>
      </c>
      <c r="AH76" s="11" t="e">
        <f t="shared" si="25"/>
        <v>#N/A</v>
      </c>
      <c r="AI76">
        <v>2.5000000000000001E-2</v>
      </c>
      <c r="AJ76">
        <v>-2.5000000000000001E-2</v>
      </c>
      <c r="AK76">
        <v>1.5E-3</v>
      </c>
      <c r="AL76">
        <v>-1.5E-3</v>
      </c>
      <c r="AM76">
        <v>1.5E-3</v>
      </c>
      <c r="AN76">
        <v>-1.5E-3</v>
      </c>
      <c r="AO76" s="16">
        <v>2.5000000000000001E-2</v>
      </c>
      <c r="AP76" s="16">
        <v>-2.5000000000000001E-2</v>
      </c>
      <c r="AQ76">
        <v>1.4999999999999999E-2</v>
      </c>
      <c r="AR76">
        <v>-1.4999999999999999E-2</v>
      </c>
      <c r="AS76">
        <v>1E-3</v>
      </c>
      <c r="AT76">
        <v>-1E-3</v>
      </c>
      <c r="AU76">
        <v>1E-3</v>
      </c>
      <c r="AV76">
        <v>-1E-3</v>
      </c>
      <c r="AW76" s="16">
        <v>1.4999999999999999E-2</v>
      </c>
      <c r="AX76" s="16">
        <v>-1.4999999999999999E-2</v>
      </c>
    </row>
    <row r="77" spans="6:278" customFormat="1">
      <c r="F77" s="17" t="str">
        <f t="shared" si="13"/>
        <v/>
      </c>
      <c r="G77" s="4"/>
      <c r="H77" s="2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22" t="e">
        <f t="shared" si="14"/>
        <v>#N/A</v>
      </c>
      <c r="X77" s="21" t="e">
        <f t="shared" si="15"/>
        <v>#N/A</v>
      </c>
      <c r="Y77" s="21" t="e">
        <f t="shared" si="16"/>
        <v>#N/A</v>
      </c>
      <c r="Z77" s="11" t="e">
        <f t="shared" si="17"/>
        <v>#N/A</v>
      </c>
      <c r="AA77" s="22" t="e">
        <f t="shared" si="18"/>
        <v>#N/A</v>
      </c>
      <c r="AB77" s="21" t="e">
        <f t="shared" si="19"/>
        <v>#N/A</v>
      </c>
      <c r="AC77" s="21" t="e">
        <f t="shared" si="20"/>
        <v>#N/A</v>
      </c>
      <c r="AD77" s="11" t="e">
        <f t="shared" si="21"/>
        <v>#N/A</v>
      </c>
      <c r="AE77" s="22" t="e">
        <f t="shared" si="22"/>
        <v>#N/A</v>
      </c>
      <c r="AF77" s="21" t="e">
        <f t="shared" si="23"/>
        <v>#N/A</v>
      </c>
      <c r="AG77" s="21" t="e">
        <f t="shared" si="24"/>
        <v>#N/A</v>
      </c>
      <c r="AH77" s="11" t="e">
        <f t="shared" si="25"/>
        <v>#N/A</v>
      </c>
      <c r="AI77">
        <v>2.5000000000000001E-2</v>
      </c>
      <c r="AJ77">
        <v>-2.5000000000000001E-2</v>
      </c>
      <c r="AK77">
        <v>1.5E-3</v>
      </c>
      <c r="AL77">
        <v>-1.5E-3</v>
      </c>
      <c r="AM77">
        <v>1.5E-3</v>
      </c>
      <c r="AN77">
        <v>-1.5E-3</v>
      </c>
      <c r="AO77" s="16">
        <v>2.5000000000000001E-2</v>
      </c>
      <c r="AP77" s="16">
        <v>-2.5000000000000001E-2</v>
      </c>
      <c r="AQ77">
        <v>1.4999999999999999E-2</v>
      </c>
      <c r="AR77">
        <v>-1.4999999999999999E-2</v>
      </c>
      <c r="AS77">
        <v>1E-3</v>
      </c>
      <c r="AT77">
        <v>-1E-3</v>
      </c>
      <c r="AU77">
        <v>1E-3</v>
      </c>
      <c r="AV77">
        <v>-1E-3</v>
      </c>
      <c r="AW77" s="16">
        <v>1.4999999999999999E-2</v>
      </c>
      <c r="AX77" s="16">
        <v>-1.4999999999999999E-2</v>
      </c>
    </row>
    <row r="78" spans="6:278" customFormat="1">
      <c r="F78" s="17" t="str">
        <f t="shared" si="13"/>
        <v/>
      </c>
      <c r="G78" s="4"/>
      <c r="H78" s="2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22" t="e">
        <f t="shared" si="14"/>
        <v>#N/A</v>
      </c>
      <c r="X78" s="21" t="e">
        <f t="shared" si="15"/>
        <v>#N/A</v>
      </c>
      <c r="Y78" s="21" t="e">
        <f t="shared" si="16"/>
        <v>#N/A</v>
      </c>
      <c r="Z78" s="11" t="e">
        <f t="shared" si="17"/>
        <v>#N/A</v>
      </c>
      <c r="AA78" s="22" t="e">
        <f t="shared" si="18"/>
        <v>#N/A</v>
      </c>
      <c r="AB78" s="21" t="e">
        <f t="shared" si="19"/>
        <v>#N/A</v>
      </c>
      <c r="AC78" s="21" t="e">
        <f t="shared" si="20"/>
        <v>#N/A</v>
      </c>
      <c r="AD78" s="11" t="e">
        <f t="shared" si="21"/>
        <v>#N/A</v>
      </c>
      <c r="AE78" s="22" t="e">
        <f t="shared" si="22"/>
        <v>#N/A</v>
      </c>
      <c r="AF78" s="21" t="e">
        <f t="shared" si="23"/>
        <v>#N/A</v>
      </c>
      <c r="AG78" s="21" t="e">
        <f t="shared" si="24"/>
        <v>#N/A</v>
      </c>
      <c r="AH78" s="11" t="e">
        <f t="shared" si="25"/>
        <v>#N/A</v>
      </c>
      <c r="AI78">
        <v>2.5000000000000001E-2</v>
      </c>
      <c r="AJ78">
        <v>-2.5000000000000001E-2</v>
      </c>
      <c r="AK78">
        <v>1.5E-3</v>
      </c>
      <c r="AL78">
        <v>-1.5E-3</v>
      </c>
      <c r="AM78">
        <v>1.5E-3</v>
      </c>
      <c r="AN78">
        <v>-1.5E-3</v>
      </c>
      <c r="AO78" s="16">
        <v>2.5000000000000001E-2</v>
      </c>
      <c r="AP78" s="16">
        <v>-2.5000000000000001E-2</v>
      </c>
      <c r="AQ78">
        <v>1.4999999999999999E-2</v>
      </c>
      <c r="AR78">
        <v>-1.4999999999999999E-2</v>
      </c>
      <c r="AS78">
        <v>1E-3</v>
      </c>
      <c r="AT78">
        <v>-1E-3</v>
      </c>
      <c r="AU78">
        <v>1E-3</v>
      </c>
      <c r="AV78">
        <v>-1E-3</v>
      </c>
      <c r="AW78" s="16">
        <v>1.4999999999999999E-2</v>
      </c>
      <c r="AX78" s="16">
        <v>-1.4999999999999999E-2</v>
      </c>
    </row>
    <row r="79" spans="6:278" customFormat="1">
      <c r="F79" s="17" t="str">
        <f t="shared" si="13"/>
        <v/>
      </c>
      <c r="G79" s="4"/>
      <c r="H79" s="2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22" t="e">
        <f t="shared" si="14"/>
        <v>#N/A</v>
      </c>
      <c r="X79" s="21" t="e">
        <f t="shared" si="15"/>
        <v>#N/A</v>
      </c>
      <c r="Y79" s="21" t="e">
        <f t="shared" si="16"/>
        <v>#N/A</v>
      </c>
      <c r="Z79" s="11" t="e">
        <f t="shared" si="17"/>
        <v>#N/A</v>
      </c>
      <c r="AA79" s="22" t="e">
        <f t="shared" si="18"/>
        <v>#N/A</v>
      </c>
      <c r="AB79" s="21" t="e">
        <f t="shared" si="19"/>
        <v>#N/A</v>
      </c>
      <c r="AC79" s="21" t="e">
        <f t="shared" si="20"/>
        <v>#N/A</v>
      </c>
      <c r="AD79" s="11" t="e">
        <f t="shared" si="21"/>
        <v>#N/A</v>
      </c>
      <c r="AE79" s="22" t="e">
        <f t="shared" si="22"/>
        <v>#N/A</v>
      </c>
      <c r="AF79" s="21" t="e">
        <f t="shared" si="23"/>
        <v>#N/A</v>
      </c>
      <c r="AG79" s="21" t="e">
        <f t="shared" si="24"/>
        <v>#N/A</v>
      </c>
      <c r="AH79" s="11" t="e">
        <f t="shared" si="25"/>
        <v>#N/A</v>
      </c>
      <c r="AI79">
        <v>2.5000000000000001E-2</v>
      </c>
      <c r="AJ79">
        <v>-2.5000000000000001E-2</v>
      </c>
      <c r="AK79">
        <v>1.5E-3</v>
      </c>
      <c r="AL79">
        <v>-1.5E-3</v>
      </c>
      <c r="AM79">
        <v>1.5E-3</v>
      </c>
      <c r="AN79">
        <v>-1.5E-3</v>
      </c>
      <c r="AO79" s="16">
        <v>2.5000000000000001E-2</v>
      </c>
      <c r="AP79" s="16">
        <v>-2.5000000000000001E-2</v>
      </c>
      <c r="AQ79">
        <v>1.4999999999999999E-2</v>
      </c>
      <c r="AR79">
        <v>-1.4999999999999999E-2</v>
      </c>
      <c r="AS79">
        <v>1E-3</v>
      </c>
      <c r="AT79">
        <v>-1E-3</v>
      </c>
      <c r="AU79">
        <v>1E-3</v>
      </c>
      <c r="AV79">
        <v>-1E-3</v>
      </c>
      <c r="AW79" s="16">
        <v>1.4999999999999999E-2</v>
      </c>
      <c r="AX79" s="16">
        <v>-1.4999999999999999E-2</v>
      </c>
    </row>
    <row r="80" spans="6:278" customFormat="1">
      <c r="F80" s="17" t="str">
        <f t="shared" si="13"/>
        <v/>
      </c>
      <c r="G80" s="4"/>
      <c r="H80" s="2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22" t="e">
        <f t="shared" si="14"/>
        <v>#N/A</v>
      </c>
      <c r="X80" s="21" t="e">
        <f t="shared" si="15"/>
        <v>#N/A</v>
      </c>
      <c r="Y80" s="21" t="e">
        <f t="shared" si="16"/>
        <v>#N/A</v>
      </c>
      <c r="Z80" s="11" t="e">
        <f t="shared" si="17"/>
        <v>#N/A</v>
      </c>
      <c r="AA80" s="22" t="e">
        <f t="shared" si="18"/>
        <v>#N/A</v>
      </c>
      <c r="AB80" s="21" t="e">
        <f t="shared" si="19"/>
        <v>#N/A</v>
      </c>
      <c r="AC80" s="21" t="e">
        <f t="shared" si="20"/>
        <v>#N/A</v>
      </c>
      <c r="AD80" s="11" t="e">
        <f t="shared" si="21"/>
        <v>#N/A</v>
      </c>
      <c r="AE80" s="22" t="e">
        <f t="shared" si="22"/>
        <v>#N/A</v>
      </c>
      <c r="AF80" s="21" t="e">
        <f t="shared" si="23"/>
        <v>#N/A</v>
      </c>
      <c r="AG80" s="21" t="e">
        <f t="shared" si="24"/>
        <v>#N/A</v>
      </c>
      <c r="AH80" s="11" t="e">
        <f t="shared" si="25"/>
        <v>#N/A</v>
      </c>
      <c r="AI80">
        <v>2.5000000000000001E-2</v>
      </c>
      <c r="AJ80">
        <v>-2.5000000000000001E-2</v>
      </c>
      <c r="AK80">
        <v>1.5E-3</v>
      </c>
      <c r="AL80">
        <v>-1.5E-3</v>
      </c>
      <c r="AM80">
        <v>1.5E-3</v>
      </c>
      <c r="AN80">
        <v>-1.5E-3</v>
      </c>
      <c r="AO80" s="16">
        <v>2.5000000000000001E-2</v>
      </c>
      <c r="AP80" s="16">
        <v>-2.5000000000000001E-2</v>
      </c>
      <c r="AQ80">
        <v>1.4999999999999999E-2</v>
      </c>
      <c r="AR80">
        <v>-1.4999999999999999E-2</v>
      </c>
      <c r="AS80">
        <v>1E-3</v>
      </c>
      <c r="AT80">
        <v>-1E-3</v>
      </c>
      <c r="AU80">
        <v>1E-3</v>
      </c>
      <c r="AV80">
        <v>-1E-3</v>
      </c>
      <c r="AW80" s="16">
        <v>1.4999999999999999E-2</v>
      </c>
      <c r="AX80" s="16">
        <v>-1.4999999999999999E-2</v>
      </c>
    </row>
    <row r="81" spans="6:50">
      <c r="F81" s="17" t="str">
        <f t="shared" si="13"/>
        <v/>
      </c>
      <c r="G81" s="4"/>
      <c r="H81" s="2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22" t="e">
        <f t="shared" si="14"/>
        <v>#N/A</v>
      </c>
      <c r="X81" s="21" t="e">
        <f t="shared" si="15"/>
        <v>#N/A</v>
      </c>
      <c r="Y81" s="21" t="e">
        <f t="shared" si="16"/>
        <v>#N/A</v>
      </c>
      <c r="Z81" s="11" t="e">
        <f t="shared" si="17"/>
        <v>#N/A</v>
      </c>
      <c r="AA81" s="22" t="e">
        <f t="shared" si="18"/>
        <v>#N/A</v>
      </c>
      <c r="AB81" s="21" t="e">
        <f t="shared" si="19"/>
        <v>#N/A</v>
      </c>
      <c r="AC81" s="21" t="e">
        <f t="shared" si="20"/>
        <v>#N/A</v>
      </c>
      <c r="AD81" s="11" t="e">
        <f t="shared" si="21"/>
        <v>#N/A</v>
      </c>
      <c r="AE81" s="22" t="e">
        <f t="shared" si="22"/>
        <v>#N/A</v>
      </c>
      <c r="AF81" s="21" t="e">
        <f t="shared" si="23"/>
        <v>#N/A</v>
      </c>
      <c r="AG81" s="21" t="e">
        <f t="shared" si="24"/>
        <v>#N/A</v>
      </c>
      <c r="AH81" s="11" t="e">
        <f t="shared" si="25"/>
        <v>#N/A</v>
      </c>
      <c r="AI81">
        <v>2.5000000000000001E-2</v>
      </c>
      <c r="AJ81">
        <v>-2.5000000000000001E-2</v>
      </c>
      <c r="AK81">
        <v>1.5E-3</v>
      </c>
      <c r="AL81">
        <v>-1.5E-3</v>
      </c>
      <c r="AM81">
        <v>1.5E-3</v>
      </c>
      <c r="AN81">
        <v>-1.5E-3</v>
      </c>
      <c r="AO81" s="16">
        <v>2.5000000000000001E-2</v>
      </c>
      <c r="AP81" s="16">
        <v>-2.5000000000000001E-2</v>
      </c>
      <c r="AQ81">
        <v>1.4999999999999999E-2</v>
      </c>
      <c r="AR81">
        <v>-1.4999999999999999E-2</v>
      </c>
      <c r="AS81">
        <v>1E-3</v>
      </c>
      <c r="AT81">
        <v>-1E-3</v>
      </c>
      <c r="AU81">
        <v>1E-3</v>
      </c>
      <c r="AV81">
        <v>-1E-3</v>
      </c>
      <c r="AW81" s="16">
        <v>1.4999999999999999E-2</v>
      </c>
      <c r="AX81" s="16">
        <v>-1.4999999999999999E-2</v>
      </c>
    </row>
    <row r="82" spans="6:50">
      <c r="F82" s="17" t="str">
        <f t="shared" si="13"/>
        <v/>
      </c>
      <c r="G82" s="4"/>
      <c r="H82" s="2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22" t="e">
        <f t="shared" si="14"/>
        <v>#N/A</v>
      </c>
      <c r="X82" s="21" t="e">
        <f t="shared" si="15"/>
        <v>#N/A</v>
      </c>
      <c r="Y82" s="21" t="e">
        <f t="shared" si="16"/>
        <v>#N/A</v>
      </c>
      <c r="Z82" s="11" t="e">
        <f t="shared" si="17"/>
        <v>#N/A</v>
      </c>
      <c r="AA82" s="22" t="e">
        <f t="shared" si="18"/>
        <v>#N/A</v>
      </c>
      <c r="AB82" s="21" t="e">
        <f t="shared" si="19"/>
        <v>#N/A</v>
      </c>
      <c r="AC82" s="21" t="e">
        <f t="shared" si="20"/>
        <v>#N/A</v>
      </c>
      <c r="AD82" s="11" t="e">
        <f t="shared" si="21"/>
        <v>#N/A</v>
      </c>
      <c r="AE82" s="22" t="e">
        <f t="shared" si="22"/>
        <v>#N/A</v>
      </c>
      <c r="AF82" s="21" t="e">
        <f t="shared" si="23"/>
        <v>#N/A</v>
      </c>
      <c r="AG82" s="21" t="e">
        <f t="shared" si="24"/>
        <v>#N/A</v>
      </c>
      <c r="AH82" s="11" t="e">
        <f t="shared" si="25"/>
        <v>#N/A</v>
      </c>
      <c r="AI82">
        <v>2.5000000000000001E-2</v>
      </c>
      <c r="AJ82">
        <v>-2.5000000000000001E-2</v>
      </c>
      <c r="AK82">
        <v>1.5E-3</v>
      </c>
      <c r="AL82">
        <v>-1.5E-3</v>
      </c>
      <c r="AM82">
        <v>1.5E-3</v>
      </c>
      <c r="AN82">
        <v>-1.5E-3</v>
      </c>
      <c r="AO82" s="16">
        <v>2.5000000000000001E-2</v>
      </c>
      <c r="AP82" s="16">
        <v>-2.5000000000000001E-2</v>
      </c>
      <c r="AQ82">
        <v>1.4999999999999999E-2</v>
      </c>
      <c r="AR82">
        <v>-1.4999999999999999E-2</v>
      </c>
      <c r="AS82">
        <v>1E-3</v>
      </c>
      <c r="AT82">
        <v>-1E-3</v>
      </c>
      <c r="AU82">
        <v>1E-3</v>
      </c>
      <c r="AV82">
        <v>-1E-3</v>
      </c>
      <c r="AW82" s="16">
        <v>1.4999999999999999E-2</v>
      </c>
      <c r="AX82" s="16">
        <v>-1.4999999999999999E-2</v>
      </c>
    </row>
    <row r="83" spans="6:50">
      <c r="F83" s="17" t="str">
        <f t="shared" si="13"/>
        <v/>
      </c>
      <c r="G83" s="4"/>
      <c r="H83" s="2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22" t="e">
        <f t="shared" si="14"/>
        <v>#N/A</v>
      </c>
      <c r="X83" s="21" t="e">
        <f t="shared" si="15"/>
        <v>#N/A</v>
      </c>
      <c r="Y83" s="21" t="e">
        <f t="shared" si="16"/>
        <v>#N/A</v>
      </c>
      <c r="Z83" s="11" t="e">
        <f t="shared" si="17"/>
        <v>#N/A</v>
      </c>
      <c r="AA83" s="22" t="e">
        <f t="shared" si="18"/>
        <v>#N/A</v>
      </c>
      <c r="AB83" s="21" t="e">
        <f t="shared" si="19"/>
        <v>#N/A</v>
      </c>
      <c r="AC83" s="21" t="e">
        <f t="shared" si="20"/>
        <v>#N/A</v>
      </c>
      <c r="AD83" s="11" t="e">
        <f t="shared" si="21"/>
        <v>#N/A</v>
      </c>
      <c r="AE83" s="22" t="e">
        <f t="shared" si="22"/>
        <v>#N/A</v>
      </c>
      <c r="AF83" s="21" t="e">
        <f t="shared" si="23"/>
        <v>#N/A</v>
      </c>
      <c r="AG83" s="21" t="e">
        <f t="shared" si="24"/>
        <v>#N/A</v>
      </c>
      <c r="AH83" s="11" t="e">
        <f t="shared" si="25"/>
        <v>#N/A</v>
      </c>
      <c r="AI83">
        <v>2.5000000000000001E-2</v>
      </c>
      <c r="AJ83">
        <v>-2.5000000000000001E-2</v>
      </c>
      <c r="AK83">
        <v>1.5E-3</v>
      </c>
      <c r="AL83">
        <v>-1.5E-3</v>
      </c>
      <c r="AM83">
        <v>1.5E-3</v>
      </c>
      <c r="AN83">
        <v>-1.5E-3</v>
      </c>
      <c r="AO83" s="16">
        <v>2.5000000000000001E-2</v>
      </c>
      <c r="AP83" s="16">
        <v>-2.5000000000000001E-2</v>
      </c>
      <c r="AQ83">
        <v>1.4999999999999999E-2</v>
      </c>
      <c r="AR83">
        <v>-1.4999999999999999E-2</v>
      </c>
      <c r="AS83">
        <v>1E-3</v>
      </c>
      <c r="AT83">
        <v>-1E-3</v>
      </c>
      <c r="AU83">
        <v>1E-3</v>
      </c>
      <c r="AV83">
        <v>-1E-3</v>
      </c>
      <c r="AW83" s="16">
        <v>1.4999999999999999E-2</v>
      </c>
      <c r="AX83" s="16">
        <v>-1.4999999999999999E-2</v>
      </c>
    </row>
    <row r="84" spans="6:50">
      <c r="F84" s="17" t="str">
        <f t="shared" si="13"/>
        <v/>
      </c>
      <c r="G84" s="4"/>
      <c r="H84" s="2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22" t="e">
        <f t="shared" si="14"/>
        <v>#N/A</v>
      </c>
      <c r="X84" s="21" t="e">
        <f t="shared" si="15"/>
        <v>#N/A</v>
      </c>
      <c r="Y84" s="21" t="e">
        <f t="shared" si="16"/>
        <v>#N/A</v>
      </c>
      <c r="Z84" s="11" t="e">
        <f t="shared" si="17"/>
        <v>#N/A</v>
      </c>
      <c r="AA84" s="22" t="e">
        <f t="shared" si="18"/>
        <v>#N/A</v>
      </c>
      <c r="AB84" s="21" t="e">
        <f t="shared" si="19"/>
        <v>#N/A</v>
      </c>
      <c r="AC84" s="21" t="e">
        <f t="shared" si="20"/>
        <v>#N/A</v>
      </c>
      <c r="AD84" s="11" t="e">
        <f t="shared" si="21"/>
        <v>#N/A</v>
      </c>
      <c r="AE84" s="22" t="e">
        <f t="shared" si="22"/>
        <v>#N/A</v>
      </c>
      <c r="AF84" s="21" t="e">
        <f t="shared" si="23"/>
        <v>#N/A</v>
      </c>
      <c r="AG84" s="21" t="e">
        <f t="shared" si="24"/>
        <v>#N/A</v>
      </c>
      <c r="AH84" s="11" t="e">
        <f t="shared" si="25"/>
        <v>#N/A</v>
      </c>
      <c r="AI84">
        <v>2.5000000000000001E-2</v>
      </c>
      <c r="AJ84">
        <v>-2.5000000000000001E-2</v>
      </c>
      <c r="AK84">
        <v>1.5E-3</v>
      </c>
      <c r="AL84">
        <v>-1.5E-3</v>
      </c>
      <c r="AM84">
        <v>1.5E-3</v>
      </c>
      <c r="AN84">
        <v>-1.5E-3</v>
      </c>
      <c r="AO84" s="16">
        <v>2.5000000000000001E-2</v>
      </c>
      <c r="AP84" s="16">
        <v>-2.5000000000000001E-2</v>
      </c>
      <c r="AQ84">
        <v>1.4999999999999999E-2</v>
      </c>
      <c r="AR84">
        <v>-1.4999999999999999E-2</v>
      </c>
      <c r="AS84">
        <v>1E-3</v>
      </c>
      <c r="AT84">
        <v>-1E-3</v>
      </c>
      <c r="AU84">
        <v>1E-3</v>
      </c>
      <c r="AV84">
        <v>-1E-3</v>
      </c>
      <c r="AW84" s="16">
        <v>1.4999999999999999E-2</v>
      </c>
      <c r="AX84" s="16">
        <v>-1.4999999999999999E-2</v>
      </c>
    </row>
    <row r="85" spans="6:50">
      <c r="F85" s="17" t="str">
        <f t="shared" si="13"/>
        <v/>
      </c>
      <c r="G85" s="4"/>
      <c r="H85" s="2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22" t="e">
        <f t="shared" si="14"/>
        <v>#N/A</v>
      </c>
      <c r="X85" s="21" t="e">
        <f t="shared" si="15"/>
        <v>#N/A</v>
      </c>
      <c r="Y85" s="21" t="e">
        <f t="shared" si="16"/>
        <v>#N/A</v>
      </c>
      <c r="Z85" s="11" t="e">
        <f t="shared" si="17"/>
        <v>#N/A</v>
      </c>
      <c r="AA85" s="22" t="e">
        <f t="shared" si="18"/>
        <v>#N/A</v>
      </c>
      <c r="AB85" s="21" t="e">
        <f t="shared" si="19"/>
        <v>#N/A</v>
      </c>
      <c r="AC85" s="21" t="e">
        <f t="shared" si="20"/>
        <v>#N/A</v>
      </c>
      <c r="AD85" s="11" t="e">
        <f t="shared" si="21"/>
        <v>#N/A</v>
      </c>
      <c r="AE85" s="22" t="e">
        <f t="shared" si="22"/>
        <v>#N/A</v>
      </c>
      <c r="AF85" s="21" t="e">
        <f t="shared" si="23"/>
        <v>#N/A</v>
      </c>
      <c r="AG85" s="21" t="e">
        <f t="shared" si="24"/>
        <v>#N/A</v>
      </c>
      <c r="AH85" s="11" t="e">
        <f t="shared" si="25"/>
        <v>#N/A</v>
      </c>
      <c r="AI85">
        <v>2.5000000000000001E-2</v>
      </c>
      <c r="AJ85">
        <v>-2.5000000000000001E-2</v>
      </c>
      <c r="AK85">
        <v>1.5E-3</v>
      </c>
      <c r="AL85">
        <v>-1.5E-3</v>
      </c>
      <c r="AM85">
        <v>1.5E-3</v>
      </c>
      <c r="AN85">
        <v>-1.5E-3</v>
      </c>
      <c r="AO85" s="16">
        <v>2.5000000000000001E-2</v>
      </c>
      <c r="AP85" s="16">
        <v>-2.5000000000000001E-2</v>
      </c>
      <c r="AQ85">
        <v>1.4999999999999999E-2</v>
      </c>
      <c r="AR85">
        <v>-1.4999999999999999E-2</v>
      </c>
      <c r="AS85">
        <v>1E-3</v>
      </c>
      <c r="AT85">
        <v>-1E-3</v>
      </c>
      <c r="AU85">
        <v>1E-3</v>
      </c>
      <c r="AV85">
        <v>-1E-3</v>
      </c>
      <c r="AW85" s="16">
        <v>1.4999999999999999E-2</v>
      </c>
      <c r="AX85" s="16">
        <v>-1.4999999999999999E-2</v>
      </c>
    </row>
    <row r="86" spans="6:50">
      <c r="F86" s="17" t="str">
        <f t="shared" si="13"/>
        <v/>
      </c>
      <c r="G86" s="4"/>
      <c r="H86" s="2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22" t="e">
        <f t="shared" si="14"/>
        <v>#N/A</v>
      </c>
      <c r="X86" s="21" t="e">
        <f t="shared" si="15"/>
        <v>#N/A</v>
      </c>
      <c r="Y86" s="21" t="e">
        <f t="shared" si="16"/>
        <v>#N/A</v>
      </c>
      <c r="Z86" s="11" t="e">
        <f t="shared" si="17"/>
        <v>#N/A</v>
      </c>
      <c r="AA86" s="22" t="e">
        <f t="shared" si="18"/>
        <v>#N/A</v>
      </c>
      <c r="AB86" s="21" t="e">
        <f t="shared" si="19"/>
        <v>#N/A</v>
      </c>
      <c r="AC86" s="21" t="e">
        <f t="shared" si="20"/>
        <v>#N/A</v>
      </c>
      <c r="AD86" s="11" t="e">
        <f t="shared" si="21"/>
        <v>#N/A</v>
      </c>
      <c r="AE86" s="22" t="e">
        <f t="shared" si="22"/>
        <v>#N/A</v>
      </c>
      <c r="AF86" s="21" t="e">
        <f t="shared" si="23"/>
        <v>#N/A</v>
      </c>
      <c r="AG86" s="21" t="e">
        <f t="shared" si="24"/>
        <v>#N/A</v>
      </c>
      <c r="AH86" s="11" t="e">
        <f t="shared" si="25"/>
        <v>#N/A</v>
      </c>
      <c r="AI86">
        <v>2.5000000000000001E-2</v>
      </c>
      <c r="AJ86">
        <v>-2.5000000000000001E-2</v>
      </c>
      <c r="AK86">
        <v>1.5E-3</v>
      </c>
      <c r="AL86">
        <v>-1.5E-3</v>
      </c>
      <c r="AM86">
        <v>1.5E-3</v>
      </c>
      <c r="AN86">
        <v>-1.5E-3</v>
      </c>
      <c r="AO86" s="16">
        <v>2.5000000000000001E-2</v>
      </c>
      <c r="AP86" s="16">
        <v>-2.5000000000000001E-2</v>
      </c>
      <c r="AQ86">
        <v>1.4999999999999999E-2</v>
      </c>
      <c r="AR86">
        <v>-1.4999999999999999E-2</v>
      </c>
      <c r="AS86">
        <v>1E-3</v>
      </c>
      <c r="AT86">
        <v>-1E-3</v>
      </c>
      <c r="AU86">
        <v>1E-3</v>
      </c>
      <c r="AV86">
        <v>-1E-3</v>
      </c>
      <c r="AW86" s="16">
        <v>1.4999999999999999E-2</v>
      </c>
      <c r="AX86" s="16">
        <v>-1.4999999999999999E-2</v>
      </c>
    </row>
    <row r="87" spans="6:50">
      <c r="F87" s="17" t="str">
        <f t="shared" si="13"/>
        <v/>
      </c>
      <c r="G87" s="4"/>
      <c r="H87" s="2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22" t="e">
        <f t="shared" si="14"/>
        <v>#N/A</v>
      </c>
      <c r="X87" s="21" t="e">
        <f t="shared" si="15"/>
        <v>#N/A</v>
      </c>
      <c r="Y87" s="21" t="e">
        <f t="shared" si="16"/>
        <v>#N/A</v>
      </c>
      <c r="Z87" s="11" t="e">
        <f t="shared" si="17"/>
        <v>#N/A</v>
      </c>
      <c r="AA87" s="22" t="e">
        <f t="shared" si="18"/>
        <v>#N/A</v>
      </c>
      <c r="AB87" s="21" t="e">
        <f t="shared" si="19"/>
        <v>#N/A</v>
      </c>
      <c r="AC87" s="21" t="e">
        <f t="shared" si="20"/>
        <v>#N/A</v>
      </c>
      <c r="AD87" s="11" t="e">
        <f t="shared" si="21"/>
        <v>#N/A</v>
      </c>
      <c r="AE87" s="22" t="e">
        <f t="shared" si="22"/>
        <v>#N/A</v>
      </c>
      <c r="AF87" s="21" t="e">
        <f t="shared" si="23"/>
        <v>#N/A</v>
      </c>
      <c r="AG87" s="21" t="e">
        <f t="shared" si="24"/>
        <v>#N/A</v>
      </c>
      <c r="AH87" s="11" t="e">
        <f t="shared" si="25"/>
        <v>#N/A</v>
      </c>
      <c r="AI87">
        <v>2.5000000000000001E-2</v>
      </c>
      <c r="AJ87">
        <v>-2.5000000000000001E-2</v>
      </c>
      <c r="AK87">
        <v>1.5E-3</v>
      </c>
      <c r="AL87">
        <v>-1.5E-3</v>
      </c>
      <c r="AM87">
        <v>1.5E-3</v>
      </c>
      <c r="AN87">
        <v>-1.5E-3</v>
      </c>
      <c r="AO87" s="16">
        <v>2.5000000000000001E-2</v>
      </c>
      <c r="AP87" s="16">
        <v>-2.5000000000000001E-2</v>
      </c>
      <c r="AQ87">
        <v>1.4999999999999999E-2</v>
      </c>
      <c r="AR87">
        <v>-1.4999999999999999E-2</v>
      </c>
      <c r="AS87">
        <v>1E-3</v>
      </c>
      <c r="AT87">
        <v>-1E-3</v>
      </c>
      <c r="AU87">
        <v>1E-3</v>
      </c>
      <c r="AV87">
        <v>-1E-3</v>
      </c>
      <c r="AW87" s="16">
        <v>1.4999999999999999E-2</v>
      </c>
      <c r="AX87" s="16">
        <v>-1.4999999999999999E-2</v>
      </c>
    </row>
    <row r="88" spans="6:50">
      <c r="F88" s="17" t="str">
        <f t="shared" si="13"/>
        <v/>
      </c>
      <c r="G88" s="4"/>
      <c r="H88" s="2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22" t="e">
        <f t="shared" si="14"/>
        <v>#N/A</v>
      </c>
      <c r="X88" s="21" t="e">
        <f t="shared" si="15"/>
        <v>#N/A</v>
      </c>
      <c r="Y88" s="21" t="e">
        <f t="shared" si="16"/>
        <v>#N/A</v>
      </c>
      <c r="Z88" s="11" t="e">
        <f t="shared" si="17"/>
        <v>#N/A</v>
      </c>
      <c r="AA88" s="22" t="e">
        <f t="shared" si="18"/>
        <v>#N/A</v>
      </c>
      <c r="AB88" s="21" t="e">
        <f t="shared" si="19"/>
        <v>#N/A</v>
      </c>
      <c r="AC88" s="21" t="e">
        <f t="shared" si="20"/>
        <v>#N/A</v>
      </c>
      <c r="AD88" s="11" t="e">
        <f t="shared" si="21"/>
        <v>#N/A</v>
      </c>
      <c r="AE88" s="22" t="e">
        <f t="shared" si="22"/>
        <v>#N/A</v>
      </c>
      <c r="AF88" s="21" t="e">
        <f t="shared" si="23"/>
        <v>#N/A</v>
      </c>
      <c r="AG88" s="21" t="e">
        <f t="shared" si="24"/>
        <v>#N/A</v>
      </c>
      <c r="AH88" s="11" t="e">
        <f t="shared" si="25"/>
        <v>#N/A</v>
      </c>
      <c r="AI88">
        <v>2.5000000000000001E-2</v>
      </c>
      <c r="AJ88">
        <v>-2.5000000000000001E-2</v>
      </c>
      <c r="AK88">
        <v>1.5E-3</v>
      </c>
      <c r="AL88">
        <v>-1.5E-3</v>
      </c>
      <c r="AM88">
        <v>1.5E-3</v>
      </c>
      <c r="AN88">
        <v>-1.5E-3</v>
      </c>
      <c r="AO88" s="16">
        <v>2.5000000000000001E-2</v>
      </c>
      <c r="AP88" s="16">
        <v>-2.5000000000000001E-2</v>
      </c>
      <c r="AQ88">
        <v>1.4999999999999999E-2</v>
      </c>
      <c r="AR88">
        <v>-1.4999999999999999E-2</v>
      </c>
      <c r="AS88">
        <v>1E-3</v>
      </c>
      <c r="AT88">
        <v>-1E-3</v>
      </c>
      <c r="AU88">
        <v>1E-3</v>
      </c>
      <c r="AV88">
        <v>-1E-3</v>
      </c>
      <c r="AW88" s="16">
        <v>1.4999999999999999E-2</v>
      </c>
      <c r="AX88" s="16">
        <v>-1.4999999999999999E-2</v>
      </c>
    </row>
    <row r="89" spans="6:50">
      <c r="F89" s="17" t="str">
        <f t="shared" si="13"/>
        <v/>
      </c>
      <c r="G89" s="4"/>
      <c r="H89" s="2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22" t="e">
        <f t="shared" si="14"/>
        <v>#N/A</v>
      </c>
      <c r="X89" s="21" t="e">
        <f t="shared" si="15"/>
        <v>#N/A</v>
      </c>
      <c r="Y89" s="21" t="e">
        <f t="shared" si="16"/>
        <v>#N/A</v>
      </c>
      <c r="Z89" s="11" t="e">
        <f t="shared" si="17"/>
        <v>#N/A</v>
      </c>
      <c r="AA89" s="22" t="e">
        <f t="shared" si="18"/>
        <v>#N/A</v>
      </c>
      <c r="AB89" s="21" t="e">
        <f t="shared" si="19"/>
        <v>#N/A</v>
      </c>
      <c r="AC89" s="21" t="e">
        <f t="shared" si="20"/>
        <v>#N/A</v>
      </c>
      <c r="AD89" s="11" t="e">
        <f t="shared" si="21"/>
        <v>#N/A</v>
      </c>
      <c r="AE89" s="22" t="e">
        <f t="shared" si="22"/>
        <v>#N/A</v>
      </c>
      <c r="AF89" s="21" t="e">
        <f t="shared" si="23"/>
        <v>#N/A</v>
      </c>
      <c r="AG89" s="21" t="e">
        <f t="shared" si="24"/>
        <v>#N/A</v>
      </c>
      <c r="AH89" s="11" t="e">
        <f t="shared" si="25"/>
        <v>#N/A</v>
      </c>
      <c r="AI89">
        <v>2.5000000000000001E-2</v>
      </c>
      <c r="AJ89">
        <v>-2.5000000000000001E-2</v>
      </c>
      <c r="AK89">
        <v>1.5E-3</v>
      </c>
      <c r="AL89">
        <v>-1.5E-3</v>
      </c>
      <c r="AM89">
        <v>1.5E-3</v>
      </c>
      <c r="AN89">
        <v>-1.5E-3</v>
      </c>
      <c r="AO89" s="16">
        <v>2.5000000000000001E-2</v>
      </c>
      <c r="AP89" s="16">
        <v>-2.5000000000000001E-2</v>
      </c>
      <c r="AQ89">
        <v>1.4999999999999999E-2</v>
      </c>
      <c r="AR89">
        <v>-1.4999999999999999E-2</v>
      </c>
      <c r="AS89">
        <v>1E-3</v>
      </c>
      <c r="AT89">
        <v>-1E-3</v>
      </c>
      <c r="AU89">
        <v>1E-3</v>
      </c>
      <c r="AV89">
        <v>-1E-3</v>
      </c>
      <c r="AW89" s="16">
        <v>1.4999999999999999E-2</v>
      </c>
      <c r="AX89" s="16">
        <v>-1.4999999999999999E-2</v>
      </c>
    </row>
    <row r="90" spans="6:50">
      <c r="F90" s="17" t="str">
        <f t="shared" si="13"/>
        <v/>
      </c>
      <c r="G90" s="4"/>
      <c r="H90" s="2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22" t="e">
        <f t="shared" si="14"/>
        <v>#N/A</v>
      </c>
      <c r="X90" s="21" t="e">
        <f t="shared" si="15"/>
        <v>#N/A</v>
      </c>
      <c r="Y90" s="21" t="e">
        <f t="shared" si="16"/>
        <v>#N/A</v>
      </c>
      <c r="Z90" s="11" t="e">
        <f t="shared" si="17"/>
        <v>#N/A</v>
      </c>
      <c r="AA90" s="22" t="e">
        <f t="shared" si="18"/>
        <v>#N/A</v>
      </c>
      <c r="AB90" s="21" t="e">
        <f t="shared" si="19"/>
        <v>#N/A</v>
      </c>
      <c r="AC90" s="21" t="e">
        <f t="shared" si="20"/>
        <v>#N/A</v>
      </c>
      <c r="AD90" s="11" t="e">
        <f t="shared" si="21"/>
        <v>#N/A</v>
      </c>
      <c r="AE90" s="22" t="e">
        <f t="shared" si="22"/>
        <v>#N/A</v>
      </c>
      <c r="AF90" s="21" t="e">
        <f t="shared" si="23"/>
        <v>#N/A</v>
      </c>
      <c r="AG90" s="21" t="e">
        <f t="shared" si="24"/>
        <v>#N/A</v>
      </c>
      <c r="AH90" s="11" t="e">
        <f t="shared" si="25"/>
        <v>#N/A</v>
      </c>
      <c r="AI90">
        <v>2.5000000000000001E-2</v>
      </c>
      <c r="AJ90">
        <v>-2.5000000000000001E-2</v>
      </c>
      <c r="AK90">
        <v>1.5E-3</v>
      </c>
      <c r="AL90">
        <v>-1.5E-3</v>
      </c>
      <c r="AM90">
        <v>1.5E-3</v>
      </c>
      <c r="AN90">
        <v>-1.5E-3</v>
      </c>
      <c r="AO90" s="16">
        <v>2.5000000000000001E-2</v>
      </c>
      <c r="AP90" s="16">
        <v>-2.5000000000000001E-2</v>
      </c>
      <c r="AQ90">
        <v>1.4999999999999999E-2</v>
      </c>
      <c r="AR90">
        <v>-1.4999999999999999E-2</v>
      </c>
      <c r="AS90">
        <v>1E-3</v>
      </c>
      <c r="AT90">
        <v>-1E-3</v>
      </c>
      <c r="AU90">
        <v>1E-3</v>
      </c>
      <c r="AV90">
        <v>-1E-3</v>
      </c>
      <c r="AW90" s="16">
        <v>1.4999999999999999E-2</v>
      </c>
      <c r="AX90" s="16">
        <v>-1.4999999999999999E-2</v>
      </c>
    </row>
    <row r="91" spans="6:50">
      <c r="F91" s="17" t="str">
        <f t="shared" si="13"/>
        <v/>
      </c>
      <c r="G91" s="4"/>
      <c r="H91" s="2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22" t="e">
        <f t="shared" si="14"/>
        <v>#N/A</v>
      </c>
      <c r="X91" s="21" t="e">
        <f t="shared" si="15"/>
        <v>#N/A</v>
      </c>
      <c r="Y91" s="21" t="e">
        <f t="shared" si="16"/>
        <v>#N/A</v>
      </c>
      <c r="Z91" s="11" t="e">
        <f t="shared" si="17"/>
        <v>#N/A</v>
      </c>
      <c r="AA91" s="22" t="e">
        <f t="shared" si="18"/>
        <v>#N/A</v>
      </c>
      <c r="AB91" s="21" t="e">
        <f t="shared" si="19"/>
        <v>#N/A</v>
      </c>
      <c r="AC91" s="21" t="e">
        <f t="shared" si="20"/>
        <v>#N/A</v>
      </c>
      <c r="AD91" s="11" t="e">
        <f t="shared" si="21"/>
        <v>#N/A</v>
      </c>
      <c r="AE91" s="22" t="e">
        <f t="shared" si="22"/>
        <v>#N/A</v>
      </c>
      <c r="AF91" s="21" t="e">
        <f t="shared" si="23"/>
        <v>#N/A</v>
      </c>
      <c r="AG91" s="21" t="e">
        <f t="shared" si="24"/>
        <v>#N/A</v>
      </c>
      <c r="AH91" s="11" t="e">
        <f t="shared" si="25"/>
        <v>#N/A</v>
      </c>
      <c r="AI91">
        <v>2.5000000000000001E-2</v>
      </c>
      <c r="AJ91">
        <v>-2.5000000000000001E-2</v>
      </c>
      <c r="AK91">
        <v>1.5E-3</v>
      </c>
      <c r="AL91">
        <v>-1.5E-3</v>
      </c>
      <c r="AM91">
        <v>1.5E-3</v>
      </c>
      <c r="AN91">
        <v>-1.5E-3</v>
      </c>
      <c r="AO91" s="16">
        <v>2.5000000000000001E-2</v>
      </c>
      <c r="AP91" s="16">
        <v>-2.5000000000000001E-2</v>
      </c>
      <c r="AQ91">
        <v>1.4999999999999999E-2</v>
      </c>
      <c r="AR91">
        <v>-1.4999999999999999E-2</v>
      </c>
      <c r="AS91">
        <v>1E-3</v>
      </c>
      <c r="AT91">
        <v>-1E-3</v>
      </c>
      <c r="AU91">
        <v>1E-3</v>
      </c>
      <c r="AV91">
        <v>-1E-3</v>
      </c>
      <c r="AW91" s="16">
        <v>1.4999999999999999E-2</v>
      </c>
      <c r="AX91" s="16">
        <v>-1.4999999999999999E-2</v>
      </c>
    </row>
    <row r="92" spans="6:50">
      <c r="F92" s="17" t="str">
        <f t="shared" si="13"/>
        <v/>
      </c>
      <c r="G92" s="4"/>
      <c r="H92" s="2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22" t="e">
        <f t="shared" si="14"/>
        <v>#N/A</v>
      </c>
      <c r="X92" s="21" t="e">
        <f t="shared" si="15"/>
        <v>#N/A</v>
      </c>
      <c r="Y92" s="21" t="e">
        <f t="shared" si="16"/>
        <v>#N/A</v>
      </c>
      <c r="Z92" s="11" t="e">
        <f t="shared" si="17"/>
        <v>#N/A</v>
      </c>
      <c r="AA92" s="22" t="e">
        <f t="shared" si="18"/>
        <v>#N/A</v>
      </c>
      <c r="AB92" s="21" t="e">
        <f t="shared" si="19"/>
        <v>#N/A</v>
      </c>
      <c r="AC92" s="21" t="e">
        <f t="shared" si="20"/>
        <v>#N/A</v>
      </c>
      <c r="AD92" s="11" t="e">
        <f t="shared" si="21"/>
        <v>#N/A</v>
      </c>
      <c r="AE92" s="22" t="e">
        <f t="shared" si="22"/>
        <v>#N/A</v>
      </c>
      <c r="AF92" s="21" t="e">
        <f t="shared" si="23"/>
        <v>#N/A</v>
      </c>
      <c r="AG92" s="21" t="e">
        <f t="shared" si="24"/>
        <v>#N/A</v>
      </c>
      <c r="AH92" s="11" t="e">
        <f t="shared" si="25"/>
        <v>#N/A</v>
      </c>
      <c r="AI92">
        <v>2.5000000000000001E-2</v>
      </c>
      <c r="AJ92">
        <v>-2.5000000000000001E-2</v>
      </c>
      <c r="AK92">
        <v>1.5E-3</v>
      </c>
      <c r="AL92">
        <v>-1.5E-3</v>
      </c>
      <c r="AM92">
        <v>1.5E-3</v>
      </c>
      <c r="AN92">
        <v>-1.5E-3</v>
      </c>
      <c r="AO92" s="16">
        <v>2.5000000000000001E-2</v>
      </c>
      <c r="AP92" s="16">
        <v>-2.5000000000000001E-2</v>
      </c>
      <c r="AQ92">
        <v>1.4999999999999999E-2</v>
      </c>
      <c r="AR92">
        <v>-1.4999999999999999E-2</v>
      </c>
      <c r="AS92">
        <v>1E-3</v>
      </c>
      <c r="AT92">
        <v>-1E-3</v>
      </c>
      <c r="AU92">
        <v>1E-3</v>
      </c>
      <c r="AV92">
        <v>-1E-3</v>
      </c>
      <c r="AW92" s="16">
        <v>1.4999999999999999E-2</v>
      </c>
      <c r="AX92" s="16">
        <v>-1.4999999999999999E-2</v>
      </c>
    </row>
    <row r="93" spans="6:50">
      <c r="F93" s="17" t="str">
        <f t="shared" si="13"/>
        <v/>
      </c>
      <c r="G93" s="4"/>
      <c r="H93" s="2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22" t="e">
        <f t="shared" si="14"/>
        <v>#N/A</v>
      </c>
      <c r="X93" s="21" t="e">
        <f t="shared" si="15"/>
        <v>#N/A</v>
      </c>
      <c r="Y93" s="21" t="e">
        <f t="shared" si="16"/>
        <v>#N/A</v>
      </c>
      <c r="Z93" s="11" t="e">
        <f t="shared" si="17"/>
        <v>#N/A</v>
      </c>
      <c r="AA93" s="22" t="e">
        <f t="shared" si="18"/>
        <v>#N/A</v>
      </c>
      <c r="AB93" s="21" t="e">
        <f t="shared" si="19"/>
        <v>#N/A</v>
      </c>
      <c r="AC93" s="21" t="e">
        <f t="shared" si="20"/>
        <v>#N/A</v>
      </c>
      <c r="AD93" s="11" t="e">
        <f t="shared" si="21"/>
        <v>#N/A</v>
      </c>
      <c r="AE93" s="22" t="e">
        <f t="shared" si="22"/>
        <v>#N/A</v>
      </c>
      <c r="AF93" s="21" t="e">
        <f t="shared" si="23"/>
        <v>#N/A</v>
      </c>
      <c r="AG93" s="21" t="e">
        <f t="shared" si="24"/>
        <v>#N/A</v>
      </c>
      <c r="AH93" s="11" t="e">
        <f t="shared" si="25"/>
        <v>#N/A</v>
      </c>
      <c r="AI93">
        <v>2.5000000000000001E-2</v>
      </c>
      <c r="AJ93">
        <v>-2.5000000000000001E-2</v>
      </c>
      <c r="AK93">
        <v>1.5E-3</v>
      </c>
      <c r="AL93">
        <v>-1.5E-3</v>
      </c>
      <c r="AM93">
        <v>1.5E-3</v>
      </c>
      <c r="AN93">
        <v>-1.5E-3</v>
      </c>
      <c r="AO93" s="16">
        <v>2.5000000000000001E-2</v>
      </c>
      <c r="AP93" s="16">
        <v>-2.5000000000000001E-2</v>
      </c>
      <c r="AQ93">
        <v>1.4999999999999999E-2</v>
      </c>
      <c r="AR93">
        <v>-1.4999999999999999E-2</v>
      </c>
      <c r="AS93">
        <v>1E-3</v>
      </c>
      <c r="AT93">
        <v>-1E-3</v>
      </c>
      <c r="AU93">
        <v>1E-3</v>
      </c>
      <c r="AV93">
        <v>-1E-3</v>
      </c>
      <c r="AW93" s="16">
        <v>1.4999999999999999E-2</v>
      </c>
      <c r="AX93" s="16">
        <v>-1.4999999999999999E-2</v>
      </c>
    </row>
    <row r="94" spans="6:50">
      <c r="F94" s="17" t="str">
        <f t="shared" si="13"/>
        <v/>
      </c>
      <c r="G94" s="4"/>
      <c r="H94" s="2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22" t="e">
        <f t="shared" si="14"/>
        <v>#N/A</v>
      </c>
      <c r="X94" s="21" t="e">
        <f t="shared" si="15"/>
        <v>#N/A</v>
      </c>
      <c r="Y94" s="21" t="e">
        <f t="shared" si="16"/>
        <v>#N/A</v>
      </c>
      <c r="Z94" s="11" t="e">
        <f t="shared" si="17"/>
        <v>#N/A</v>
      </c>
      <c r="AA94" s="22" t="e">
        <f t="shared" si="18"/>
        <v>#N/A</v>
      </c>
      <c r="AB94" s="21" t="e">
        <f t="shared" si="19"/>
        <v>#N/A</v>
      </c>
      <c r="AC94" s="21" t="e">
        <f t="shared" si="20"/>
        <v>#N/A</v>
      </c>
      <c r="AD94" s="11" t="e">
        <f t="shared" si="21"/>
        <v>#N/A</v>
      </c>
      <c r="AE94" s="22" t="e">
        <f t="shared" si="22"/>
        <v>#N/A</v>
      </c>
      <c r="AF94" s="21" t="e">
        <f t="shared" si="23"/>
        <v>#N/A</v>
      </c>
      <c r="AG94" s="21" t="e">
        <f t="shared" si="24"/>
        <v>#N/A</v>
      </c>
      <c r="AH94" s="11" t="e">
        <f t="shared" si="25"/>
        <v>#N/A</v>
      </c>
      <c r="AI94">
        <v>2.5000000000000001E-2</v>
      </c>
      <c r="AJ94">
        <v>-2.5000000000000001E-2</v>
      </c>
      <c r="AK94">
        <v>1.5E-3</v>
      </c>
      <c r="AL94">
        <v>-1.5E-3</v>
      </c>
      <c r="AM94">
        <v>1.5E-3</v>
      </c>
      <c r="AN94">
        <v>-1.5E-3</v>
      </c>
      <c r="AO94" s="16">
        <v>2.5000000000000001E-2</v>
      </c>
      <c r="AP94" s="16">
        <v>-2.5000000000000001E-2</v>
      </c>
      <c r="AQ94">
        <v>1.4999999999999999E-2</v>
      </c>
      <c r="AR94">
        <v>-1.4999999999999999E-2</v>
      </c>
      <c r="AS94">
        <v>1E-3</v>
      </c>
      <c r="AT94">
        <v>-1E-3</v>
      </c>
      <c r="AU94">
        <v>1E-3</v>
      </c>
      <c r="AV94">
        <v>-1E-3</v>
      </c>
      <c r="AW94" s="16">
        <v>1.4999999999999999E-2</v>
      </c>
      <c r="AX94" s="16">
        <v>-1.4999999999999999E-2</v>
      </c>
    </row>
    <row r="95" spans="6:50">
      <c r="F95" s="17" t="str">
        <f t="shared" si="13"/>
        <v/>
      </c>
      <c r="G95" s="4"/>
      <c r="H95" s="2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22" t="e">
        <f t="shared" si="14"/>
        <v>#N/A</v>
      </c>
      <c r="X95" s="21" t="e">
        <f t="shared" si="15"/>
        <v>#N/A</v>
      </c>
      <c r="Y95" s="21" t="e">
        <f t="shared" si="16"/>
        <v>#N/A</v>
      </c>
      <c r="Z95" s="11" t="e">
        <f t="shared" si="17"/>
        <v>#N/A</v>
      </c>
      <c r="AA95" s="22" t="e">
        <f t="shared" si="18"/>
        <v>#N/A</v>
      </c>
      <c r="AB95" s="21" t="e">
        <f t="shared" si="19"/>
        <v>#N/A</v>
      </c>
      <c r="AC95" s="21" t="e">
        <f t="shared" si="20"/>
        <v>#N/A</v>
      </c>
      <c r="AD95" s="11" t="e">
        <f t="shared" si="21"/>
        <v>#N/A</v>
      </c>
      <c r="AE95" s="22" t="e">
        <f t="shared" si="22"/>
        <v>#N/A</v>
      </c>
      <c r="AF95" s="21" t="e">
        <f t="shared" si="23"/>
        <v>#N/A</v>
      </c>
      <c r="AG95" s="21" t="e">
        <f t="shared" si="24"/>
        <v>#N/A</v>
      </c>
      <c r="AH95" s="11" t="e">
        <f t="shared" si="25"/>
        <v>#N/A</v>
      </c>
      <c r="AI95">
        <v>2.5000000000000001E-2</v>
      </c>
      <c r="AJ95">
        <v>-2.5000000000000001E-2</v>
      </c>
      <c r="AK95">
        <v>1.5E-3</v>
      </c>
      <c r="AL95">
        <v>-1.5E-3</v>
      </c>
      <c r="AM95">
        <v>1.5E-3</v>
      </c>
      <c r="AN95">
        <v>-1.5E-3</v>
      </c>
      <c r="AO95" s="16">
        <v>2.5000000000000001E-2</v>
      </c>
      <c r="AP95" s="16">
        <v>-2.5000000000000001E-2</v>
      </c>
      <c r="AQ95">
        <v>1.4999999999999999E-2</v>
      </c>
      <c r="AR95">
        <v>-1.4999999999999999E-2</v>
      </c>
      <c r="AS95">
        <v>1E-3</v>
      </c>
      <c r="AT95">
        <v>-1E-3</v>
      </c>
      <c r="AU95">
        <v>1E-3</v>
      </c>
      <c r="AV95">
        <v>-1E-3</v>
      </c>
      <c r="AW95" s="16">
        <v>1.4999999999999999E-2</v>
      </c>
      <c r="AX95" s="16">
        <v>-1.4999999999999999E-2</v>
      </c>
    </row>
    <row r="96" spans="6:50">
      <c r="F96" s="17" t="str">
        <f t="shared" si="13"/>
        <v/>
      </c>
      <c r="G96" s="4"/>
      <c r="H96" s="2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22" t="e">
        <f t="shared" si="14"/>
        <v>#N/A</v>
      </c>
      <c r="X96" s="21" t="e">
        <f t="shared" si="15"/>
        <v>#N/A</v>
      </c>
      <c r="Y96" s="21" t="e">
        <f t="shared" si="16"/>
        <v>#N/A</v>
      </c>
      <c r="Z96" s="11" t="e">
        <f t="shared" si="17"/>
        <v>#N/A</v>
      </c>
      <c r="AA96" s="22" t="e">
        <f t="shared" si="18"/>
        <v>#N/A</v>
      </c>
      <c r="AB96" s="21" t="e">
        <f t="shared" si="19"/>
        <v>#N/A</v>
      </c>
      <c r="AC96" s="21" t="e">
        <f t="shared" si="20"/>
        <v>#N/A</v>
      </c>
      <c r="AD96" s="11" t="e">
        <f t="shared" si="21"/>
        <v>#N/A</v>
      </c>
      <c r="AE96" s="22" t="e">
        <f t="shared" si="22"/>
        <v>#N/A</v>
      </c>
      <c r="AF96" s="21" t="e">
        <f t="shared" si="23"/>
        <v>#N/A</v>
      </c>
      <c r="AG96" s="21" t="e">
        <f t="shared" si="24"/>
        <v>#N/A</v>
      </c>
      <c r="AH96" s="11" t="e">
        <f t="shared" si="25"/>
        <v>#N/A</v>
      </c>
      <c r="AI96">
        <v>2.5000000000000001E-2</v>
      </c>
      <c r="AJ96">
        <v>-2.5000000000000001E-2</v>
      </c>
      <c r="AK96">
        <v>1.5E-3</v>
      </c>
      <c r="AL96">
        <v>-1.5E-3</v>
      </c>
      <c r="AM96">
        <v>1.5E-3</v>
      </c>
      <c r="AN96">
        <v>-1.5E-3</v>
      </c>
      <c r="AO96" s="16">
        <v>2.5000000000000001E-2</v>
      </c>
      <c r="AP96" s="16">
        <v>-2.5000000000000001E-2</v>
      </c>
      <c r="AQ96">
        <v>1.4999999999999999E-2</v>
      </c>
      <c r="AR96">
        <v>-1.4999999999999999E-2</v>
      </c>
      <c r="AS96">
        <v>1E-3</v>
      </c>
      <c r="AT96">
        <v>-1E-3</v>
      </c>
      <c r="AU96">
        <v>1E-3</v>
      </c>
      <c r="AV96">
        <v>-1E-3</v>
      </c>
      <c r="AW96" s="16">
        <v>1.4999999999999999E-2</v>
      </c>
      <c r="AX96" s="16">
        <v>-1.4999999999999999E-2</v>
      </c>
    </row>
    <row r="97" spans="6:50">
      <c r="F97" s="17" t="str">
        <f t="shared" si="13"/>
        <v/>
      </c>
      <c r="G97" s="4"/>
      <c r="H97" s="2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22" t="e">
        <f t="shared" si="14"/>
        <v>#N/A</v>
      </c>
      <c r="X97" s="21" t="e">
        <f t="shared" si="15"/>
        <v>#N/A</v>
      </c>
      <c r="Y97" s="21" t="e">
        <f t="shared" si="16"/>
        <v>#N/A</v>
      </c>
      <c r="Z97" s="11" t="e">
        <f t="shared" si="17"/>
        <v>#N/A</v>
      </c>
      <c r="AA97" s="22" t="e">
        <f t="shared" si="18"/>
        <v>#N/A</v>
      </c>
      <c r="AB97" s="21" t="e">
        <f t="shared" si="19"/>
        <v>#N/A</v>
      </c>
      <c r="AC97" s="21" t="e">
        <f t="shared" si="20"/>
        <v>#N/A</v>
      </c>
      <c r="AD97" s="11" t="e">
        <f t="shared" si="21"/>
        <v>#N/A</v>
      </c>
      <c r="AE97" s="22" t="e">
        <f t="shared" si="22"/>
        <v>#N/A</v>
      </c>
      <c r="AF97" s="21" t="e">
        <f t="shared" si="23"/>
        <v>#N/A</v>
      </c>
      <c r="AG97" s="21" t="e">
        <f t="shared" si="24"/>
        <v>#N/A</v>
      </c>
      <c r="AH97" s="11" t="e">
        <f t="shared" si="25"/>
        <v>#N/A</v>
      </c>
      <c r="AI97">
        <v>2.5000000000000001E-2</v>
      </c>
      <c r="AJ97">
        <v>-2.5000000000000001E-2</v>
      </c>
      <c r="AK97">
        <v>1.5E-3</v>
      </c>
      <c r="AL97">
        <v>-1.5E-3</v>
      </c>
      <c r="AM97">
        <v>1.5E-3</v>
      </c>
      <c r="AN97">
        <v>-1.5E-3</v>
      </c>
      <c r="AO97" s="16">
        <v>2.5000000000000001E-2</v>
      </c>
      <c r="AP97" s="16">
        <v>-2.5000000000000001E-2</v>
      </c>
      <c r="AQ97">
        <v>1.4999999999999999E-2</v>
      </c>
      <c r="AR97">
        <v>-1.4999999999999999E-2</v>
      </c>
      <c r="AS97">
        <v>1E-3</v>
      </c>
      <c r="AT97">
        <v>-1E-3</v>
      </c>
      <c r="AU97">
        <v>1E-3</v>
      </c>
      <c r="AV97">
        <v>-1E-3</v>
      </c>
      <c r="AW97" s="16">
        <v>1.4999999999999999E-2</v>
      </c>
      <c r="AX97" s="16">
        <v>-1.4999999999999999E-2</v>
      </c>
    </row>
    <row r="98" spans="6:50">
      <c r="F98" s="17" t="str">
        <f t="shared" si="13"/>
        <v/>
      </c>
      <c r="G98" s="4"/>
      <c r="H98" s="2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22" t="e">
        <f t="shared" si="14"/>
        <v>#N/A</v>
      </c>
      <c r="X98" s="21" t="e">
        <f t="shared" si="15"/>
        <v>#N/A</v>
      </c>
      <c r="Y98" s="21" t="e">
        <f t="shared" si="16"/>
        <v>#N/A</v>
      </c>
      <c r="Z98" s="11" t="e">
        <f t="shared" si="17"/>
        <v>#N/A</v>
      </c>
      <c r="AA98" s="22" t="e">
        <f t="shared" si="18"/>
        <v>#N/A</v>
      </c>
      <c r="AB98" s="21" t="e">
        <f t="shared" si="19"/>
        <v>#N/A</v>
      </c>
      <c r="AC98" s="21" t="e">
        <f t="shared" si="20"/>
        <v>#N/A</v>
      </c>
      <c r="AD98" s="11" t="e">
        <f t="shared" si="21"/>
        <v>#N/A</v>
      </c>
      <c r="AE98" s="22" t="e">
        <f t="shared" si="22"/>
        <v>#N/A</v>
      </c>
      <c r="AF98" s="21" t="e">
        <f t="shared" si="23"/>
        <v>#N/A</v>
      </c>
      <c r="AG98" s="21" t="e">
        <f t="shared" si="24"/>
        <v>#N/A</v>
      </c>
      <c r="AH98" s="11" t="e">
        <f t="shared" si="25"/>
        <v>#N/A</v>
      </c>
      <c r="AI98">
        <v>2.5000000000000001E-2</v>
      </c>
      <c r="AJ98">
        <v>-2.5000000000000001E-2</v>
      </c>
      <c r="AK98">
        <v>1.5E-3</v>
      </c>
      <c r="AL98">
        <v>-1.5E-3</v>
      </c>
      <c r="AM98">
        <v>1.5E-3</v>
      </c>
      <c r="AN98">
        <v>-1.5E-3</v>
      </c>
      <c r="AO98" s="16">
        <v>2.5000000000000001E-2</v>
      </c>
      <c r="AP98" s="16">
        <v>-2.5000000000000001E-2</v>
      </c>
      <c r="AQ98">
        <v>1.4999999999999999E-2</v>
      </c>
      <c r="AR98">
        <v>-1.4999999999999999E-2</v>
      </c>
      <c r="AS98">
        <v>1E-3</v>
      </c>
      <c r="AT98">
        <v>-1E-3</v>
      </c>
      <c r="AU98">
        <v>1E-3</v>
      </c>
      <c r="AV98">
        <v>-1E-3</v>
      </c>
      <c r="AW98" s="16">
        <v>1.4999999999999999E-2</v>
      </c>
      <c r="AX98" s="16">
        <v>-1.4999999999999999E-2</v>
      </c>
    </row>
    <row r="99" spans="6:50">
      <c r="F99" s="17" t="str">
        <f t="shared" si="13"/>
        <v/>
      </c>
      <c r="G99" s="4"/>
      <c r="H99" s="2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22" t="e">
        <f t="shared" si="14"/>
        <v>#N/A</v>
      </c>
      <c r="X99" s="21" t="e">
        <f t="shared" si="15"/>
        <v>#N/A</v>
      </c>
      <c r="Y99" s="21" t="e">
        <f t="shared" si="16"/>
        <v>#N/A</v>
      </c>
      <c r="Z99" s="11" t="e">
        <f t="shared" si="17"/>
        <v>#N/A</v>
      </c>
      <c r="AA99" s="22" t="e">
        <f t="shared" si="18"/>
        <v>#N/A</v>
      </c>
      <c r="AB99" s="21" t="e">
        <f t="shared" si="19"/>
        <v>#N/A</v>
      </c>
      <c r="AC99" s="21" t="e">
        <f t="shared" si="20"/>
        <v>#N/A</v>
      </c>
      <c r="AD99" s="11" t="e">
        <f t="shared" si="21"/>
        <v>#N/A</v>
      </c>
      <c r="AE99" s="22" t="e">
        <f t="shared" si="22"/>
        <v>#N/A</v>
      </c>
      <c r="AF99" s="21" t="e">
        <f t="shared" si="23"/>
        <v>#N/A</v>
      </c>
      <c r="AG99" s="21" t="e">
        <f t="shared" si="24"/>
        <v>#N/A</v>
      </c>
      <c r="AH99" s="11" t="e">
        <f t="shared" si="25"/>
        <v>#N/A</v>
      </c>
      <c r="AI99">
        <v>2.5000000000000001E-2</v>
      </c>
      <c r="AJ99">
        <v>-2.5000000000000001E-2</v>
      </c>
      <c r="AK99">
        <v>1.5E-3</v>
      </c>
      <c r="AL99">
        <v>-1.5E-3</v>
      </c>
      <c r="AM99">
        <v>1.5E-3</v>
      </c>
      <c r="AN99">
        <v>-1.5E-3</v>
      </c>
      <c r="AO99" s="16">
        <v>2.5000000000000001E-2</v>
      </c>
      <c r="AP99" s="16">
        <v>-2.5000000000000001E-2</v>
      </c>
      <c r="AQ99">
        <v>1.4999999999999999E-2</v>
      </c>
      <c r="AR99">
        <v>-1.4999999999999999E-2</v>
      </c>
      <c r="AS99">
        <v>1E-3</v>
      </c>
      <c r="AT99">
        <v>-1E-3</v>
      </c>
      <c r="AU99">
        <v>1E-3</v>
      </c>
      <c r="AV99">
        <v>-1E-3</v>
      </c>
      <c r="AW99" s="16">
        <v>1.4999999999999999E-2</v>
      </c>
      <c r="AX99" s="16">
        <v>-1.4999999999999999E-2</v>
      </c>
    </row>
    <row r="100" spans="6:50">
      <c r="F100" s="17" t="str">
        <f t="shared" si="13"/>
        <v/>
      </c>
      <c r="G100" s="4"/>
      <c r="H100" s="2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22" t="e">
        <f t="shared" si="14"/>
        <v>#N/A</v>
      </c>
      <c r="X100" s="21" t="e">
        <f t="shared" si="15"/>
        <v>#N/A</v>
      </c>
      <c r="Y100" s="21" t="e">
        <f t="shared" si="16"/>
        <v>#N/A</v>
      </c>
      <c r="Z100" s="11" t="e">
        <f t="shared" si="17"/>
        <v>#N/A</v>
      </c>
      <c r="AA100" s="22" t="e">
        <f t="shared" si="18"/>
        <v>#N/A</v>
      </c>
      <c r="AB100" s="21" t="e">
        <f t="shared" si="19"/>
        <v>#N/A</v>
      </c>
      <c r="AC100" s="21" t="e">
        <f t="shared" si="20"/>
        <v>#N/A</v>
      </c>
      <c r="AD100" s="11" t="e">
        <f t="shared" si="21"/>
        <v>#N/A</v>
      </c>
      <c r="AE100" s="22" t="e">
        <f t="shared" si="22"/>
        <v>#N/A</v>
      </c>
      <c r="AF100" s="21" t="e">
        <f t="shared" si="23"/>
        <v>#N/A</v>
      </c>
      <c r="AG100" s="21" t="e">
        <f t="shared" si="24"/>
        <v>#N/A</v>
      </c>
      <c r="AH100" s="11" t="e">
        <f t="shared" si="25"/>
        <v>#N/A</v>
      </c>
      <c r="AI100">
        <v>2.5000000000000001E-2</v>
      </c>
      <c r="AJ100">
        <v>-2.5000000000000001E-2</v>
      </c>
      <c r="AK100">
        <v>1.5E-3</v>
      </c>
      <c r="AL100">
        <v>-1.5E-3</v>
      </c>
      <c r="AM100">
        <v>1.5E-3</v>
      </c>
      <c r="AN100">
        <v>-1.5E-3</v>
      </c>
      <c r="AO100" s="16">
        <v>2.5000000000000001E-2</v>
      </c>
      <c r="AP100" s="16">
        <v>-2.5000000000000001E-2</v>
      </c>
      <c r="AQ100">
        <v>1.4999999999999999E-2</v>
      </c>
      <c r="AR100">
        <v>-1.4999999999999999E-2</v>
      </c>
      <c r="AS100">
        <v>1E-3</v>
      </c>
      <c r="AT100">
        <v>-1E-3</v>
      </c>
      <c r="AU100">
        <v>1E-3</v>
      </c>
      <c r="AV100">
        <v>-1E-3</v>
      </c>
      <c r="AW100" s="16">
        <v>1.4999999999999999E-2</v>
      </c>
      <c r="AX100" s="16">
        <v>-1.4999999999999999E-2</v>
      </c>
    </row>
  </sheetData>
  <mergeCells count="6">
    <mergeCell ref="AE4:AH4"/>
    <mergeCell ref="H4:L4"/>
    <mergeCell ref="M4:Q4"/>
    <mergeCell ref="R4:V4"/>
    <mergeCell ref="W4:Z4"/>
    <mergeCell ref="AA4:AD4"/>
  </mergeCells>
  <phoneticPr fontId="1"/>
  <conditionalFormatting sqref="W6:AH100">
    <cfRule type="containsErrors" dxfId="7" priority="1">
      <formula>ISERROR(W6)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S100"/>
  <sheetViews>
    <sheetView showGridLines="0" topLeftCell="AI1" zoomScale="70" zoomScaleNormal="70" workbookViewId="0">
      <pane ySplit="5" topLeftCell="A6" activePane="bottomLeft" state="frozen"/>
      <selection pane="bottomLeft" activeCell="BA4" sqref="BA4:BI5"/>
    </sheetView>
  </sheetViews>
  <sheetFormatPr defaultRowHeight="13.5"/>
  <cols>
    <col min="1" max="5" width="9" style="18"/>
    <col min="6" max="6" width="16.125" style="18" bestFit="1" customWidth="1"/>
    <col min="7" max="7" width="20.625" style="19" bestFit="1" customWidth="1"/>
    <col min="8" max="8" width="11.25" style="26" customWidth="1"/>
    <col min="9" max="9" width="11.25" style="20" customWidth="1"/>
    <col min="10" max="10" width="9.75" style="20" customWidth="1"/>
    <col min="11" max="11" width="9.25" style="20" customWidth="1"/>
    <col min="12" max="13" width="9.75" style="20" customWidth="1"/>
    <col min="14" max="14" width="10.125" style="20" customWidth="1"/>
    <col min="15" max="15" width="10" style="20" customWidth="1"/>
    <col min="16" max="22" width="9" style="20"/>
    <col min="23" max="16384" width="9" style="18"/>
  </cols>
  <sheetData>
    <row r="1" spans="1:279" customFormat="1">
      <c r="G1" s="7"/>
      <c r="H1" s="23"/>
      <c r="K1" s="1"/>
      <c r="L1" s="1"/>
      <c r="M1" s="27"/>
      <c r="R1" s="8"/>
    </row>
    <row r="2" spans="1:279" customFormat="1">
      <c r="G2" s="10"/>
      <c r="H2" s="24"/>
      <c r="I2" s="18"/>
      <c r="J2" s="10"/>
      <c r="K2" s="1"/>
      <c r="L2" s="1"/>
      <c r="M2" s="27"/>
      <c r="R2" s="8"/>
    </row>
    <row r="3" spans="1:279" customFormat="1">
      <c r="G3" s="10"/>
      <c r="H3" s="24"/>
      <c r="I3" s="13">
        <v>3.1103700000000001</v>
      </c>
      <c r="J3" s="13">
        <v>0.29050100000000001</v>
      </c>
      <c r="K3" s="14">
        <v>0.28018300000000002</v>
      </c>
      <c r="L3" s="14">
        <v>27.681999999999999</v>
      </c>
      <c r="M3" s="27"/>
      <c r="N3" s="13">
        <v>3.1324200000000002</v>
      </c>
      <c r="O3" s="13">
        <v>0.28729700000000002</v>
      </c>
      <c r="P3" s="14">
        <v>0.27366200000000002</v>
      </c>
      <c r="Q3" s="14">
        <v>27.869</v>
      </c>
      <c r="R3" s="27"/>
      <c r="S3" s="13">
        <v>3.1106600000000002</v>
      </c>
      <c r="T3" s="13">
        <v>0.28251900000000002</v>
      </c>
      <c r="U3" s="14">
        <v>0.26605899999999999</v>
      </c>
      <c r="V3" s="14">
        <v>27.683</v>
      </c>
    </row>
    <row r="4" spans="1:279" customFormat="1">
      <c r="A4" t="s">
        <v>15</v>
      </c>
      <c r="G4" s="3"/>
      <c r="H4" s="34" t="s">
        <v>5</v>
      </c>
      <c r="I4" s="34"/>
      <c r="J4" s="34"/>
      <c r="K4" s="34"/>
      <c r="L4" s="34"/>
      <c r="M4" s="35" t="s">
        <v>6</v>
      </c>
      <c r="N4" s="36"/>
      <c r="O4" s="36"/>
      <c r="P4" s="36"/>
      <c r="Q4" s="37"/>
      <c r="R4" s="35" t="s">
        <v>7</v>
      </c>
      <c r="S4" s="36"/>
      <c r="T4" s="36"/>
      <c r="U4" s="36"/>
      <c r="V4" s="37"/>
      <c r="W4" s="34" t="s">
        <v>5</v>
      </c>
      <c r="X4" s="34"/>
      <c r="Y4" s="34"/>
      <c r="Z4" s="34"/>
      <c r="AA4" s="34" t="s">
        <v>6</v>
      </c>
      <c r="AB4" s="34"/>
      <c r="AC4" s="34"/>
      <c r="AD4" s="34"/>
      <c r="AE4" s="34" t="s">
        <v>7</v>
      </c>
      <c r="AF4" s="34"/>
      <c r="AG4" s="34"/>
      <c r="AH4" s="34"/>
      <c r="AI4" t="s">
        <v>12</v>
      </c>
      <c r="AJ4" t="s">
        <v>12</v>
      </c>
      <c r="AK4" t="s">
        <v>12</v>
      </c>
      <c r="AL4" t="s">
        <v>12</v>
      </c>
      <c r="AM4" t="s">
        <v>12</v>
      </c>
      <c r="AN4" t="s">
        <v>12</v>
      </c>
      <c r="AO4" t="s">
        <v>12</v>
      </c>
      <c r="AP4" t="s">
        <v>12</v>
      </c>
      <c r="AQ4" t="s">
        <v>13</v>
      </c>
      <c r="AR4" t="s">
        <v>13</v>
      </c>
      <c r="AS4" t="s">
        <v>13</v>
      </c>
      <c r="AT4" t="s">
        <v>13</v>
      </c>
      <c r="AU4" t="s">
        <v>13</v>
      </c>
      <c r="AV4" t="s">
        <v>13</v>
      </c>
      <c r="AW4" t="s">
        <v>13</v>
      </c>
      <c r="AX4" t="s">
        <v>13</v>
      </c>
      <c r="BA4" t="s">
        <v>51</v>
      </c>
      <c r="BF4" t="s">
        <v>52</v>
      </c>
    </row>
    <row r="5" spans="1:279" customFormat="1">
      <c r="A5" s="2"/>
      <c r="B5" s="2" t="s">
        <v>1</v>
      </c>
      <c r="C5" s="2" t="s">
        <v>2</v>
      </c>
      <c r="D5" s="2" t="s">
        <v>3</v>
      </c>
      <c r="E5" s="2" t="s">
        <v>4</v>
      </c>
      <c r="G5" s="2" t="s">
        <v>0</v>
      </c>
      <c r="H5" s="5" t="s">
        <v>14</v>
      </c>
      <c r="I5" s="2" t="s">
        <v>1</v>
      </c>
      <c r="J5" s="2" t="s">
        <v>2</v>
      </c>
      <c r="K5" s="2" t="s">
        <v>3</v>
      </c>
      <c r="L5" s="2" t="s">
        <v>4</v>
      </c>
      <c r="M5" s="5" t="s">
        <v>14</v>
      </c>
      <c r="N5" s="2" t="s">
        <v>1</v>
      </c>
      <c r="O5" s="2" t="s">
        <v>2</v>
      </c>
      <c r="P5" s="2" t="s">
        <v>3</v>
      </c>
      <c r="Q5" s="2" t="s">
        <v>4</v>
      </c>
      <c r="R5" s="5" t="s">
        <v>14</v>
      </c>
      <c r="S5" s="2" t="s">
        <v>1</v>
      </c>
      <c r="T5" s="2" t="s">
        <v>2</v>
      </c>
      <c r="U5" s="2" t="s">
        <v>3</v>
      </c>
      <c r="V5" s="2" t="s">
        <v>4</v>
      </c>
      <c r="W5" s="2" t="s">
        <v>1</v>
      </c>
      <c r="X5" s="2" t="s">
        <v>2</v>
      </c>
      <c r="Y5" s="2" t="s">
        <v>3</v>
      </c>
      <c r="Z5" s="2" t="s">
        <v>4</v>
      </c>
      <c r="AA5" s="2" t="s">
        <v>1</v>
      </c>
      <c r="AB5" s="2" t="s">
        <v>2</v>
      </c>
      <c r="AC5" s="2" t="s">
        <v>3</v>
      </c>
      <c r="AD5" s="2" t="s">
        <v>4</v>
      </c>
      <c r="AE5" s="2" t="s">
        <v>1</v>
      </c>
      <c r="AF5" s="2" t="s">
        <v>2</v>
      </c>
      <c r="AG5" s="2" t="s">
        <v>3</v>
      </c>
      <c r="AH5" s="2" t="s">
        <v>4</v>
      </c>
      <c r="AI5" s="15" t="s">
        <v>1</v>
      </c>
      <c r="AK5" t="s">
        <v>2</v>
      </c>
      <c r="AM5" t="s">
        <v>3</v>
      </c>
      <c r="AO5" t="s">
        <v>4</v>
      </c>
      <c r="AQ5" s="15" t="s">
        <v>1</v>
      </c>
      <c r="AS5" t="s">
        <v>2</v>
      </c>
      <c r="AU5" t="s">
        <v>3</v>
      </c>
      <c r="AW5" t="s">
        <v>4</v>
      </c>
      <c r="BA5" t="s">
        <v>47</v>
      </c>
      <c r="BB5" t="s">
        <v>48</v>
      </c>
      <c r="BC5" t="s">
        <v>49</v>
      </c>
      <c r="BD5" t="s">
        <v>50</v>
      </c>
      <c r="BF5" t="s">
        <v>47</v>
      </c>
      <c r="BG5" t="s">
        <v>48</v>
      </c>
      <c r="BH5" t="s">
        <v>49</v>
      </c>
      <c r="BI5" t="s">
        <v>50</v>
      </c>
    </row>
    <row r="6" spans="1:279" customFormat="1">
      <c r="A6" s="2">
        <v>1</v>
      </c>
      <c r="B6" s="2">
        <v>2.8822199999999998</v>
      </c>
      <c r="C6" s="2">
        <v>0.34196799999999999</v>
      </c>
      <c r="D6" s="2">
        <v>0.35418300000000003</v>
      </c>
      <c r="E6" s="2">
        <v>34.362713569999997</v>
      </c>
      <c r="F6" s="17">
        <f>IF(G6="","",G6)</f>
        <v>44243.618831018517</v>
      </c>
      <c r="G6" s="9">
        <v>44243.618831018517</v>
      </c>
      <c r="H6" s="25">
        <v>1</v>
      </c>
      <c r="I6" s="12">
        <v>2.879</v>
      </c>
      <c r="J6" s="5">
        <v>0.34138000000000002</v>
      </c>
      <c r="K6" s="5">
        <v>0.35504000000000002</v>
      </c>
      <c r="L6" s="5">
        <v>34.703000000000003</v>
      </c>
      <c r="M6" s="5">
        <v>2</v>
      </c>
      <c r="N6" s="5">
        <v>2.8610000000000002</v>
      </c>
      <c r="O6" s="5">
        <v>0.32971</v>
      </c>
      <c r="P6" s="5">
        <v>0.34819</v>
      </c>
      <c r="Q6" s="5">
        <v>34.74</v>
      </c>
      <c r="R6" s="5">
        <v>3</v>
      </c>
      <c r="S6" s="5">
        <v>2.871</v>
      </c>
      <c r="T6" s="5">
        <v>0.307</v>
      </c>
      <c r="U6" s="5">
        <v>0.32217000000000001</v>
      </c>
      <c r="V6" s="5">
        <v>33.517000000000003</v>
      </c>
      <c r="W6" s="22">
        <f>IF(H6="",NA(),I6-VLOOKUP(H6,$A$6:$E$35,2,FALSE))</f>
        <v>-3.2199999999997786E-3</v>
      </c>
      <c r="X6" s="21">
        <f>IF(H6="",NA(),J6-VLOOKUP(H6,$A$6:$E$35,3,FALSE))</f>
        <v>-5.8799999999997743E-4</v>
      </c>
      <c r="Y6" s="21">
        <f>IF(H6="",NA(),K6-VLOOKUP(H6,$A$6:$E$35,4,FALSE))</f>
        <v>8.5699999999999665E-4</v>
      </c>
      <c r="Z6" s="11">
        <f>IF(H6="",NA(),L6/VLOOKUP(H6,$A$6:$E$35,5,FALSE)-1)</f>
        <v>9.9027810858653975E-3</v>
      </c>
      <c r="AA6" s="22">
        <f>IF(M6="",NA(),N6-VLOOKUP(M6,$A$6:$E$35,2,FALSE))</f>
        <v>7.0700000000001317E-3</v>
      </c>
      <c r="AB6" s="21">
        <f>IF(M6="",NA(),O6-VLOOKUP(M6,$A$6:$E$35,3,FALSE))</f>
        <v>-9.2780000000000085E-3</v>
      </c>
      <c r="AC6" s="21">
        <f>IF(M6="",NA(),P6-VLOOKUP(M6,$A$6:$E$35,4,FALSE))</f>
        <v>-4.3810000000000238E-3</v>
      </c>
      <c r="AD6" s="11">
        <f>IF(M6="",NA(),Q6/VLOOKUP(M6,$A$6:$E$35,5,FALSE)-1)</f>
        <v>8.1312433099598458E-3</v>
      </c>
      <c r="AE6" s="22">
        <f>IF(R6="",NA(),S6-VLOOKUP(R6,$A$6:$E$35,2,FALSE))</f>
        <v>-1.0559999999999903E-2</v>
      </c>
      <c r="AF6" s="21">
        <f>IF(R6="",NA(),T6-VLOOKUP(R6,$A$6:$E$35,3,FALSE))</f>
        <v>-3.3986999999999989E-2</v>
      </c>
      <c r="AG6" s="21">
        <f>IF(R6="",NA(),U6-VLOOKUP(R6,$A$6:$E$35,4,FALSE))</f>
        <v>-3.2211999999999963E-2</v>
      </c>
      <c r="AH6" s="11">
        <f>IF(R6="",NA(),V6/VLOOKUP(R6,$A$6:$E$35,5,FALSE)-1)</f>
        <v>-2.9123459225635528E-2</v>
      </c>
      <c r="AI6">
        <v>2.5000000000000001E-2</v>
      </c>
      <c r="AJ6">
        <v>-2.5000000000000001E-2</v>
      </c>
      <c r="AK6">
        <v>1.5E-3</v>
      </c>
      <c r="AL6">
        <v>-1.5E-3</v>
      </c>
      <c r="AM6">
        <v>1.5E-3</v>
      </c>
      <c r="AN6">
        <v>-1.5E-3</v>
      </c>
      <c r="AO6" s="16">
        <v>2.5000000000000001E-2</v>
      </c>
      <c r="AP6" s="16">
        <v>-2.5000000000000001E-2</v>
      </c>
      <c r="AQ6">
        <v>1.4999999999999999E-2</v>
      </c>
      <c r="AR6">
        <v>-1.4999999999999999E-2</v>
      </c>
      <c r="AS6">
        <v>1E-3</v>
      </c>
      <c r="AT6">
        <v>-1E-3</v>
      </c>
      <c r="AU6">
        <v>1E-3</v>
      </c>
      <c r="AV6">
        <v>-1E-3</v>
      </c>
      <c r="AW6" s="16">
        <v>1.4999999999999999E-2</v>
      </c>
      <c r="AX6" s="16">
        <v>-1.4999999999999999E-2</v>
      </c>
    </row>
    <row r="7" spans="1:279" customFormat="1">
      <c r="A7" s="2">
        <v>2</v>
      </c>
      <c r="B7" s="2">
        <v>2.8539300000000001</v>
      </c>
      <c r="C7" s="2">
        <v>0.33898800000000001</v>
      </c>
      <c r="D7" s="2">
        <v>0.35257100000000002</v>
      </c>
      <c r="E7" s="2">
        <v>34.459798990000003</v>
      </c>
      <c r="F7" s="17">
        <f t="shared" ref="F7:F70" si="0">IF(G7="","",G7)</f>
        <v>44244.670347222222</v>
      </c>
      <c r="G7" s="9">
        <v>44244.670347222222</v>
      </c>
      <c r="H7" s="25">
        <v>1</v>
      </c>
      <c r="I7" s="5">
        <v>2.8809999999999998</v>
      </c>
      <c r="J7" s="5">
        <v>0.34151999999999999</v>
      </c>
      <c r="K7" s="5">
        <v>0.35527999999999998</v>
      </c>
      <c r="L7" s="5">
        <v>34.761000000000003</v>
      </c>
      <c r="M7" s="5">
        <v>2</v>
      </c>
      <c r="N7" s="5">
        <v>2.8620000000000001</v>
      </c>
      <c r="O7" s="5">
        <v>0.32974999999999999</v>
      </c>
      <c r="P7" s="5">
        <v>0.34827000000000002</v>
      </c>
      <c r="Q7" s="5">
        <v>34.823</v>
      </c>
      <c r="R7" s="5">
        <v>3</v>
      </c>
      <c r="S7" s="5">
        <v>2.8730000000000002</v>
      </c>
      <c r="T7" s="5">
        <v>0.30717</v>
      </c>
      <c r="U7" s="5">
        <v>0.32225999999999999</v>
      </c>
      <c r="V7" s="5">
        <v>33.591000000000001</v>
      </c>
      <c r="W7" s="22">
        <f t="shared" ref="W7:W70" si="1">IF(H7="",NA(),I7-VLOOKUP(H7,$A$6:$E$35,2,FALSE))</f>
        <v>-1.2199999999999989E-3</v>
      </c>
      <c r="X7" s="21">
        <f t="shared" ref="X7:X70" si="2">IF(H7="",NA(),J7-VLOOKUP(H7,$A$6:$E$35,3,FALSE))</f>
        <v>-4.4800000000000395E-4</v>
      </c>
      <c r="Y7" s="21">
        <f t="shared" ref="Y7:Y70" si="3">IF(H7="",NA(),K7-VLOOKUP(H7,$A$6:$E$35,4,FALSE))</f>
        <v>1.0969999999999591E-3</v>
      </c>
      <c r="Z7" s="11">
        <f t="shared" ref="Z7:Z70" si="4">IF(H7="",NA(),L7/VLOOKUP(H7,$A$6:$E$35,5,FALSE)-1)</f>
        <v>1.1590657099552315E-2</v>
      </c>
      <c r="AA7" s="22">
        <f t="shared" ref="AA7:AA70" si="5">IF(M7="",NA(),N7-VLOOKUP(M7,$A$6:$E$35,2,FALSE))</f>
        <v>8.0700000000000216E-3</v>
      </c>
      <c r="AB7" s="21">
        <f t="shared" ref="AB7:AB70" si="6">IF(M7="",NA(),O7-VLOOKUP(M7,$A$6:$E$35,3,FALSE))</f>
        <v>-9.238000000000024E-3</v>
      </c>
      <c r="AC7" s="21">
        <f t="shared" ref="AC7:AC70" si="7">IF(M7="",NA(),P7-VLOOKUP(M7,$A$6:$E$35,4,FALSE))</f>
        <v>-4.3009999999999993E-3</v>
      </c>
      <c r="AD7" s="11">
        <f t="shared" ref="AD7:AD70" si="8">IF(M7="",NA(),Q7/VLOOKUP(M7,$A$6:$E$35,5,FALSE)-1)</f>
        <v>1.0539847028863791E-2</v>
      </c>
      <c r="AE7" s="22">
        <f t="shared" ref="AE7:AE70" si="9">IF(R7="",NA(),S7-VLOOKUP(R7,$A$6:$E$35,2,FALSE))</f>
        <v>-8.559999999999679E-3</v>
      </c>
      <c r="AF7" s="21">
        <f t="shared" ref="AF7:AF70" si="10">IF(R7="",NA(),T7-VLOOKUP(R7,$A$6:$E$35,3,FALSE))</f>
        <v>-3.3816999999999986E-2</v>
      </c>
      <c r="AG7" s="21">
        <f t="shared" ref="AG7:AG70" si="11">IF(R7="",NA(),U7-VLOOKUP(R7,$A$6:$E$35,4,FALSE))</f>
        <v>-3.2121999999999984E-2</v>
      </c>
      <c r="AH7" s="11">
        <f t="shared" ref="AH7:AH70" si="12">IF(R7="",NA(),V7/VLOOKUP(R7,$A$6:$E$35,5,FALSE)-1)</f>
        <v>-2.6979924183200277E-2</v>
      </c>
      <c r="AI7">
        <v>2.5000000000000001E-2</v>
      </c>
      <c r="AJ7">
        <v>-2.5000000000000001E-2</v>
      </c>
      <c r="AK7">
        <v>1.5E-3</v>
      </c>
      <c r="AL7">
        <v>-1.5E-3</v>
      </c>
      <c r="AM7">
        <v>1.5E-3</v>
      </c>
      <c r="AN7">
        <v>-1.5E-3</v>
      </c>
      <c r="AO7" s="16">
        <v>2.5000000000000001E-2</v>
      </c>
      <c r="AP7" s="16">
        <v>-2.5000000000000001E-2</v>
      </c>
      <c r="AQ7">
        <v>1.4999999999999999E-2</v>
      </c>
      <c r="AR7">
        <v>-1.4999999999999999E-2</v>
      </c>
      <c r="AS7">
        <v>1E-3</v>
      </c>
      <c r="AT7">
        <v>-1E-3</v>
      </c>
      <c r="AU7">
        <v>1E-3</v>
      </c>
      <c r="AV7">
        <v>-1E-3</v>
      </c>
      <c r="AW7" s="16">
        <v>1.4999999999999999E-2</v>
      </c>
      <c r="AX7" s="16">
        <v>-1.4999999999999999E-2</v>
      </c>
    </row>
    <row r="8" spans="1:279" customFormat="1">
      <c r="A8" s="2">
        <v>3</v>
      </c>
      <c r="B8" s="2">
        <v>2.8815599999999999</v>
      </c>
      <c r="C8" s="2">
        <v>0.34098699999999998</v>
      </c>
      <c r="D8" s="2">
        <v>0.35438199999999997</v>
      </c>
      <c r="E8" s="2">
        <v>34.522412060000001</v>
      </c>
      <c r="F8" s="17">
        <f t="shared" si="0"/>
        <v>44245.607430555552</v>
      </c>
      <c r="G8" s="9">
        <v>44245.607430555552</v>
      </c>
      <c r="H8" s="25">
        <v>1</v>
      </c>
      <c r="I8" s="5">
        <v>2.8809999999999998</v>
      </c>
      <c r="J8" s="5">
        <v>0.34149000000000002</v>
      </c>
      <c r="K8" s="5">
        <v>0.35537999999999997</v>
      </c>
      <c r="L8" s="5">
        <v>34.725999999999999</v>
      </c>
      <c r="M8" s="5">
        <v>2</v>
      </c>
      <c r="N8" s="5">
        <v>2.8620000000000001</v>
      </c>
      <c r="O8" s="5">
        <v>0.32973000000000002</v>
      </c>
      <c r="P8" s="5">
        <v>0.3483</v>
      </c>
      <c r="Q8" s="5">
        <v>34.805</v>
      </c>
      <c r="R8" s="5">
        <v>3</v>
      </c>
      <c r="S8" s="5">
        <v>2.8719999999999999</v>
      </c>
      <c r="T8" s="5">
        <v>0.30715999999999999</v>
      </c>
      <c r="U8" s="5">
        <v>0.32228000000000001</v>
      </c>
      <c r="V8" s="5">
        <v>33.558</v>
      </c>
      <c r="W8" s="22">
        <f t="shared" si="1"/>
        <v>-1.2199999999999989E-3</v>
      </c>
      <c r="X8" s="21">
        <f t="shared" si="2"/>
        <v>-4.7799999999997844E-4</v>
      </c>
      <c r="Y8" s="21">
        <f t="shared" si="3"/>
        <v>1.1969999999999481E-3</v>
      </c>
      <c r="Z8" s="11">
        <f t="shared" si="4"/>
        <v>1.0572111229223857E-2</v>
      </c>
      <c r="AA8" s="22">
        <f t="shared" si="5"/>
        <v>8.0700000000000216E-3</v>
      </c>
      <c r="AB8" s="21">
        <f t="shared" si="6"/>
        <v>-9.2579999999999885E-3</v>
      </c>
      <c r="AC8" s="21">
        <f t="shared" si="7"/>
        <v>-4.2710000000000248E-3</v>
      </c>
      <c r="AD8" s="11">
        <f t="shared" si="8"/>
        <v>1.0017499234402649E-2</v>
      </c>
      <c r="AE8" s="22">
        <f t="shared" si="9"/>
        <v>-9.5600000000000129E-3</v>
      </c>
      <c r="AF8" s="21">
        <f t="shared" si="10"/>
        <v>-3.3826999999999996E-2</v>
      </c>
      <c r="AG8" s="21">
        <f t="shared" si="11"/>
        <v>-3.2101999999999964E-2</v>
      </c>
      <c r="AH8" s="11">
        <f t="shared" si="12"/>
        <v>-2.7935824945367393E-2</v>
      </c>
      <c r="AI8">
        <v>2.5000000000000001E-2</v>
      </c>
      <c r="AJ8">
        <v>-2.5000000000000001E-2</v>
      </c>
      <c r="AK8">
        <v>1.5E-3</v>
      </c>
      <c r="AL8">
        <v>-1.5E-3</v>
      </c>
      <c r="AM8">
        <v>1.5E-3</v>
      </c>
      <c r="AN8">
        <v>-1.5E-3</v>
      </c>
      <c r="AO8" s="16">
        <v>2.5000000000000001E-2</v>
      </c>
      <c r="AP8" s="16">
        <v>-2.5000000000000001E-2</v>
      </c>
      <c r="AQ8">
        <v>1.4999999999999999E-2</v>
      </c>
      <c r="AR8">
        <v>-1.4999999999999999E-2</v>
      </c>
      <c r="AS8">
        <v>1E-3</v>
      </c>
      <c r="AT8">
        <v>-1E-3</v>
      </c>
      <c r="AU8">
        <v>1E-3</v>
      </c>
      <c r="AV8">
        <v>-1E-3</v>
      </c>
      <c r="AW8" s="16">
        <v>1.4999999999999999E-2</v>
      </c>
      <c r="AX8" s="16">
        <v>-1.4999999999999999E-2</v>
      </c>
      <c r="JS8">
        <v>12.849506578947368</v>
      </c>
    </row>
    <row r="9" spans="1:279" customFormat="1">
      <c r="A9" s="2">
        <v>4</v>
      </c>
      <c r="B9" s="2">
        <v>2.8828800000000001</v>
      </c>
      <c r="C9" s="2">
        <v>0.34153600000000001</v>
      </c>
      <c r="D9" s="2">
        <v>0.354854</v>
      </c>
      <c r="E9" s="2">
        <v>34.389045230000001</v>
      </c>
      <c r="F9" s="17">
        <f t="shared" si="0"/>
        <v>44246.338703703703</v>
      </c>
      <c r="G9" s="9">
        <v>44246.338703703703</v>
      </c>
      <c r="H9" s="25">
        <v>1</v>
      </c>
      <c r="I9" s="5">
        <v>2.8780000000000001</v>
      </c>
      <c r="J9" s="5">
        <v>0.34144000000000002</v>
      </c>
      <c r="K9" s="5">
        <v>0.35505999999999999</v>
      </c>
      <c r="L9" s="5">
        <v>34.753</v>
      </c>
      <c r="M9" s="5">
        <v>2</v>
      </c>
      <c r="N9" s="5">
        <v>2.86</v>
      </c>
      <c r="O9" s="5">
        <v>0.32971</v>
      </c>
      <c r="P9" s="5">
        <v>0.34831000000000001</v>
      </c>
      <c r="Q9" s="5">
        <v>34.863</v>
      </c>
      <c r="R9" s="5">
        <v>3</v>
      </c>
      <c r="S9" s="5">
        <v>2.871</v>
      </c>
      <c r="T9" s="5">
        <v>0.30704999999999999</v>
      </c>
      <c r="U9" s="5">
        <v>0.32223000000000002</v>
      </c>
      <c r="V9" s="5">
        <v>33.585999999999999</v>
      </c>
      <c r="W9" s="22">
        <f t="shared" si="1"/>
        <v>-4.2199999999996685E-3</v>
      </c>
      <c r="X9" s="21">
        <f t="shared" si="2"/>
        <v>-5.2799999999997294E-4</v>
      </c>
      <c r="Y9" s="21">
        <f t="shared" si="3"/>
        <v>8.7699999999996114E-4</v>
      </c>
      <c r="Z9" s="11">
        <f t="shared" si="4"/>
        <v>1.1357846614905798E-2</v>
      </c>
      <c r="AA9" s="22">
        <f t="shared" si="5"/>
        <v>6.0699999999997978E-3</v>
      </c>
      <c r="AB9" s="21">
        <f t="shared" si="6"/>
        <v>-9.2780000000000085E-3</v>
      </c>
      <c r="AC9" s="21">
        <f t="shared" si="7"/>
        <v>-4.2610000000000148E-3</v>
      </c>
      <c r="AD9" s="11">
        <f t="shared" si="8"/>
        <v>1.1700619905444132E-2</v>
      </c>
      <c r="AE9" s="22">
        <f t="shared" si="9"/>
        <v>-1.0559999999999903E-2</v>
      </c>
      <c r="AF9" s="21">
        <f t="shared" si="10"/>
        <v>-3.3936999999999995E-2</v>
      </c>
      <c r="AG9" s="21">
        <f t="shared" si="11"/>
        <v>-3.2151999999999958E-2</v>
      </c>
      <c r="AH9" s="11">
        <f t="shared" si="12"/>
        <v>-2.7124757632013607E-2</v>
      </c>
      <c r="AI9">
        <v>2.5000000000000001E-2</v>
      </c>
      <c r="AJ9">
        <v>-2.5000000000000001E-2</v>
      </c>
      <c r="AK9">
        <v>1.5E-3</v>
      </c>
      <c r="AL9">
        <v>-1.5E-3</v>
      </c>
      <c r="AM9">
        <v>1.5E-3</v>
      </c>
      <c r="AN9">
        <v>-1.5E-3</v>
      </c>
      <c r="AO9" s="16">
        <v>2.5000000000000001E-2</v>
      </c>
      <c r="AP9" s="16">
        <v>-2.5000000000000001E-2</v>
      </c>
      <c r="AQ9">
        <v>1.4999999999999999E-2</v>
      </c>
      <c r="AR9">
        <v>-1.4999999999999999E-2</v>
      </c>
      <c r="AS9">
        <v>1E-3</v>
      </c>
      <c r="AT9">
        <v>-1E-3</v>
      </c>
      <c r="AU9">
        <v>1E-3</v>
      </c>
      <c r="AV9">
        <v>-1E-3</v>
      </c>
      <c r="AW9" s="16">
        <v>1.4999999999999999E-2</v>
      </c>
      <c r="AX9" s="16">
        <v>-1.4999999999999999E-2</v>
      </c>
    </row>
    <row r="10" spans="1:279" customFormat="1">
      <c r="A10" s="2">
        <v>5</v>
      </c>
      <c r="B10" s="2">
        <v>2.86008</v>
      </c>
      <c r="C10" s="2">
        <v>0.34196100000000001</v>
      </c>
      <c r="D10" s="2">
        <v>0.35632599999999998</v>
      </c>
      <c r="E10" s="2">
        <v>34.383919599999999</v>
      </c>
      <c r="F10" s="17">
        <f t="shared" si="0"/>
        <v>44246.488252314812</v>
      </c>
      <c r="G10" s="9">
        <v>44246.488252314812</v>
      </c>
      <c r="H10" s="25">
        <v>1</v>
      </c>
      <c r="I10" s="5">
        <v>2.8820000000000001</v>
      </c>
      <c r="J10" s="5">
        <v>0.34145999999999999</v>
      </c>
      <c r="K10" s="5">
        <v>0.35521999999999998</v>
      </c>
      <c r="L10" s="5">
        <v>34.802</v>
      </c>
      <c r="M10" s="5">
        <v>2</v>
      </c>
      <c r="N10" s="5">
        <v>2.863</v>
      </c>
      <c r="O10" s="5">
        <v>0.32967999999999997</v>
      </c>
      <c r="P10" s="5">
        <v>0.34816999999999998</v>
      </c>
      <c r="Q10" s="5">
        <v>34.872</v>
      </c>
      <c r="R10" s="5">
        <v>3</v>
      </c>
      <c r="S10" s="5">
        <v>2.8740000000000001</v>
      </c>
      <c r="T10" s="5">
        <v>0.30717</v>
      </c>
      <c r="U10" s="5">
        <v>0.32236999999999999</v>
      </c>
      <c r="V10" s="5">
        <v>33.625</v>
      </c>
      <c r="W10" s="22">
        <f t="shared" si="1"/>
        <v>-2.1999999999966491E-4</v>
      </c>
      <c r="X10" s="21">
        <f t="shared" si="2"/>
        <v>-5.0800000000000844E-4</v>
      </c>
      <c r="Y10" s="21">
        <f t="shared" si="3"/>
        <v>1.0369999999999546E-3</v>
      </c>
      <c r="Z10" s="11">
        <f t="shared" si="4"/>
        <v>1.278381083336555E-2</v>
      </c>
      <c r="AA10" s="22">
        <f t="shared" si="5"/>
        <v>9.0699999999999115E-3</v>
      </c>
      <c r="AB10" s="21">
        <f t="shared" si="6"/>
        <v>-9.3080000000000385E-3</v>
      </c>
      <c r="AC10" s="21">
        <f t="shared" si="7"/>
        <v>-4.4010000000000438E-3</v>
      </c>
      <c r="AD10" s="11">
        <f t="shared" si="8"/>
        <v>1.1961793802674592E-2</v>
      </c>
      <c r="AE10" s="22">
        <f t="shared" si="9"/>
        <v>-7.5599999999997891E-3</v>
      </c>
      <c r="AF10" s="21">
        <f t="shared" si="10"/>
        <v>-3.3816999999999986E-2</v>
      </c>
      <c r="AG10" s="21">
        <f t="shared" si="11"/>
        <v>-3.2011999999999985E-2</v>
      </c>
      <c r="AH10" s="11">
        <f t="shared" si="12"/>
        <v>-2.599505673127056E-2</v>
      </c>
      <c r="AI10">
        <v>2.5000000000000001E-2</v>
      </c>
      <c r="AJ10">
        <v>-2.5000000000000001E-2</v>
      </c>
      <c r="AK10">
        <v>1.5E-3</v>
      </c>
      <c r="AL10">
        <v>-1.5E-3</v>
      </c>
      <c r="AM10">
        <v>1.5E-3</v>
      </c>
      <c r="AN10">
        <v>-1.5E-3</v>
      </c>
      <c r="AO10" s="16">
        <v>2.5000000000000001E-2</v>
      </c>
      <c r="AP10" s="16">
        <v>-2.5000000000000001E-2</v>
      </c>
      <c r="AQ10">
        <v>1.4999999999999999E-2</v>
      </c>
      <c r="AR10">
        <v>-1.4999999999999999E-2</v>
      </c>
      <c r="AS10">
        <v>1E-3</v>
      </c>
      <c r="AT10">
        <v>-1E-3</v>
      </c>
      <c r="AU10">
        <v>1E-3</v>
      </c>
      <c r="AV10">
        <v>-1E-3</v>
      </c>
      <c r="AW10" s="16">
        <v>1.4999999999999999E-2</v>
      </c>
      <c r="AX10" s="16">
        <v>-1.4999999999999999E-2</v>
      </c>
      <c r="JQ10">
        <v>28.935185185185187</v>
      </c>
    </row>
    <row r="11" spans="1:279" customFormat="1">
      <c r="A11" s="2">
        <v>6</v>
      </c>
      <c r="B11" s="2">
        <v>2.8418199999999998</v>
      </c>
      <c r="C11" s="2">
        <v>0.435475</v>
      </c>
      <c r="D11" s="2">
        <v>0.397005</v>
      </c>
      <c r="E11" s="2">
        <v>29.872763819999999</v>
      </c>
      <c r="F11" s="17">
        <f t="shared" si="0"/>
        <v>44247.602013888885</v>
      </c>
      <c r="G11" s="9">
        <v>44247.602013888885</v>
      </c>
      <c r="H11" s="25">
        <v>1</v>
      </c>
      <c r="I11" s="5">
        <v>2.8780000000000001</v>
      </c>
      <c r="J11" s="5">
        <v>0.34133999999999998</v>
      </c>
      <c r="K11" s="5">
        <v>0.35516999999999999</v>
      </c>
      <c r="L11" s="5">
        <v>34.863</v>
      </c>
      <c r="M11" s="5">
        <v>2</v>
      </c>
      <c r="N11" s="5">
        <v>2.86</v>
      </c>
      <c r="O11" s="5">
        <v>0.3296</v>
      </c>
      <c r="P11" s="5">
        <v>0.34810000000000002</v>
      </c>
      <c r="Q11" s="5">
        <v>34.944000000000003</v>
      </c>
      <c r="R11" s="5">
        <v>3</v>
      </c>
      <c r="S11" s="5">
        <v>2.87</v>
      </c>
      <c r="T11" s="5">
        <v>0.30692000000000003</v>
      </c>
      <c r="U11" s="5">
        <v>0.32205</v>
      </c>
      <c r="V11" s="5">
        <v>33.667999999999999</v>
      </c>
      <c r="W11" s="22">
        <f t="shared" si="1"/>
        <v>-4.2199999999996685E-3</v>
      </c>
      <c r="X11" s="21">
        <f t="shared" si="2"/>
        <v>-6.2800000000001743E-4</v>
      </c>
      <c r="Y11" s="21">
        <f t="shared" si="3"/>
        <v>9.8699999999996013E-4</v>
      </c>
      <c r="Z11" s="11">
        <f t="shared" si="4"/>
        <v>1.4558990778795078E-2</v>
      </c>
      <c r="AA11" s="22">
        <f t="shared" si="5"/>
        <v>6.0699999999997978E-3</v>
      </c>
      <c r="AB11" s="21">
        <f t="shared" si="6"/>
        <v>-9.3880000000000075E-3</v>
      </c>
      <c r="AC11" s="21">
        <f t="shared" si="7"/>
        <v>-4.4710000000000027E-3</v>
      </c>
      <c r="AD11" s="11">
        <f t="shared" si="8"/>
        <v>1.405118498051916E-2</v>
      </c>
      <c r="AE11" s="22">
        <f t="shared" si="9"/>
        <v>-1.1559999999999793E-2</v>
      </c>
      <c r="AF11" s="21">
        <f t="shared" si="10"/>
        <v>-3.4066999999999958E-2</v>
      </c>
      <c r="AG11" s="21">
        <f t="shared" si="11"/>
        <v>-3.2331999999999972E-2</v>
      </c>
      <c r="AH11" s="11">
        <f t="shared" si="12"/>
        <v>-2.4749489071477115E-2</v>
      </c>
      <c r="AI11">
        <v>2.5000000000000001E-2</v>
      </c>
      <c r="AJ11">
        <v>-2.5000000000000001E-2</v>
      </c>
      <c r="AK11">
        <v>1.5E-3</v>
      </c>
      <c r="AL11">
        <v>-1.5E-3</v>
      </c>
      <c r="AM11">
        <v>1.5E-3</v>
      </c>
      <c r="AN11">
        <v>-1.5E-3</v>
      </c>
      <c r="AO11" s="16">
        <v>2.5000000000000001E-2</v>
      </c>
      <c r="AP11" s="16">
        <v>-2.5000000000000001E-2</v>
      </c>
      <c r="AQ11">
        <v>1.4999999999999999E-2</v>
      </c>
      <c r="AR11">
        <v>-1.4999999999999999E-2</v>
      </c>
      <c r="AS11">
        <v>1E-3</v>
      </c>
      <c r="AT11">
        <v>-1E-3</v>
      </c>
      <c r="AU11">
        <v>1E-3</v>
      </c>
      <c r="AV11">
        <v>-1E-3</v>
      </c>
      <c r="AW11" s="16">
        <v>1.4999999999999999E-2</v>
      </c>
      <c r="AX11" s="16">
        <v>-1.4999999999999999E-2</v>
      </c>
      <c r="JR11">
        <v>25.699013157894736</v>
      </c>
    </row>
    <row r="12" spans="1:279" customFormat="1">
      <c r="A12" s="2">
        <v>7</v>
      </c>
      <c r="B12" s="2">
        <v>2.8515600000000001</v>
      </c>
      <c r="C12" s="2">
        <v>0.43290800000000002</v>
      </c>
      <c r="D12" s="2">
        <v>0.39590399999999998</v>
      </c>
      <c r="E12" s="2">
        <v>30.20211055</v>
      </c>
      <c r="F12" s="17">
        <f t="shared" si="0"/>
        <v>44248.652708333335</v>
      </c>
      <c r="G12" s="9">
        <v>44248.652708333335</v>
      </c>
      <c r="H12" s="25">
        <v>1</v>
      </c>
      <c r="I12" s="5">
        <v>2.88</v>
      </c>
      <c r="J12" s="5">
        <v>0.34137000000000001</v>
      </c>
      <c r="K12" s="5">
        <v>0.35515000000000002</v>
      </c>
      <c r="L12" s="5">
        <v>34.863</v>
      </c>
      <c r="M12" s="5">
        <v>2</v>
      </c>
      <c r="N12" s="5">
        <v>2.8610000000000002</v>
      </c>
      <c r="O12" s="5">
        <v>0.32969999999999999</v>
      </c>
      <c r="P12" s="5">
        <v>0.34837000000000001</v>
      </c>
      <c r="Q12" s="5">
        <v>34.945999999999998</v>
      </c>
      <c r="R12" s="5">
        <v>3</v>
      </c>
      <c r="S12" s="5">
        <v>2.8730000000000002</v>
      </c>
      <c r="T12" s="5">
        <v>0.30702000000000002</v>
      </c>
      <c r="U12" s="5">
        <v>0.32223000000000002</v>
      </c>
      <c r="V12" s="5">
        <v>33.697000000000003</v>
      </c>
      <c r="W12" s="22">
        <f t="shared" si="1"/>
        <v>-2.2199999999998887E-3</v>
      </c>
      <c r="X12" s="21">
        <f t="shared" si="2"/>
        <v>-5.9799999999998743E-4</v>
      </c>
      <c r="Y12" s="21">
        <f t="shared" si="3"/>
        <v>9.6699999999999564E-4</v>
      </c>
      <c r="Z12" s="11">
        <f t="shared" si="4"/>
        <v>1.4558990778795078E-2</v>
      </c>
      <c r="AA12" s="22">
        <f t="shared" si="5"/>
        <v>7.0700000000001317E-3</v>
      </c>
      <c r="AB12" s="21">
        <f t="shared" si="6"/>
        <v>-9.2880000000000185E-3</v>
      </c>
      <c r="AC12" s="21">
        <f t="shared" si="7"/>
        <v>-4.2010000000000103E-3</v>
      </c>
      <c r="AD12" s="11">
        <f t="shared" si="8"/>
        <v>1.4109223624348077E-2</v>
      </c>
      <c r="AE12" s="22">
        <f t="shared" si="9"/>
        <v>-8.559999999999679E-3</v>
      </c>
      <c r="AF12" s="21">
        <f t="shared" si="10"/>
        <v>-3.3966999999999969E-2</v>
      </c>
      <c r="AG12" s="21">
        <f t="shared" si="11"/>
        <v>-3.2151999999999958E-2</v>
      </c>
      <c r="AH12" s="11">
        <f t="shared" si="12"/>
        <v>-2.3909455068360508E-2</v>
      </c>
      <c r="AI12">
        <v>2.5000000000000001E-2</v>
      </c>
      <c r="AJ12">
        <v>-2.5000000000000001E-2</v>
      </c>
      <c r="AK12">
        <v>1.5E-3</v>
      </c>
      <c r="AL12">
        <v>-1.5E-3</v>
      </c>
      <c r="AM12">
        <v>1.5E-3</v>
      </c>
      <c r="AN12">
        <v>-1.5E-3</v>
      </c>
      <c r="AO12" s="16">
        <v>2.5000000000000001E-2</v>
      </c>
      <c r="AP12" s="16">
        <v>-2.5000000000000001E-2</v>
      </c>
      <c r="AQ12">
        <v>1.4999999999999999E-2</v>
      </c>
      <c r="AR12">
        <v>-1.4999999999999999E-2</v>
      </c>
      <c r="AS12">
        <v>1E-3</v>
      </c>
      <c r="AT12">
        <v>-1E-3</v>
      </c>
      <c r="AU12">
        <v>1E-3</v>
      </c>
      <c r="AV12">
        <v>-1E-3</v>
      </c>
      <c r="AW12" s="16">
        <v>1.4999999999999999E-2</v>
      </c>
      <c r="AX12" s="16">
        <v>-1.4999999999999999E-2</v>
      </c>
      <c r="JP12">
        <v>25.699013157894736</v>
      </c>
      <c r="JR12">
        <v>12.849506578947368</v>
      </c>
      <c r="JS12">
        <v>12.849506578947368</v>
      </c>
    </row>
    <row r="13" spans="1:279" customFormat="1">
      <c r="A13" s="2">
        <v>8</v>
      </c>
      <c r="B13" s="2">
        <v>2.84361</v>
      </c>
      <c r="C13" s="2">
        <v>0.43445600000000001</v>
      </c>
      <c r="D13" s="2">
        <v>0.396901</v>
      </c>
      <c r="E13" s="2">
        <v>30.267236180000001</v>
      </c>
      <c r="F13" s="17">
        <f t="shared" si="0"/>
        <v>44249.657152777778</v>
      </c>
      <c r="G13" s="9">
        <v>44249.657152777778</v>
      </c>
      <c r="H13" s="25">
        <v>1</v>
      </c>
      <c r="I13" s="5">
        <v>2.8780000000000001</v>
      </c>
      <c r="J13" s="2">
        <v>0.34131</v>
      </c>
      <c r="K13" s="5">
        <v>0.35507</v>
      </c>
      <c r="L13" s="5">
        <v>34.814999999999998</v>
      </c>
      <c r="M13" s="5">
        <v>2</v>
      </c>
      <c r="N13" s="5">
        <v>2.859</v>
      </c>
      <c r="O13" s="2">
        <v>0.32967999999999997</v>
      </c>
      <c r="P13" s="5">
        <v>0.34821000000000002</v>
      </c>
      <c r="Q13" s="5">
        <v>34.909999999999997</v>
      </c>
      <c r="R13" s="5">
        <v>3</v>
      </c>
      <c r="S13" s="5">
        <v>2.87</v>
      </c>
      <c r="T13" s="2">
        <v>0.30703999999999998</v>
      </c>
      <c r="U13" s="5">
        <v>0.32213999999999998</v>
      </c>
      <c r="V13" s="5">
        <v>33.646000000000001</v>
      </c>
      <c r="W13" s="22">
        <f t="shared" si="1"/>
        <v>-4.2199999999996685E-3</v>
      </c>
      <c r="X13" s="21">
        <f t="shared" si="2"/>
        <v>-6.5799999999999192E-4</v>
      </c>
      <c r="Y13" s="21">
        <f t="shared" si="3"/>
        <v>8.8699999999997114E-4</v>
      </c>
      <c r="Z13" s="11">
        <f t="shared" si="4"/>
        <v>1.3162127870915974E-2</v>
      </c>
      <c r="AA13" s="22">
        <f t="shared" si="5"/>
        <v>5.0699999999999079E-3</v>
      </c>
      <c r="AB13" s="21">
        <f t="shared" si="6"/>
        <v>-9.3080000000000385E-3</v>
      </c>
      <c r="AC13" s="21">
        <f t="shared" si="7"/>
        <v>-4.3610000000000038E-3</v>
      </c>
      <c r="AD13" s="11">
        <f t="shared" si="8"/>
        <v>1.3064528035425793E-2</v>
      </c>
      <c r="AE13" s="22">
        <f t="shared" si="9"/>
        <v>-1.1559999999999793E-2</v>
      </c>
      <c r="AF13" s="21">
        <f t="shared" si="10"/>
        <v>-3.3947000000000005E-2</v>
      </c>
      <c r="AG13" s="21">
        <f t="shared" si="11"/>
        <v>-3.2241999999999993E-2</v>
      </c>
      <c r="AH13" s="11">
        <f t="shared" si="12"/>
        <v>-2.5386756246255193E-2</v>
      </c>
      <c r="AI13">
        <v>2.5000000000000001E-2</v>
      </c>
      <c r="AJ13">
        <v>-2.5000000000000001E-2</v>
      </c>
      <c r="AK13">
        <v>1.5E-3</v>
      </c>
      <c r="AL13">
        <v>-1.5E-3</v>
      </c>
      <c r="AM13">
        <v>1.5E-3</v>
      </c>
      <c r="AN13">
        <v>-1.5E-3</v>
      </c>
      <c r="AO13" s="16">
        <v>2.5000000000000001E-2</v>
      </c>
      <c r="AP13" s="16">
        <v>-2.5000000000000001E-2</v>
      </c>
      <c r="AQ13">
        <v>1.4999999999999999E-2</v>
      </c>
      <c r="AR13">
        <v>-1.4999999999999999E-2</v>
      </c>
      <c r="AS13">
        <v>1E-3</v>
      </c>
      <c r="AT13">
        <v>-1E-3</v>
      </c>
      <c r="AU13">
        <v>1E-3</v>
      </c>
      <c r="AV13">
        <v>-1E-3</v>
      </c>
      <c r="AW13" s="16">
        <v>1.4999999999999999E-2</v>
      </c>
      <c r="AX13" s="16">
        <v>-1.4999999999999999E-2</v>
      </c>
    </row>
    <row r="14" spans="1:279" customFormat="1">
      <c r="A14" s="2">
        <v>9</v>
      </c>
      <c r="B14" s="2">
        <v>2.8633899999999999</v>
      </c>
      <c r="C14" s="2">
        <v>0.43549300000000002</v>
      </c>
      <c r="D14" s="2">
        <v>0.39657700000000001</v>
      </c>
      <c r="E14" s="2">
        <v>30.213467340000001</v>
      </c>
      <c r="F14" s="17">
        <f t="shared" si="0"/>
        <v>44250.639398148145</v>
      </c>
      <c r="G14" s="9">
        <v>44250.639398148145</v>
      </c>
      <c r="H14" s="25">
        <v>1</v>
      </c>
      <c r="I14" s="5">
        <v>2.88</v>
      </c>
      <c r="J14" s="5">
        <v>0.34138000000000002</v>
      </c>
      <c r="K14" s="5">
        <v>0.35520000000000002</v>
      </c>
      <c r="L14" s="5">
        <v>34.85</v>
      </c>
      <c r="M14" s="5">
        <v>2</v>
      </c>
      <c r="N14" s="5">
        <v>2.8610000000000002</v>
      </c>
      <c r="O14" s="5">
        <v>0.32962999999999998</v>
      </c>
      <c r="P14" s="5">
        <v>0.34821000000000002</v>
      </c>
      <c r="Q14" s="5">
        <v>34.905999999999999</v>
      </c>
      <c r="R14" s="5">
        <v>3</v>
      </c>
      <c r="S14" s="5">
        <v>2.871</v>
      </c>
      <c r="T14" s="5">
        <v>0.30704999999999999</v>
      </c>
      <c r="U14" s="5">
        <v>0.3221</v>
      </c>
      <c r="V14" s="5">
        <v>33.689</v>
      </c>
      <c r="W14" s="22">
        <f t="shared" si="1"/>
        <v>-2.2199999999998887E-3</v>
      </c>
      <c r="X14" s="21">
        <f t="shared" si="2"/>
        <v>-5.8799999999997743E-4</v>
      </c>
      <c r="Y14" s="21">
        <f t="shared" si="3"/>
        <v>1.0169999999999901E-3</v>
      </c>
      <c r="Z14" s="11">
        <f t="shared" si="4"/>
        <v>1.4180673741244432E-2</v>
      </c>
      <c r="AA14" s="22">
        <f t="shared" si="5"/>
        <v>7.0700000000001317E-3</v>
      </c>
      <c r="AB14" s="21">
        <f t="shared" si="6"/>
        <v>-9.358000000000033E-3</v>
      </c>
      <c r="AC14" s="21">
        <f t="shared" si="7"/>
        <v>-4.3610000000000038E-3</v>
      </c>
      <c r="AD14" s="11">
        <f t="shared" si="8"/>
        <v>1.2948450747767959E-2</v>
      </c>
      <c r="AE14" s="22">
        <f t="shared" si="9"/>
        <v>-1.0559999999999903E-2</v>
      </c>
      <c r="AF14" s="21">
        <f t="shared" si="10"/>
        <v>-3.3936999999999995E-2</v>
      </c>
      <c r="AG14" s="21">
        <f t="shared" si="11"/>
        <v>-3.2281999999999977E-2</v>
      </c>
      <c r="AH14" s="11">
        <f t="shared" si="12"/>
        <v>-2.4141188586461748E-2</v>
      </c>
      <c r="AI14">
        <v>2.5000000000000001E-2</v>
      </c>
      <c r="AJ14">
        <v>-2.5000000000000001E-2</v>
      </c>
      <c r="AK14">
        <v>1.5E-3</v>
      </c>
      <c r="AL14">
        <v>-1.5E-3</v>
      </c>
      <c r="AM14">
        <v>1.5E-3</v>
      </c>
      <c r="AN14">
        <v>-1.5E-3</v>
      </c>
      <c r="AO14" s="16">
        <v>2.5000000000000001E-2</v>
      </c>
      <c r="AP14" s="16">
        <v>-2.5000000000000001E-2</v>
      </c>
      <c r="AQ14">
        <v>1.4999999999999999E-2</v>
      </c>
      <c r="AR14">
        <v>-1.4999999999999999E-2</v>
      </c>
      <c r="AS14">
        <v>1E-3</v>
      </c>
      <c r="AT14">
        <v>-1E-3</v>
      </c>
      <c r="AU14">
        <v>1E-3</v>
      </c>
      <c r="AV14">
        <v>-1E-3</v>
      </c>
      <c r="AW14" s="16">
        <v>1.4999999999999999E-2</v>
      </c>
      <c r="AX14" s="16">
        <v>-1.4999999999999999E-2</v>
      </c>
    </row>
    <row r="15" spans="1:279" customFormat="1">
      <c r="A15" s="2">
        <v>10</v>
      </c>
      <c r="B15" s="2">
        <v>2.8428599999999999</v>
      </c>
      <c r="C15" s="2">
        <v>0.43604500000000002</v>
      </c>
      <c r="D15" s="2">
        <v>0.39702799999999999</v>
      </c>
      <c r="E15" s="2">
        <v>29.278894470000001</v>
      </c>
      <c r="F15" s="17">
        <f t="shared" si="0"/>
        <v>44251.555659722224</v>
      </c>
      <c r="G15" s="9">
        <v>44251.555659722224</v>
      </c>
      <c r="H15" s="25">
        <v>1</v>
      </c>
      <c r="I15" s="5">
        <v>2.88</v>
      </c>
      <c r="J15" s="5">
        <v>0.34140999999999999</v>
      </c>
      <c r="K15" s="5">
        <v>0.35525000000000001</v>
      </c>
      <c r="L15" s="5">
        <v>34.786000000000001</v>
      </c>
      <c r="M15" s="5">
        <v>2</v>
      </c>
      <c r="N15" s="5">
        <v>2.8610000000000002</v>
      </c>
      <c r="O15" s="5">
        <v>0.32962000000000002</v>
      </c>
      <c r="P15" s="5">
        <v>0.34804000000000002</v>
      </c>
      <c r="Q15" s="5">
        <v>34.851999999999997</v>
      </c>
      <c r="R15" s="5">
        <v>3</v>
      </c>
      <c r="S15" s="5">
        <v>2.871</v>
      </c>
      <c r="T15" s="5">
        <v>0.30697999999999998</v>
      </c>
      <c r="U15" s="5">
        <v>0.32225999999999999</v>
      </c>
      <c r="V15" s="5">
        <v>33.65</v>
      </c>
      <c r="W15" s="22">
        <f t="shared" si="1"/>
        <v>-2.2199999999998887E-3</v>
      </c>
      <c r="X15" s="21">
        <f t="shared" si="2"/>
        <v>-5.5800000000000294E-4</v>
      </c>
      <c r="Y15" s="21">
        <f t="shared" si="3"/>
        <v>1.0669999999999846E-3</v>
      </c>
      <c r="Z15" s="11">
        <f t="shared" si="4"/>
        <v>1.2318189864072515E-2</v>
      </c>
      <c r="AA15" s="22">
        <f t="shared" si="5"/>
        <v>7.0700000000001317E-3</v>
      </c>
      <c r="AB15" s="21">
        <f t="shared" si="6"/>
        <v>-9.3679999999999874E-3</v>
      </c>
      <c r="AC15" s="21">
        <f t="shared" si="7"/>
        <v>-4.5310000000000072E-3</v>
      </c>
      <c r="AD15" s="11">
        <f t="shared" si="8"/>
        <v>1.1381407364384533E-2</v>
      </c>
      <c r="AE15" s="22">
        <f t="shared" si="9"/>
        <v>-1.0559999999999903E-2</v>
      </c>
      <c r="AF15" s="21">
        <f t="shared" si="10"/>
        <v>-3.4007000000000009E-2</v>
      </c>
      <c r="AG15" s="21">
        <f t="shared" si="11"/>
        <v>-3.2121999999999984E-2</v>
      </c>
      <c r="AH15" s="11">
        <f t="shared" si="12"/>
        <v>-2.5270889487204684E-2</v>
      </c>
      <c r="AI15">
        <v>2.5000000000000001E-2</v>
      </c>
      <c r="AJ15">
        <v>-2.5000000000000001E-2</v>
      </c>
      <c r="AK15">
        <v>1.5E-3</v>
      </c>
      <c r="AL15">
        <v>-1.5E-3</v>
      </c>
      <c r="AM15">
        <v>1.5E-3</v>
      </c>
      <c r="AN15">
        <v>-1.5E-3</v>
      </c>
      <c r="AO15" s="16">
        <v>2.5000000000000001E-2</v>
      </c>
      <c r="AP15" s="16">
        <v>-2.5000000000000001E-2</v>
      </c>
      <c r="AQ15">
        <v>1.4999999999999999E-2</v>
      </c>
      <c r="AR15">
        <v>-1.4999999999999999E-2</v>
      </c>
      <c r="AS15">
        <v>1E-3</v>
      </c>
      <c r="AT15">
        <v>-1E-3</v>
      </c>
      <c r="AU15">
        <v>1E-3</v>
      </c>
      <c r="AV15">
        <v>-1E-3</v>
      </c>
      <c r="AW15" s="16">
        <v>1.4999999999999999E-2</v>
      </c>
      <c r="AX15" s="16">
        <v>-1.4999999999999999E-2</v>
      </c>
      <c r="JS15">
        <v>30.502684236212787</v>
      </c>
    </row>
    <row r="16" spans="1:279" customFormat="1">
      <c r="A16" s="2">
        <v>11</v>
      </c>
      <c r="B16" s="2">
        <v>2.8648099999999999</v>
      </c>
      <c r="C16" s="2">
        <v>0.33117099999999999</v>
      </c>
      <c r="D16" s="2">
        <v>0.34967199999999998</v>
      </c>
      <c r="E16" s="2">
        <v>34.690653269999999</v>
      </c>
      <c r="F16" s="17">
        <f t="shared" si="0"/>
        <v>44252.68173611111</v>
      </c>
      <c r="G16" s="9">
        <v>44252.68173611111</v>
      </c>
      <c r="H16" s="25">
        <v>1</v>
      </c>
      <c r="I16" s="5">
        <v>2.88</v>
      </c>
      <c r="J16" s="5">
        <v>0.34134999999999999</v>
      </c>
      <c r="K16" s="5">
        <v>0.35500999999999999</v>
      </c>
      <c r="L16" s="5">
        <v>34.762</v>
      </c>
      <c r="M16" s="5">
        <v>2</v>
      </c>
      <c r="N16" s="5">
        <v>2.8620000000000001</v>
      </c>
      <c r="O16" s="5">
        <v>0.32956000000000002</v>
      </c>
      <c r="P16" s="5">
        <v>0.34806999999999999</v>
      </c>
      <c r="Q16" s="5">
        <v>34.798000000000002</v>
      </c>
      <c r="R16" s="5">
        <v>3</v>
      </c>
      <c r="S16" s="5">
        <v>2.871</v>
      </c>
      <c r="T16" s="5">
        <v>0.30696000000000001</v>
      </c>
      <c r="U16" s="5">
        <v>0.3221</v>
      </c>
      <c r="V16" s="5">
        <v>33.600999999999999</v>
      </c>
      <c r="W16" s="22">
        <f t="shared" si="1"/>
        <v>-2.2199999999998887E-3</v>
      </c>
      <c r="X16" s="21">
        <f t="shared" si="2"/>
        <v>-6.1800000000000743E-4</v>
      </c>
      <c r="Y16" s="21">
        <f t="shared" si="3"/>
        <v>8.2699999999996665E-4</v>
      </c>
      <c r="Z16" s="11">
        <f t="shared" si="4"/>
        <v>1.1619758410133185E-2</v>
      </c>
      <c r="AA16" s="22">
        <f t="shared" si="5"/>
        <v>8.0700000000000216E-3</v>
      </c>
      <c r="AB16" s="21">
        <f t="shared" si="6"/>
        <v>-9.4279999999999919E-3</v>
      </c>
      <c r="AC16" s="21">
        <f t="shared" si="7"/>
        <v>-4.5010000000000328E-3</v>
      </c>
      <c r="AD16" s="11">
        <f t="shared" si="8"/>
        <v>9.8143639810013283E-3</v>
      </c>
      <c r="AE16" s="22">
        <f t="shared" si="9"/>
        <v>-1.0559999999999903E-2</v>
      </c>
      <c r="AF16" s="21">
        <f t="shared" si="10"/>
        <v>-3.4026999999999974E-2</v>
      </c>
      <c r="AG16" s="21">
        <f t="shared" si="11"/>
        <v>-3.2281999999999977E-2</v>
      </c>
      <c r="AH16" s="11">
        <f t="shared" si="12"/>
        <v>-2.6690257285573948E-2</v>
      </c>
      <c r="AI16">
        <v>2.5000000000000001E-2</v>
      </c>
      <c r="AJ16">
        <v>-2.5000000000000001E-2</v>
      </c>
      <c r="AK16">
        <v>1.5E-3</v>
      </c>
      <c r="AL16">
        <v>-1.5E-3</v>
      </c>
      <c r="AM16">
        <v>1.5E-3</v>
      </c>
      <c r="AN16">
        <v>-1.5E-3</v>
      </c>
      <c r="AO16" s="16">
        <v>2.5000000000000001E-2</v>
      </c>
      <c r="AP16" s="16">
        <v>-2.5000000000000001E-2</v>
      </c>
      <c r="AQ16">
        <v>1.4999999999999999E-2</v>
      </c>
      <c r="AR16">
        <v>-1.4999999999999999E-2</v>
      </c>
      <c r="AS16">
        <v>1E-3</v>
      </c>
      <c r="AT16">
        <v>-1E-3</v>
      </c>
      <c r="AU16">
        <v>1E-3</v>
      </c>
      <c r="AV16">
        <v>-1E-3</v>
      </c>
      <c r="AW16" s="16">
        <v>1.4999999999999999E-2</v>
      </c>
      <c r="AX16" s="16">
        <v>-1.4999999999999999E-2</v>
      </c>
      <c r="JP16">
        <v>30.502684236212787</v>
      </c>
      <c r="JQ16">
        <v>28.935185185185187</v>
      </c>
    </row>
    <row r="17" spans="1:279" customFormat="1">
      <c r="A17" s="2">
        <v>12</v>
      </c>
      <c r="B17" s="2">
        <v>2.8902600000000001</v>
      </c>
      <c r="C17" s="2">
        <v>0.32966499999999999</v>
      </c>
      <c r="D17" s="2">
        <v>0.34718300000000002</v>
      </c>
      <c r="E17" s="2">
        <v>34.588643220000002</v>
      </c>
      <c r="F17" s="17">
        <f t="shared" si="0"/>
        <v>44253.639201388891</v>
      </c>
      <c r="G17" s="9">
        <v>44253.639201388891</v>
      </c>
      <c r="H17" s="25">
        <v>1</v>
      </c>
      <c r="I17" s="5">
        <v>2.883</v>
      </c>
      <c r="J17" s="5">
        <v>0.34149000000000002</v>
      </c>
      <c r="K17" s="5">
        <v>0.35526999999999997</v>
      </c>
      <c r="L17" s="5">
        <v>34.869999999999997</v>
      </c>
      <c r="M17" s="5">
        <v>2</v>
      </c>
      <c r="N17" s="5">
        <v>2.8639999999999999</v>
      </c>
      <c r="O17" s="5">
        <v>0.32962999999999998</v>
      </c>
      <c r="P17" s="5">
        <v>0.34827999999999998</v>
      </c>
      <c r="Q17" s="5">
        <v>34.938000000000002</v>
      </c>
      <c r="R17" s="5">
        <v>3</v>
      </c>
      <c r="S17" s="5">
        <v>2.8740000000000001</v>
      </c>
      <c r="T17" s="5">
        <v>0.30698999999999999</v>
      </c>
      <c r="U17" s="5">
        <v>0.32218999999999998</v>
      </c>
      <c r="V17" s="5">
        <v>33.703000000000003</v>
      </c>
      <c r="W17" s="22">
        <f t="shared" si="1"/>
        <v>7.8000000000022496E-4</v>
      </c>
      <c r="X17" s="21">
        <f t="shared" si="2"/>
        <v>-4.7799999999997844E-4</v>
      </c>
      <c r="Y17" s="21">
        <f t="shared" si="3"/>
        <v>1.0869999999999491E-3</v>
      </c>
      <c r="Z17" s="11">
        <f t="shared" si="4"/>
        <v>1.4762699952860503E-2</v>
      </c>
      <c r="AA17" s="22">
        <f t="shared" si="5"/>
        <v>1.0069999999999801E-2</v>
      </c>
      <c r="AB17" s="21">
        <f t="shared" si="6"/>
        <v>-9.358000000000033E-3</v>
      </c>
      <c r="AC17" s="21">
        <f t="shared" si="7"/>
        <v>-4.2910000000000448E-3</v>
      </c>
      <c r="AD17" s="11">
        <f t="shared" si="8"/>
        <v>1.3877069049032187E-2</v>
      </c>
      <c r="AE17" s="22">
        <f t="shared" si="9"/>
        <v>-7.5599999999997891E-3</v>
      </c>
      <c r="AF17" s="21">
        <f t="shared" si="10"/>
        <v>-3.3996999999999999E-2</v>
      </c>
      <c r="AG17" s="21">
        <f t="shared" si="11"/>
        <v>-3.2191999999999998E-2</v>
      </c>
      <c r="AH17" s="11">
        <f t="shared" si="12"/>
        <v>-2.3735654929784689E-2</v>
      </c>
      <c r="AI17">
        <v>2.5000000000000001E-2</v>
      </c>
      <c r="AJ17">
        <v>-2.5000000000000001E-2</v>
      </c>
      <c r="AK17">
        <v>1.5E-3</v>
      </c>
      <c r="AL17">
        <v>-1.5E-3</v>
      </c>
      <c r="AM17">
        <v>1.5E-3</v>
      </c>
      <c r="AN17">
        <v>-1.5E-3</v>
      </c>
      <c r="AO17" s="16">
        <v>2.5000000000000001E-2</v>
      </c>
      <c r="AP17" s="16">
        <v>-2.5000000000000001E-2</v>
      </c>
      <c r="AQ17">
        <v>1.4999999999999999E-2</v>
      </c>
      <c r="AR17">
        <v>-1.4999999999999999E-2</v>
      </c>
      <c r="AS17">
        <v>1E-3</v>
      </c>
      <c r="AT17">
        <v>-1E-3</v>
      </c>
      <c r="AU17">
        <v>1E-3</v>
      </c>
      <c r="AV17">
        <v>-1E-3</v>
      </c>
      <c r="AW17" s="16">
        <v>1.4999999999999999E-2</v>
      </c>
      <c r="AX17" s="16">
        <v>-1.4999999999999999E-2</v>
      </c>
    </row>
    <row r="18" spans="1:279" customFormat="1">
      <c r="A18" s="2">
        <v>13</v>
      </c>
      <c r="B18" s="2">
        <v>2.8901699999999999</v>
      </c>
      <c r="C18" s="2">
        <v>0.33147100000000002</v>
      </c>
      <c r="D18" s="2">
        <v>0.34966000000000003</v>
      </c>
      <c r="E18" s="2">
        <v>34.704221109999999</v>
      </c>
      <c r="F18" s="17" t="str">
        <f t="shared" si="0"/>
        <v/>
      </c>
      <c r="G18" s="9"/>
      <c r="H18" s="25">
        <v>1</v>
      </c>
      <c r="I18" s="5"/>
      <c r="J18" s="5"/>
      <c r="K18" s="5"/>
      <c r="L18" s="5"/>
      <c r="M18" s="5">
        <v>2</v>
      </c>
      <c r="N18" s="5"/>
      <c r="O18" s="5"/>
      <c r="P18" s="5"/>
      <c r="Q18" s="5"/>
      <c r="R18" s="5">
        <v>3</v>
      </c>
      <c r="S18" s="5"/>
      <c r="T18" s="5"/>
      <c r="U18" s="5"/>
      <c r="V18" s="5"/>
      <c r="W18" s="22">
        <f t="shared" si="1"/>
        <v>-2.8822199999999998</v>
      </c>
      <c r="X18" s="21">
        <f t="shared" si="2"/>
        <v>-0.34196799999999999</v>
      </c>
      <c r="Y18" s="21">
        <f t="shared" si="3"/>
        <v>-0.35418300000000003</v>
      </c>
      <c r="Z18" s="11">
        <f t="shared" si="4"/>
        <v>-1</v>
      </c>
      <c r="AA18" s="22">
        <f t="shared" si="5"/>
        <v>-2.8539300000000001</v>
      </c>
      <c r="AB18" s="21">
        <f t="shared" si="6"/>
        <v>-0.33898800000000001</v>
      </c>
      <c r="AC18" s="21">
        <f t="shared" si="7"/>
        <v>-0.35257100000000002</v>
      </c>
      <c r="AD18" s="11">
        <f t="shared" si="8"/>
        <v>-1</v>
      </c>
      <c r="AE18" s="22">
        <f t="shared" si="9"/>
        <v>-2.8815599999999999</v>
      </c>
      <c r="AF18" s="21">
        <f t="shared" si="10"/>
        <v>-0.34098699999999998</v>
      </c>
      <c r="AG18" s="21">
        <f t="shared" si="11"/>
        <v>-0.35438199999999997</v>
      </c>
      <c r="AH18" s="11">
        <f t="shared" si="12"/>
        <v>-1</v>
      </c>
      <c r="AI18">
        <v>2.5000000000000001E-2</v>
      </c>
      <c r="AJ18">
        <v>-2.5000000000000001E-2</v>
      </c>
      <c r="AK18">
        <v>1.5E-3</v>
      </c>
      <c r="AL18">
        <v>-1.5E-3</v>
      </c>
      <c r="AM18">
        <v>1.5E-3</v>
      </c>
      <c r="AN18">
        <v>-1.5E-3</v>
      </c>
      <c r="AO18" s="16">
        <v>2.5000000000000001E-2</v>
      </c>
      <c r="AP18" s="16">
        <v>-2.5000000000000001E-2</v>
      </c>
      <c r="AQ18">
        <v>1.4999999999999999E-2</v>
      </c>
      <c r="AR18">
        <v>-1.4999999999999999E-2</v>
      </c>
      <c r="AS18">
        <v>1E-3</v>
      </c>
      <c r="AT18">
        <v>-1E-3</v>
      </c>
      <c r="AU18">
        <v>1E-3</v>
      </c>
      <c r="AV18">
        <v>-1E-3</v>
      </c>
      <c r="AW18" s="16">
        <v>1.4999999999999999E-2</v>
      </c>
      <c r="AX18" s="16">
        <v>-1.4999999999999999E-2</v>
      </c>
      <c r="JQ18">
        <v>24.187306501547987</v>
      </c>
      <c r="JR18">
        <v>27.64263600176913</v>
      </c>
      <c r="JS18">
        <v>24.187306501547987</v>
      </c>
    </row>
    <row r="19" spans="1:279" customFormat="1">
      <c r="A19" s="2">
        <v>14</v>
      </c>
      <c r="B19" s="2">
        <v>2.87039</v>
      </c>
      <c r="C19" s="2">
        <v>0.328121</v>
      </c>
      <c r="D19" s="2">
        <v>0.34698099999999998</v>
      </c>
      <c r="E19" s="2">
        <v>34.588743719999997</v>
      </c>
      <c r="F19" s="17" t="str">
        <f t="shared" si="0"/>
        <v/>
      </c>
      <c r="G19" s="9"/>
      <c r="H19" s="25">
        <v>1</v>
      </c>
      <c r="I19" s="5"/>
      <c r="J19" s="5"/>
      <c r="K19" s="5"/>
      <c r="L19" s="5"/>
      <c r="M19" s="5">
        <v>2</v>
      </c>
      <c r="N19" s="5"/>
      <c r="O19" s="5"/>
      <c r="P19" s="5"/>
      <c r="Q19" s="5"/>
      <c r="R19" s="5">
        <v>3</v>
      </c>
      <c r="S19" s="5"/>
      <c r="T19" s="5"/>
      <c r="U19" s="5"/>
      <c r="V19" s="5"/>
      <c r="W19" s="22">
        <f t="shared" si="1"/>
        <v>-2.8822199999999998</v>
      </c>
      <c r="X19" s="21">
        <f t="shared" si="2"/>
        <v>-0.34196799999999999</v>
      </c>
      <c r="Y19" s="21">
        <f t="shared" si="3"/>
        <v>-0.35418300000000003</v>
      </c>
      <c r="Z19" s="11">
        <f t="shared" si="4"/>
        <v>-1</v>
      </c>
      <c r="AA19" s="22">
        <f t="shared" si="5"/>
        <v>-2.8539300000000001</v>
      </c>
      <c r="AB19" s="21">
        <f t="shared" si="6"/>
        <v>-0.33898800000000001</v>
      </c>
      <c r="AC19" s="21">
        <f t="shared" si="7"/>
        <v>-0.35257100000000002</v>
      </c>
      <c r="AD19" s="11">
        <f t="shared" si="8"/>
        <v>-1</v>
      </c>
      <c r="AE19" s="22">
        <f t="shared" si="9"/>
        <v>-2.8815599999999999</v>
      </c>
      <c r="AF19" s="21">
        <f t="shared" si="10"/>
        <v>-0.34098699999999998</v>
      </c>
      <c r="AG19" s="21">
        <f t="shared" si="11"/>
        <v>-0.35438199999999997</v>
      </c>
      <c r="AH19" s="11">
        <f t="shared" si="12"/>
        <v>-1</v>
      </c>
      <c r="AI19">
        <v>2.5000000000000001E-2</v>
      </c>
      <c r="AJ19">
        <v>-2.5000000000000001E-2</v>
      </c>
      <c r="AK19">
        <v>1.5E-3</v>
      </c>
      <c r="AL19">
        <v>-1.5E-3</v>
      </c>
      <c r="AM19">
        <v>1.5E-3</v>
      </c>
      <c r="AN19">
        <v>-1.5E-3</v>
      </c>
      <c r="AO19" s="16">
        <v>2.5000000000000001E-2</v>
      </c>
      <c r="AP19" s="16">
        <v>-2.5000000000000001E-2</v>
      </c>
      <c r="AQ19">
        <v>1.4999999999999999E-2</v>
      </c>
      <c r="AR19">
        <v>-1.4999999999999999E-2</v>
      </c>
      <c r="AS19">
        <v>1E-3</v>
      </c>
      <c r="AT19">
        <v>-1E-3</v>
      </c>
      <c r="AU19">
        <v>1E-3</v>
      </c>
      <c r="AV19">
        <v>-1E-3</v>
      </c>
      <c r="AW19" s="16">
        <v>1.4999999999999999E-2</v>
      </c>
      <c r="AX19" s="16">
        <v>-1.4999999999999999E-2</v>
      </c>
    </row>
    <row r="20" spans="1:279" customFormat="1">
      <c r="A20" s="2">
        <v>15</v>
      </c>
      <c r="B20" s="2">
        <v>2.8761700000000001</v>
      </c>
      <c r="C20" s="2">
        <v>0.33020100000000002</v>
      </c>
      <c r="D20" s="2">
        <v>0.34820499999999999</v>
      </c>
      <c r="E20" s="2">
        <v>34.786030150000002</v>
      </c>
      <c r="F20" s="17" t="str">
        <f t="shared" si="0"/>
        <v/>
      </c>
      <c r="G20" s="9"/>
      <c r="H20" s="25">
        <v>1</v>
      </c>
      <c r="I20" s="5"/>
      <c r="J20" s="5"/>
      <c r="K20" s="5"/>
      <c r="L20" s="5"/>
      <c r="M20" s="5">
        <v>2</v>
      </c>
      <c r="N20" s="5"/>
      <c r="O20" s="5"/>
      <c r="P20" s="5"/>
      <c r="Q20" s="5"/>
      <c r="R20" s="5">
        <v>3</v>
      </c>
      <c r="S20" s="5"/>
      <c r="T20" s="5"/>
      <c r="U20" s="5"/>
      <c r="V20" s="5"/>
      <c r="W20" s="22">
        <f t="shared" si="1"/>
        <v>-2.8822199999999998</v>
      </c>
      <c r="X20" s="21">
        <f t="shared" si="2"/>
        <v>-0.34196799999999999</v>
      </c>
      <c r="Y20" s="21">
        <f t="shared" si="3"/>
        <v>-0.35418300000000003</v>
      </c>
      <c r="Z20" s="11">
        <f t="shared" si="4"/>
        <v>-1</v>
      </c>
      <c r="AA20" s="22">
        <f t="shared" si="5"/>
        <v>-2.8539300000000001</v>
      </c>
      <c r="AB20" s="21">
        <f t="shared" si="6"/>
        <v>-0.33898800000000001</v>
      </c>
      <c r="AC20" s="21">
        <f t="shared" si="7"/>
        <v>-0.35257100000000002</v>
      </c>
      <c r="AD20" s="11">
        <f t="shared" si="8"/>
        <v>-1</v>
      </c>
      <c r="AE20" s="22">
        <f t="shared" si="9"/>
        <v>-2.8815599999999999</v>
      </c>
      <c r="AF20" s="21">
        <f t="shared" si="10"/>
        <v>-0.34098699999999998</v>
      </c>
      <c r="AG20" s="21">
        <f t="shared" si="11"/>
        <v>-0.35438199999999997</v>
      </c>
      <c r="AH20" s="11">
        <f t="shared" si="12"/>
        <v>-1</v>
      </c>
      <c r="AI20">
        <v>2.5000000000000001E-2</v>
      </c>
      <c r="AJ20">
        <v>-2.5000000000000001E-2</v>
      </c>
      <c r="AK20">
        <v>1.5E-3</v>
      </c>
      <c r="AL20">
        <v>-1.5E-3</v>
      </c>
      <c r="AM20">
        <v>1.5E-3</v>
      </c>
      <c r="AN20">
        <v>-1.5E-3</v>
      </c>
      <c r="AO20" s="16">
        <v>2.5000000000000001E-2</v>
      </c>
      <c r="AP20" s="16">
        <v>-2.5000000000000001E-2</v>
      </c>
      <c r="AQ20">
        <v>1.4999999999999999E-2</v>
      </c>
      <c r="AR20">
        <v>-1.4999999999999999E-2</v>
      </c>
      <c r="AS20">
        <v>1E-3</v>
      </c>
      <c r="AT20">
        <v>-1E-3</v>
      </c>
      <c r="AU20">
        <v>1E-3</v>
      </c>
      <c r="AV20">
        <v>-1E-3</v>
      </c>
      <c r="AW20" s="16">
        <v>1.4999999999999999E-2</v>
      </c>
      <c r="AX20" s="16">
        <v>-1.4999999999999999E-2</v>
      </c>
      <c r="JP20">
        <v>27.64263600176913</v>
      </c>
      <c r="JQ20">
        <v>26.386152547143258</v>
      </c>
    </row>
    <row r="21" spans="1:279" customFormat="1">
      <c r="A21" s="2">
        <v>16</v>
      </c>
      <c r="B21" s="2">
        <v>2.8841100000000002</v>
      </c>
      <c r="C21" s="2">
        <v>0.40146999999999999</v>
      </c>
      <c r="D21" s="2">
        <v>0.38691700000000001</v>
      </c>
      <c r="E21" s="2">
        <v>32.670452259999998</v>
      </c>
      <c r="F21" s="17" t="str">
        <f t="shared" si="0"/>
        <v/>
      </c>
      <c r="G21" s="9"/>
      <c r="H21" s="25">
        <v>1</v>
      </c>
      <c r="I21" s="5"/>
      <c r="J21" s="5"/>
      <c r="K21" s="5"/>
      <c r="L21" s="5"/>
      <c r="M21" s="5">
        <v>2</v>
      </c>
      <c r="N21" s="5"/>
      <c r="O21" s="5"/>
      <c r="P21" s="5"/>
      <c r="Q21" s="5"/>
      <c r="R21" s="5">
        <v>3</v>
      </c>
      <c r="S21" s="5"/>
      <c r="T21" s="5"/>
      <c r="U21" s="5"/>
      <c r="V21" s="5"/>
      <c r="W21" s="22">
        <f t="shared" si="1"/>
        <v>-2.8822199999999998</v>
      </c>
      <c r="X21" s="21">
        <f t="shared" si="2"/>
        <v>-0.34196799999999999</v>
      </c>
      <c r="Y21" s="21">
        <f t="shared" si="3"/>
        <v>-0.35418300000000003</v>
      </c>
      <c r="Z21" s="11">
        <f t="shared" si="4"/>
        <v>-1</v>
      </c>
      <c r="AA21" s="22">
        <f t="shared" si="5"/>
        <v>-2.8539300000000001</v>
      </c>
      <c r="AB21" s="21">
        <f t="shared" si="6"/>
        <v>-0.33898800000000001</v>
      </c>
      <c r="AC21" s="21">
        <f t="shared" si="7"/>
        <v>-0.35257100000000002</v>
      </c>
      <c r="AD21" s="11">
        <f t="shared" si="8"/>
        <v>-1</v>
      </c>
      <c r="AE21" s="22">
        <f t="shared" si="9"/>
        <v>-2.8815599999999999</v>
      </c>
      <c r="AF21" s="21">
        <f t="shared" si="10"/>
        <v>-0.34098699999999998</v>
      </c>
      <c r="AG21" s="21">
        <f t="shared" si="11"/>
        <v>-0.35438199999999997</v>
      </c>
      <c r="AH21" s="11">
        <f t="shared" si="12"/>
        <v>-1</v>
      </c>
      <c r="AI21">
        <v>2.5000000000000001E-2</v>
      </c>
      <c r="AJ21">
        <v>-2.5000000000000001E-2</v>
      </c>
      <c r="AK21">
        <v>1.5E-3</v>
      </c>
      <c r="AL21">
        <v>-1.5E-3</v>
      </c>
      <c r="AM21">
        <v>1.5E-3</v>
      </c>
      <c r="AN21">
        <v>-1.5E-3</v>
      </c>
      <c r="AO21" s="16">
        <v>2.5000000000000001E-2</v>
      </c>
      <c r="AP21" s="16">
        <v>-2.5000000000000001E-2</v>
      </c>
      <c r="AQ21">
        <v>1.4999999999999999E-2</v>
      </c>
      <c r="AR21">
        <v>-1.4999999999999999E-2</v>
      </c>
      <c r="AS21">
        <v>1E-3</v>
      </c>
      <c r="AT21">
        <v>-1E-3</v>
      </c>
      <c r="AU21">
        <v>1E-3</v>
      </c>
      <c r="AV21">
        <v>-1E-3</v>
      </c>
      <c r="AW21" s="16">
        <v>1.4999999999999999E-2</v>
      </c>
      <c r="AX21" s="16">
        <v>-1.4999999999999999E-2</v>
      </c>
      <c r="JP21">
        <v>28.935185185185187</v>
      </c>
      <c r="JQ21">
        <v>28.935185185185187</v>
      </c>
    </row>
    <row r="22" spans="1:279" customFormat="1">
      <c r="A22" s="2">
        <v>17</v>
      </c>
      <c r="B22" s="2">
        <v>2.8973599999999999</v>
      </c>
      <c r="C22" s="2">
        <v>0.401557</v>
      </c>
      <c r="D22" s="2">
        <v>0.38736300000000001</v>
      </c>
      <c r="E22" s="2">
        <v>32.715778890000003</v>
      </c>
      <c r="F22" s="17" t="str">
        <f t="shared" si="0"/>
        <v/>
      </c>
      <c r="G22" s="9"/>
      <c r="H22" s="25">
        <v>1</v>
      </c>
      <c r="I22" s="5"/>
      <c r="J22" s="5"/>
      <c r="K22" s="5"/>
      <c r="L22" s="5"/>
      <c r="M22" s="5">
        <v>2</v>
      </c>
      <c r="N22" s="5"/>
      <c r="O22" s="5"/>
      <c r="P22" s="5"/>
      <c r="Q22" s="5"/>
      <c r="R22" s="5">
        <v>3</v>
      </c>
      <c r="S22" s="5"/>
      <c r="T22" s="5"/>
      <c r="U22" s="5"/>
      <c r="V22" s="5"/>
      <c r="W22" s="22">
        <f t="shared" si="1"/>
        <v>-2.8822199999999998</v>
      </c>
      <c r="X22" s="21">
        <f t="shared" si="2"/>
        <v>-0.34196799999999999</v>
      </c>
      <c r="Y22" s="21">
        <f t="shared" si="3"/>
        <v>-0.35418300000000003</v>
      </c>
      <c r="Z22" s="11">
        <f t="shared" si="4"/>
        <v>-1</v>
      </c>
      <c r="AA22" s="22">
        <f t="shared" si="5"/>
        <v>-2.8539300000000001</v>
      </c>
      <c r="AB22" s="21">
        <f t="shared" si="6"/>
        <v>-0.33898800000000001</v>
      </c>
      <c r="AC22" s="21">
        <f t="shared" si="7"/>
        <v>-0.35257100000000002</v>
      </c>
      <c r="AD22" s="11">
        <f t="shared" si="8"/>
        <v>-1</v>
      </c>
      <c r="AE22" s="22">
        <f t="shared" si="9"/>
        <v>-2.8815599999999999</v>
      </c>
      <c r="AF22" s="21">
        <f t="shared" si="10"/>
        <v>-0.34098699999999998</v>
      </c>
      <c r="AG22" s="21">
        <f t="shared" si="11"/>
        <v>-0.35438199999999997</v>
      </c>
      <c r="AH22" s="11">
        <f t="shared" si="12"/>
        <v>-1</v>
      </c>
      <c r="AI22">
        <v>2.5000000000000001E-2</v>
      </c>
      <c r="AJ22">
        <v>-2.5000000000000001E-2</v>
      </c>
      <c r="AK22">
        <v>1.5E-3</v>
      </c>
      <c r="AL22">
        <v>-1.5E-3</v>
      </c>
      <c r="AM22">
        <v>1.5E-3</v>
      </c>
      <c r="AN22">
        <v>-1.5E-3</v>
      </c>
      <c r="AO22" s="16">
        <v>2.5000000000000001E-2</v>
      </c>
      <c r="AP22" s="16">
        <v>-2.5000000000000001E-2</v>
      </c>
      <c r="AQ22">
        <v>1.4999999999999999E-2</v>
      </c>
      <c r="AR22">
        <v>-1.4999999999999999E-2</v>
      </c>
      <c r="AS22">
        <v>1E-3</v>
      </c>
      <c r="AT22">
        <v>-1E-3</v>
      </c>
      <c r="AU22">
        <v>1E-3</v>
      </c>
      <c r="AV22">
        <v>-1E-3</v>
      </c>
      <c r="AW22" s="16">
        <v>1.4999999999999999E-2</v>
      </c>
      <c r="AX22" s="16">
        <v>-1.4999999999999999E-2</v>
      </c>
    </row>
    <row r="23" spans="1:279" customFormat="1">
      <c r="A23" s="2">
        <v>18</v>
      </c>
      <c r="B23" s="2">
        <v>2.8767299999999998</v>
      </c>
      <c r="C23" s="2">
        <v>0.40081499999999998</v>
      </c>
      <c r="D23" s="2">
        <v>0.387266</v>
      </c>
      <c r="E23" s="2">
        <v>32.68472362</v>
      </c>
      <c r="F23" s="17" t="str">
        <f t="shared" si="0"/>
        <v/>
      </c>
      <c r="G23" s="9"/>
      <c r="H23" s="25">
        <v>1</v>
      </c>
      <c r="I23" s="5"/>
      <c r="J23" s="5"/>
      <c r="K23" s="5"/>
      <c r="L23" s="5"/>
      <c r="M23" s="5">
        <v>2</v>
      </c>
      <c r="N23" s="5"/>
      <c r="O23" s="5"/>
      <c r="P23" s="5"/>
      <c r="Q23" s="5"/>
      <c r="R23" s="5">
        <v>3</v>
      </c>
      <c r="S23" s="5"/>
      <c r="T23" s="5"/>
      <c r="U23" s="5"/>
      <c r="V23" s="5"/>
      <c r="W23" s="22">
        <f t="shared" si="1"/>
        <v>-2.8822199999999998</v>
      </c>
      <c r="X23" s="21">
        <f t="shared" si="2"/>
        <v>-0.34196799999999999</v>
      </c>
      <c r="Y23" s="21">
        <f t="shared" si="3"/>
        <v>-0.35418300000000003</v>
      </c>
      <c r="Z23" s="11">
        <f t="shared" si="4"/>
        <v>-1</v>
      </c>
      <c r="AA23" s="22">
        <f t="shared" si="5"/>
        <v>-2.8539300000000001</v>
      </c>
      <c r="AB23" s="21">
        <f t="shared" si="6"/>
        <v>-0.33898800000000001</v>
      </c>
      <c r="AC23" s="21">
        <f t="shared" si="7"/>
        <v>-0.35257100000000002</v>
      </c>
      <c r="AD23" s="11">
        <f t="shared" si="8"/>
        <v>-1</v>
      </c>
      <c r="AE23" s="22">
        <f t="shared" si="9"/>
        <v>-2.8815599999999999</v>
      </c>
      <c r="AF23" s="21">
        <f t="shared" si="10"/>
        <v>-0.34098699999999998</v>
      </c>
      <c r="AG23" s="21">
        <f t="shared" si="11"/>
        <v>-0.35438199999999997</v>
      </c>
      <c r="AH23" s="11">
        <f t="shared" si="12"/>
        <v>-1</v>
      </c>
      <c r="AI23">
        <v>2.5000000000000001E-2</v>
      </c>
      <c r="AJ23">
        <v>-2.5000000000000001E-2</v>
      </c>
      <c r="AK23">
        <v>1.5E-3</v>
      </c>
      <c r="AL23">
        <v>-1.5E-3</v>
      </c>
      <c r="AM23">
        <v>1.5E-3</v>
      </c>
      <c r="AN23">
        <v>-1.5E-3</v>
      </c>
      <c r="AO23" s="16">
        <v>2.5000000000000001E-2</v>
      </c>
      <c r="AP23" s="16">
        <v>-2.5000000000000001E-2</v>
      </c>
      <c r="AQ23">
        <v>1.4999999999999999E-2</v>
      </c>
      <c r="AR23">
        <v>-1.4999999999999999E-2</v>
      </c>
      <c r="AS23">
        <v>1E-3</v>
      </c>
      <c r="AT23">
        <v>-1E-3</v>
      </c>
      <c r="AU23">
        <v>1E-3</v>
      </c>
      <c r="AV23">
        <v>-1E-3</v>
      </c>
      <c r="AW23" s="16">
        <v>1.4999999999999999E-2</v>
      </c>
      <c r="AX23" s="16">
        <v>-1.4999999999999999E-2</v>
      </c>
    </row>
    <row r="24" spans="1:279" customFormat="1">
      <c r="A24" s="2">
        <v>19</v>
      </c>
      <c r="B24" s="2">
        <v>2.8753099999999998</v>
      </c>
      <c r="C24" s="2">
        <v>0.40210099999999999</v>
      </c>
      <c r="D24" s="2">
        <v>0.387631</v>
      </c>
      <c r="E24" s="2">
        <v>32.616180900000003</v>
      </c>
      <c r="F24" s="17" t="str">
        <f t="shared" si="0"/>
        <v/>
      </c>
      <c r="G24" s="9"/>
      <c r="H24" s="25">
        <v>1</v>
      </c>
      <c r="I24" s="5"/>
      <c r="J24" s="5"/>
      <c r="K24" s="5"/>
      <c r="L24" s="5"/>
      <c r="M24" s="5">
        <v>2</v>
      </c>
      <c r="N24" s="5"/>
      <c r="O24" s="5"/>
      <c r="P24" s="5"/>
      <c r="Q24" s="5"/>
      <c r="R24" s="5">
        <v>3</v>
      </c>
      <c r="S24" s="5"/>
      <c r="T24" s="5"/>
      <c r="U24" s="5"/>
      <c r="V24" s="5"/>
      <c r="W24" s="22">
        <f t="shared" si="1"/>
        <v>-2.8822199999999998</v>
      </c>
      <c r="X24" s="21">
        <f t="shared" si="2"/>
        <v>-0.34196799999999999</v>
      </c>
      <c r="Y24" s="21">
        <f t="shared" si="3"/>
        <v>-0.35418300000000003</v>
      </c>
      <c r="Z24" s="11">
        <f t="shared" si="4"/>
        <v>-1</v>
      </c>
      <c r="AA24" s="22">
        <f t="shared" si="5"/>
        <v>-2.8539300000000001</v>
      </c>
      <c r="AB24" s="21">
        <f t="shared" si="6"/>
        <v>-0.33898800000000001</v>
      </c>
      <c r="AC24" s="21">
        <f t="shared" si="7"/>
        <v>-0.35257100000000002</v>
      </c>
      <c r="AD24" s="11">
        <f t="shared" si="8"/>
        <v>-1</v>
      </c>
      <c r="AE24" s="22">
        <f t="shared" si="9"/>
        <v>-2.8815599999999999</v>
      </c>
      <c r="AF24" s="21">
        <f t="shared" si="10"/>
        <v>-0.34098699999999998</v>
      </c>
      <c r="AG24" s="21">
        <f t="shared" si="11"/>
        <v>-0.35438199999999997</v>
      </c>
      <c r="AH24" s="11">
        <f t="shared" si="12"/>
        <v>-1</v>
      </c>
      <c r="AI24">
        <v>2.5000000000000001E-2</v>
      </c>
      <c r="AJ24">
        <v>-2.5000000000000001E-2</v>
      </c>
      <c r="AK24">
        <v>1.5E-3</v>
      </c>
      <c r="AL24">
        <v>-1.5E-3</v>
      </c>
      <c r="AM24">
        <v>1.5E-3</v>
      </c>
      <c r="AN24">
        <v>-1.5E-3</v>
      </c>
      <c r="AO24" s="16">
        <v>2.5000000000000001E-2</v>
      </c>
      <c r="AP24" s="16">
        <v>-2.5000000000000001E-2</v>
      </c>
      <c r="AQ24">
        <v>1.4999999999999999E-2</v>
      </c>
      <c r="AR24">
        <v>-1.4999999999999999E-2</v>
      </c>
      <c r="AS24">
        <v>1E-3</v>
      </c>
      <c r="AT24">
        <v>-1E-3</v>
      </c>
      <c r="AU24">
        <v>1E-3</v>
      </c>
      <c r="AV24">
        <v>-1E-3</v>
      </c>
      <c r="AW24" s="16">
        <v>1.4999999999999999E-2</v>
      </c>
      <c r="AX24" s="16">
        <v>-1.4999999999999999E-2</v>
      </c>
    </row>
    <row r="25" spans="1:279" customFormat="1">
      <c r="A25" s="2">
        <v>20</v>
      </c>
      <c r="B25" s="2">
        <v>2.8965100000000001</v>
      </c>
      <c r="C25" s="2">
        <v>0.40079799999999999</v>
      </c>
      <c r="D25" s="2">
        <v>0.388096</v>
      </c>
      <c r="E25" s="2">
        <v>32.696180900000002</v>
      </c>
      <c r="F25" s="17" t="str">
        <f t="shared" si="0"/>
        <v/>
      </c>
      <c r="G25" s="9"/>
      <c r="H25" s="25">
        <v>1</v>
      </c>
      <c r="I25" s="5"/>
      <c r="J25" s="5"/>
      <c r="K25" s="5"/>
      <c r="L25" s="5"/>
      <c r="M25" s="5">
        <v>2</v>
      </c>
      <c r="N25" s="5"/>
      <c r="O25" s="5"/>
      <c r="P25" s="5"/>
      <c r="Q25" s="5"/>
      <c r="R25" s="5">
        <v>3</v>
      </c>
      <c r="S25" s="5"/>
      <c r="T25" s="5"/>
      <c r="U25" s="5"/>
      <c r="V25" s="5"/>
      <c r="W25" s="22">
        <f t="shared" si="1"/>
        <v>-2.8822199999999998</v>
      </c>
      <c r="X25" s="21">
        <f t="shared" si="2"/>
        <v>-0.34196799999999999</v>
      </c>
      <c r="Y25" s="21">
        <f t="shared" si="3"/>
        <v>-0.35418300000000003</v>
      </c>
      <c r="Z25" s="11">
        <f t="shared" si="4"/>
        <v>-1</v>
      </c>
      <c r="AA25" s="22">
        <f t="shared" si="5"/>
        <v>-2.8539300000000001</v>
      </c>
      <c r="AB25" s="21">
        <f t="shared" si="6"/>
        <v>-0.33898800000000001</v>
      </c>
      <c r="AC25" s="21">
        <f t="shared" si="7"/>
        <v>-0.35257100000000002</v>
      </c>
      <c r="AD25" s="11">
        <f t="shared" si="8"/>
        <v>-1</v>
      </c>
      <c r="AE25" s="22">
        <f t="shared" si="9"/>
        <v>-2.8815599999999999</v>
      </c>
      <c r="AF25" s="21">
        <f t="shared" si="10"/>
        <v>-0.34098699999999998</v>
      </c>
      <c r="AG25" s="21">
        <f t="shared" si="11"/>
        <v>-0.35438199999999997</v>
      </c>
      <c r="AH25" s="11">
        <f t="shared" si="12"/>
        <v>-1</v>
      </c>
      <c r="AI25">
        <v>2.5000000000000001E-2</v>
      </c>
      <c r="AJ25">
        <v>-2.5000000000000001E-2</v>
      </c>
      <c r="AK25">
        <v>1.5E-3</v>
      </c>
      <c r="AL25">
        <v>-1.5E-3</v>
      </c>
      <c r="AM25">
        <v>1.5E-3</v>
      </c>
      <c r="AN25">
        <v>-1.5E-3</v>
      </c>
      <c r="AO25" s="16">
        <v>2.5000000000000001E-2</v>
      </c>
      <c r="AP25" s="16">
        <v>-2.5000000000000001E-2</v>
      </c>
      <c r="AQ25">
        <v>1.4999999999999999E-2</v>
      </c>
      <c r="AR25">
        <v>-1.4999999999999999E-2</v>
      </c>
      <c r="AS25">
        <v>1E-3</v>
      </c>
      <c r="AT25">
        <v>-1E-3</v>
      </c>
      <c r="AU25">
        <v>1E-3</v>
      </c>
      <c r="AV25">
        <v>-1E-3</v>
      </c>
      <c r="AW25" s="16">
        <v>1.4999999999999999E-2</v>
      </c>
      <c r="AX25" s="16">
        <v>-1.4999999999999999E-2</v>
      </c>
    </row>
    <row r="26" spans="1:279" customFormat="1">
      <c r="A26" s="2">
        <v>21</v>
      </c>
      <c r="B26" s="2">
        <v>2.8807100000000001</v>
      </c>
      <c r="C26" s="2">
        <v>0.30810100000000001</v>
      </c>
      <c r="D26" s="2">
        <v>0.32287300000000002</v>
      </c>
      <c r="E26" s="2">
        <v>33.598592959999998</v>
      </c>
      <c r="F26" s="17" t="str">
        <f t="shared" si="0"/>
        <v/>
      </c>
      <c r="G26" s="9"/>
      <c r="H26" s="25">
        <v>1</v>
      </c>
      <c r="I26" s="5"/>
      <c r="J26" s="5"/>
      <c r="K26" s="5"/>
      <c r="L26" s="5"/>
      <c r="M26" s="5">
        <v>2</v>
      </c>
      <c r="N26" s="5"/>
      <c r="O26" s="5"/>
      <c r="P26" s="5"/>
      <c r="Q26" s="5"/>
      <c r="R26" s="5">
        <v>3</v>
      </c>
      <c r="S26" s="5"/>
      <c r="T26" s="5"/>
      <c r="U26" s="5"/>
      <c r="V26" s="5"/>
      <c r="W26" s="22">
        <f t="shared" si="1"/>
        <v>-2.8822199999999998</v>
      </c>
      <c r="X26" s="21">
        <f t="shared" si="2"/>
        <v>-0.34196799999999999</v>
      </c>
      <c r="Y26" s="21">
        <f t="shared" si="3"/>
        <v>-0.35418300000000003</v>
      </c>
      <c r="Z26" s="11">
        <f t="shared" si="4"/>
        <v>-1</v>
      </c>
      <c r="AA26" s="22">
        <f t="shared" si="5"/>
        <v>-2.8539300000000001</v>
      </c>
      <c r="AB26" s="21">
        <f t="shared" si="6"/>
        <v>-0.33898800000000001</v>
      </c>
      <c r="AC26" s="21">
        <f t="shared" si="7"/>
        <v>-0.35257100000000002</v>
      </c>
      <c r="AD26" s="11">
        <f t="shared" si="8"/>
        <v>-1</v>
      </c>
      <c r="AE26" s="22">
        <f t="shared" si="9"/>
        <v>-2.8815599999999999</v>
      </c>
      <c r="AF26" s="21">
        <f t="shared" si="10"/>
        <v>-0.34098699999999998</v>
      </c>
      <c r="AG26" s="21">
        <f t="shared" si="11"/>
        <v>-0.35438199999999997</v>
      </c>
      <c r="AH26" s="11">
        <f t="shared" si="12"/>
        <v>-1</v>
      </c>
      <c r="AI26">
        <v>2.5000000000000001E-2</v>
      </c>
      <c r="AJ26">
        <v>-2.5000000000000001E-2</v>
      </c>
      <c r="AK26">
        <v>1.5E-3</v>
      </c>
      <c r="AL26">
        <v>-1.5E-3</v>
      </c>
      <c r="AM26">
        <v>1.5E-3</v>
      </c>
      <c r="AN26">
        <v>-1.5E-3</v>
      </c>
      <c r="AO26" s="16">
        <v>2.5000000000000001E-2</v>
      </c>
      <c r="AP26" s="16">
        <v>-2.5000000000000001E-2</v>
      </c>
      <c r="AQ26">
        <v>1.4999999999999999E-2</v>
      </c>
      <c r="AR26">
        <v>-1.4999999999999999E-2</v>
      </c>
      <c r="AS26">
        <v>1E-3</v>
      </c>
      <c r="AT26">
        <v>-1E-3</v>
      </c>
      <c r="AU26">
        <v>1E-3</v>
      </c>
      <c r="AV26">
        <v>-1E-3</v>
      </c>
      <c r="AW26" s="16">
        <v>1.4999999999999999E-2</v>
      </c>
      <c r="AX26" s="16">
        <v>-1.4999999999999999E-2</v>
      </c>
    </row>
    <row r="27" spans="1:279" customFormat="1">
      <c r="A27" s="2">
        <v>22</v>
      </c>
      <c r="B27" s="2">
        <v>2.8688799999999999</v>
      </c>
      <c r="C27" s="2">
        <v>0.30935299999999999</v>
      </c>
      <c r="D27" s="2">
        <v>0.32166800000000001</v>
      </c>
      <c r="E27" s="2">
        <v>33.103618089999998</v>
      </c>
      <c r="F27" s="17" t="str">
        <f t="shared" si="0"/>
        <v/>
      </c>
      <c r="G27" s="9"/>
      <c r="H27" s="25">
        <v>1</v>
      </c>
      <c r="I27" s="5"/>
      <c r="J27" s="5"/>
      <c r="K27" s="5"/>
      <c r="L27" s="5"/>
      <c r="M27" s="5">
        <v>2</v>
      </c>
      <c r="N27" s="5"/>
      <c r="O27" s="5"/>
      <c r="P27" s="5"/>
      <c r="Q27" s="5"/>
      <c r="R27" s="5">
        <v>3</v>
      </c>
      <c r="S27" s="5"/>
      <c r="T27" s="5"/>
      <c r="U27" s="5"/>
      <c r="V27" s="5"/>
      <c r="W27" s="22">
        <f t="shared" si="1"/>
        <v>-2.8822199999999998</v>
      </c>
      <c r="X27" s="21">
        <f t="shared" si="2"/>
        <v>-0.34196799999999999</v>
      </c>
      <c r="Y27" s="21">
        <f t="shared" si="3"/>
        <v>-0.35418300000000003</v>
      </c>
      <c r="Z27" s="11">
        <f t="shared" si="4"/>
        <v>-1</v>
      </c>
      <c r="AA27" s="22">
        <f t="shared" si="5"/>
        <v>-2.8539300000000001</v>
      </c>
      <c r="AB27" s="21">
        <f t="shared" si="6"/>
        <v>-0.33898800000000001</v>
      </c>
      <c r="AC27" s="21">
        <f t="shared" si="7"/>
        <v>-0.35257100000000002</v>
      </c>
      <c r="AD27" s="11">
        <f t="shared" si="8"/>
        <v>-1</v>
      </c>
      <c r="AE27" s="22">
        <f t="shared" si="9"/>
        <v>-2.8815599999999999</v>
      </c>
      <c r="AF27" s="21">
        <f t="shared" si="10"/>
        <v>-0.34098699999999998</v>
      </c>
      <c r="AG27" s="21">
        <f t="shared" si="11"/>
        <v>-0.35438199999999997</v>
      </c>
      <c r="AH27" s="11">
        <f t="shared" si="12"/>
        <v>-1</v>
      </c>
      <c r="AI27">
        <v>2.5000000000000001E-2</v>
      </c>
      <c r="AJ27">
        <v>-2.5000000000000001E-2</v>
      </c>
      <c r="AK27">
        <v>1.5E-3</v>
      </c>
      <c r="AL27">
        <v>-1.5E-3</v>
      </c>
      <c r="AM27">
        <v>1.5E-3</v>
      </c>
      <c r="AN27">
        <v>-1.5E-3</v>
      </c>
      <c r="AO27" s="16">
        <v>2.5000000000000001E-2</v>
      </c>
      <c r="AP27" s="16">
        <v>-2.5000000000000001E-2</v>
      </c>
      <c r="AQ27">
        <v>1.4999999999999999E-2</v>
      </c>
      <c r="AR27">
        <v>-1.4999999999999999E-2</v>
      </c>
      <c r="AS27">
        <v>1E-3</v>
      </c>
      <c r="AT27">
        <v>-1E-3</v>
      </c>
      <c r="AU27">
        <v>1E-3</v>
      </c>
      <c r="AV27">
        <v>-1E-3</v>
      </c>
      <c r="AW27" s="16">
        <v>1.4999999999999999E-2</v>
      </c>
      <c r="AX27" s="16">
        <v>-1.4999999999999999E-2</v>
      </c>
    </row>
    <row r="28" spans="1:279" customFormat="1">
      <c r="A28" s="2">
        <v>23</v>
      </c>
      <c r="B28" s="2">
        <v>2.8960400000000002</v>
      </c>
      <c r="C28" s="2">
        <v>0.308591</v>
      </c>
      <c r="D28" s="2">
        <v>0.32094299999999998</v>
      </c>
      <c r="E28" s="2">
        <v>33.145025130000001</v>
      </c>
      <c r="F28" s="17" t="str">
        <f t="shared" si="0"/>
        <v/>
      </c>
      <c r="G28" s="9"/>
      <c r="H28" s="25">
        <v>1</v>
      </c>
      <c r="I28" s="5"/>
      <c r="J28" s="5"/>
      <c r="K28" s="5"/>
      <c r="L28" s="5"/>
      <c r="M28" s="5">
        <v>2</v>
      </c>
      <c r="N28" s="5"/>
      <c r="O28" s="5"/>
      <c r="P28" s="5"/>
      <c r="Q28" s="5"/>
      <c r="R28" s="5">
        <v>3</v>
      </c>
      <c r="S28" s="5"/>
      <c r="T28" s="5"/>
      <c r="U28" s="5"/>
      <c r="V28" s="5"/>
      <c r="W28" s="22">
        <f t="shared" si="1"/>
        <v>-2.8822199999999998</v>
      </c>
      <c r="X28" s="21">
        <f t="shared" si="2"/>
        <v>-0.34196799999999999</v>
      </c>
      <c r="Y28" s="21">
        <f t="shared" si="3"/>
        <v>-0.35418300000000003</v>
      </c>
      <c r="Z28" s="11">
        <f t="shared" si="4"/>
        <v>-1</v>
      </c>
      <c r="AA28" s="22">
        <f t="shared" si="5"/>
        <v>-2.8539300000000001</v>
      </c>
      <c r="AB28" s="21">
        <f t="shared" si="6"/>
        <v>-0.33898800000000001</v>
      </c>
      <c r="AC28" s="21">
        <f t="shared" si="7"/>
        <v>-0.35257100000000002</v>
      </c>
      <c r="AD28" s="11">
        <f t="shared" si="8"/>
        <v>-1</v>
      </c>
      <c r="AE28" s="22">
        <f t="shared" si="9"/>
        <v>-2.8815599999999999</v>
      </c>
      <c r="AF28" s="21">
        <f t="shared" si="10"/>
        <v>-0.34098699999999998</v>
      </c>
      <c r="AG28" s="21">
        <f t="shared" si="11"/>
        <v>-0.35438199999999997</v>
      </c>
      <c r="AH28" s="11">
        <f t="shared" si="12"/>
        <v>-1</v>
      </c>
      <c r="AI28">
        <v>2.5000000000000001E-2</v>
      </c>
      <c r="AJ28">
        <v>-2.5000000000000001E-2</v>
      </c>
      <c r="AK28">
        <v>1.5E-3</v>
      </c>
      <c r="AL28">
        <v>-1.5E-3</v>
      </c>
      <c r="AM28">
        <v>1.5E-3</v>
      </c>
      <c r="AN28">
        <v>-1.5E-3</v>
      </c>
      <c r="AO28" s="16">
        <v>2.5000000000000001E-2</v>
      </c>
      <c r="AP28" s="16">
        <v>-2.5000000000000001E-2</v>
      </c>
      <c r="AQ28">
        <v>1.4999999999999999E-2</v>
      </c>
      <c r="AR28">
        <v>-1.4999999999999999E-2</v>
      </c>
      <c r="AS28">
        <v>1E-3</v>
      </c>
      <c r="AT28">
        <v>-1E-3</v>
      </c>
      <c r="AU28">
        <v>1E-3</v>
      </c>
      <c r="AV28">
        <v>-1E-3</v>
      </c>
      <c r="AW28" s="16">
        <v>1.4999999999999999E-2</v>
      </c>
      <c r="AX28" s="16">
        <v>-1.4999999999999999E-2</v>
      </c>
    </row>
    <row r="29" spans="1:279" customFormat="1">
      <c r="A29" s="2">
        <v>24</v>
      </c>
      <c r="B29" s="2">
        <v>2.8835500000000001</v>
      </c>
      <c r="C29" s="2">
        <v>0.31003700000000001</v>
      </c>
      <c r="D29" s="2">
        <v>0.32179600000000003</v>
      </c>
      <c r="E29" s="2">
        <v>33.257185929999999</v>
      </c>
      <c r="F29" s="17" t="str">
        <f t="shared" si="0"/>
        <v/>
      </c>
      <c r="G29" s="9"/>
      <c r="H29" s="25">
        <v>1</v>
      </c>
      <c r="I29" s="5"/>
      <c r="J29" s="5"/>
      <c r="K29" s="5"/>
      <c r="L29" s="5"/>
      <c r="M29" s="5">
        <v>2</v>
      </c>
      <c r="N29" s="5"/>
      <c r="O29" s="5"/>
      <c r="P29" s="5"/>
      <c r="Q29" s="5"/>
      <c r="R29" s="5">
        <v>3</v>
      </c>
      <c r="S29" s="5"/>
      <c r="T29" s="5"/>
      <c r="U29" s="5"/>
      <c r="V29" s="5"/>
      <c r="W29" s="22">
        <f t="shared" si="1"/>
        <v>-2.8822199999999998</v>
      </c>
      <c r="X29" s="21">
        <f t="shared" si="2"/>
        <v>-0.34196799999999999</v>
      </c>
      <c r="Y29" s="21">
        <f t="shared" si="3"/>
        <v>-0.35418300000000003</v>
      </c>
      <c r="Z29" s="11">
        <f t="shared" si="4"/>
        <v>-1</v>
      </c>
      <c r="AA29" s="22">
        <f t="shared" si="5"/>
        <v>-2.8539300000000001</v>
      </c>
      <c r="AB29" s="21">
        <f t="shared" si="6"/>
        <v>-0.33898800000000001</v>
      </c>
      <c r="AC29" s="21">
        <f t="shared" si="7"/>
        <v>-0.35257100000000002</v>
      </c>
      <c r="AD29" s="11">
        <f t="shared" si="8"/>
        <v>-1</v>
      </c>
      <c r="AE29" s="22">
        <f t="shared" si="9"/>
        <v>-2.8815599999999999</v>
      </c>
      <c r="AF29" s="21">
        <f t="shared" si="10"/>
        <v>-0.34098699999999998</v>
      </c>
      <c r="AG29" s="21">
        <f t="shared" si="11"/>
        <v>-0.35438199999999997</v>
      </c>
      <c r="AH29" s="11">
        <f t="shared" si="12"/>
        <v>-1</v>
      </c>
      <c r="AI29">
        <v>2.5000000000000001E-2</v>
      </c>
      <c r="AJ29">
        <v>-2.5000000000000001E-2</v>
      </c>
      <c r="AK29">
        <v>1.5E-3</v>
      </c>
      <c r="AL29">
        <v>-1.5E-3</v>
      </c>
      <c r="AM29">
        <v>1.5E-3</v>
      </c>
      <c r="AN29">
        <v>-1.5E-3</v>
      </c>
      <c r="AO29" s="16">
        <v>2.5000000000000001E-2</v>
      </c>
      <c r="AP29" s="16">
        <v>-2.5000000000000001E-2</v>
      </c>
      <c r="AQ29">
        <v>1.4999999999999999E-2</v>
      </c>
      <c r="AR29">
        <v>-1.4999999999999999E-2</v>
      </c>
      <c r="AS29">
        <v>1E-3</v>
      </c>
      <c r="AT29">
        <v>-1E-3</v>
      </c>
      <c r="AU29">
        <v>1E-3</v>
      </c>
      <c r="AV29">
        <v>-1E-3</v>
      </c>
      <c r="AW29" s="16">
        <v>1.4999999999999999E-2</v>
      </c>
      <c r="AX29" s="16">
        <v>-1.4999999999999999E-2</v>
      </c>
    </row>
    <row r="30" spans="1:279" customFormat="1">
      <c r="A30" s="2">
        <v>25</v>
      </c>
      <c r="B30" s="2">
        <v>2.86084</v>
      </c>
      <c r="C30" s="2">
        <v>0.307948</v>
      </c>
      <c r="D30" s="2">
        <v>0.32176199999999999</v>
      </c>
      <c r="E30" s="2">
        <v>33.228844219999999</v>
      </c>
      <c r="F30" s="17" t="str">
        <f t="shared" si="0"/>
        <v/>
      </c>
      <c r="G30" s="9"/>
      <c r="H30" s="25">
        <v>1</v>
      </c>
      <c r="I30" s="5"/>
      <c r="J30" s="5"/>
      <c r="K30" s="5"/>
      <c r="L30" s="5"/>
      <c r="M30" s="5">
        <v>2</v>
      </c>
      <c r="N30" s="5"/>
      <c r="O30" s="5"/>
      <c r="P30" s="5"/>
      <c r="Q30" s="5"/>
      <c r="R30" s="5">
        <v>3</v>
      </c>
      <c r="S30" s="5"/>
      <c r="T30" s="5"/>
      <c r="U30" s="5"/>
      <c r="V30" s="5"/>
      <c r="W30" s="22">
        <f t="shared" si="1"/>
        <v>-2.8822199999999998</v>
      </c>
      <c r="X30" s="21">
        <f t="shared" si="2"/>
        <v>-0.34196799999999999</v>
      </c>
      <c r="Y30" s="21">
        <f t="shared" si="3"/>
        <v>-0.35418300000000003</v>
      </c>
      <c r="Z30" s="11">
        <f t="shared" si="4"/>
        <v>-1</v>
      </c>
      <c r="AA30" s="22">
        <f t="shared" si="5"/>
        <v>-2.8539300000000001</v>
      </c>
      <c r="AB30" s="21">
        <f t="shared" si="6"/>
        <v>-0.33898800000000001</v>
      </c>
      <c r="AC30" s="21">
        <f t="shared" si="7"/>
        <v>-0.35257100000000002</v>
      </c>
      <c r="AD30" s="11">
        <f t="shared" si="8"/>
        <v>-1</v>
      </c>
      <c r="AE30" s="22">
        <f t="shared" si="9"/>
        <v>-2.8815599999999999</v>
      </c>
      <c r="AF30" s="21">
        <f t="shared" si="10"/>
        <v>-0.34098699999999998</v>
      </c>
      <c r="AG30" s="21">
        <f t="shared" si="11"/>
        <v>-0.35438199999999997</v>
      </c>
      <c r="AH30" s="11">
        <f t="shared" si="12"/>
        <v>-1</v>
      </c>
      <c r="AI30">
        <v>2.5000000000000001E-2</v>
      </c>
      <c r="AJ30">
        <v>-2.5000000000000001E-2</v>
      </c>
      <c r="AK30">
        <v>1.5E-3</v>
      </c>
      <c r="AL30">
        <v>-1.5E-3</v>
      </c>
      <c r="AM30">
        <v>1.5E-3</v>
      </c>
      <c r="AN30">
        <v>-1.5E-3</v>
      </c>
      <c r="AO30" s="16">
        <v>2.5000000000000001E-2</v>
      </c>
      <c r="AP30" s="16">
        <v>-2.5000000000000001E-2</v>
      </c>
      <c r="AQ30">
        <v>1.4999999999999999E-2</v>
      </c>
      <c r="AR30">
        <v>-1.4999999999999999E-2</v>
      </c>
      <c r="AS30">
        <v>1E-3</v>
      </c>
      <c r="AT30">
        <v>-1E-3</v>
      </c>
      <c r="AU30">
        <v>1E-3</v>
      </c>
      <c r="AV30">
        <v>-1E-3</v>
      </c>
      <c r="AW30" s="16">
        <v>1.4999999999999999E-2</v>
      </c>
      <c r="AX30" s="16">
        <v>-1.4999999999999999E-2</v>
      </c>
    </row>
    <row r="31" spans="1:279" customFormat="1">
      <c r="A31" s="2">
        <v>26</v>
      </c>
      <c r="B31" s="2">
        <v>2.89575</v>
      </c>
      <c r="C31" s="2">
        <v>0.389484</v>
      </c>
      <c r="D31" s="2">
        <v>0.38527499999999998</v>
      </c>
      <c r="E31" s="2">
        <v>32.913165829999997</v>
      </c>
      <c r="F31" s="17" t="str">
        <f t="shared" si="0"/>
        <v/>
      </c>
      <c r="G31" s="9"/>
      <c r="H31" s="25">
        <v>1</v>
      </c>
      <c r="I31" s="5"/>
      <c r="J31" s="5"/>
      <c r="K31" s="5"/>
      <c r="L31" s="5"/>
      <c r="M31" s="5">
        <v>2</v>
      </c>
      <c r="N31" s="5"/>
      <c r="O31" s="5"/>
      <c r="P31" s="5"/>
      <c r="Q31" s="5"/>
      <c r="R31" s="5">
        <v>3</v>
      </c>
      <c r="S31" s="5"/>
      <c r="T31" s="5"/>
      <c r="U31" s="5"/>
      <c r="V31" s="5"/>
      <c r="W31" s="22">
        <f t="shared" si="1"/>
        <v>-2.8822199999999998</v>
      </c>
      <c r="X31" s="21">
        <f t="shared" si="2"/>
        <v>-0.34196799999999999</v>
      </c>
      <c r="Y31" s="21">
        <f t="shared" si="3"/>
        <v>-0.35418300000000003</v>
      </c>
      <c r="Z31" s="11">
        <f t="shared" si="4"/>
        <v>-1</v>
      </c>
      <c r="AA31" s="22">
        <f t="shared" si="5"/>
        <v>-2.8539300000000001</v>
      </c>
      <c r="AB31" s="21">
        <f t="shared" si="6"/>
        <v>-0.33898800000000001</v>
      </c>
      <c r="AC31" s="21">
        <f t="shared" si="7"/>
        <v>-0.35257100000000002</v>
      </c>
      <c r="AD31" s="11">
        <f t="shared" si="8"/>
        <v>-1</v>
      </c>
      <c r="AE31" s="22">
        <f t="shared" si="9"/>
        <v>-2.8815599999999999</v>
      </c>
      <c r="AF31" s="21">
        <f t="shared" si="10"/>
        <v>-0.34098699999999998</v>
      </c>
      <c r="AG31" s="21">
        <f t="shared" si="11"/>
        <v>-0.35438199999999997</v>
      </c>
      <c r="AH31" s="11">
        <f t="shared" si="12"/>
        <v>-1</v>
      </c>
      <c r="AI31">
        <v>2.5000000000000001E-2</v>
      </c>
      <c r="AJ31">
        <v>-2.5000000000000001E-2</v>
      </c>
      <c r="AK31">
        <v>1.5E-3</v>
      </c>
      <c r="AL31">
        <v>-1.5E-3</v>
      </c>
      <c r="AM31">
        <v>1.5E-3</v>
      </c>
      <c r="AN31">
        <v>-1.5E-3</v>
      </c>
      <c r="AO31" s="16">
        <v>2.5000000000000001E-2</v>
      </c>
      <c r="AP31" s="16">
        <v>-2.5000000000000001E-2</v>
      </c>
      <c r="AQ31">
        <v>1.4999999999999999E-2</v>
      </c>
      <c r="AR31">
        <v>-1.4999999999999999E-2</v>
      </c>
      <c r="AS31">
        <v>1E-3</v>
      </c>
      <c r="AT31">
        <v>-1E-3</v>
      </c>
      <c r="AU31">
        <v>1E-3</v>
      </c>
      <c r="AV31">
        <v>-1E-3</v>
      </c>
      <c r="AW31" s="16">
        <v>1.4999999999999999E-2</v>
      </c>
      <c r="AX31" s="16">
        <v>-1.4999999999999999E-2</v>
      </c>
    </row>
    <row r="32" spans="1:279" customFormat="1">
      <c r="A32" s="2">
        <v>27</v>
      </c>
      <c r="B32" s="2">
        <v>2.8578100000000002</v>
      </c>
      <c r="C32" s="2">
        <v>0.388262</v>
      </c>
      <c r="D32" s="2">
        <v>0.38237599999999999</v>
      </c>
      <c r="E32" s="2">
        <v>32.378492459999997</v>
      </c>
      <c r="F32" s="17" t="str">
        <f t="shared" si="0"/>
        <v/>
      </c>
      <c r="G32" s="9"/>
      <c r="H32" s="25">
        <v>1</v>
      </c>
      <c r="I32" s="5"/>
      <c r="J32" s="5"/>
      <c r="K32" s="5"/>
      <c r="L32" s="5"/>
      <c r="M32" s="5">
        <v>2</v>
      </c>
      <c r="N32" s="5"/>
      <c r="O32" s="5"/>
      <c r="P32" s="5"/>
      <c r="Q32" s="5"/>
      <c r="R32" s="5">
        <v>3</v>
      </c>
      <c r="S32" s="5"/>
      <c r="T32" s="5"/>
      <c r="U32" s="5"/>
      <c r="V32" s="5"/>
      <c r="W32" s="22">
        <f t="shared" si="1"/>
        <v>-2.8822199999999998</v>
      </c>
      <c r="X32" s="21">
        <f t="shared" si="2"/>
        <v>-0.34196799999999999</v>
      </c>
      <c r="Y32" s="21">
        <f t="shared" si="3"/>
        <v>-0.35418300000000003</v>
      </c>
      <c r="Z32" s="11">
        <f t="shared" si="4"/>
        <v>-1</v>
      </c>
      <c r="AA32" s="22">
        <f t="shared" si="5"/>
        <v>-2.8539300000000001</v>
      </c>
      <c r="AB32" s="21">
        <f t="shared" si="6"/>
        <v>-0.33898800000000001</v>
      </c>
      <c r="AC32" s="21">
        <f t="shared" si="7"/>
        <v>-0.35257100000000002</v>
      </c>
      <c r="AD32" s="11">
        <f t="shared" si="8"/>
        <v>-1</v>
      </c>
      <c r="AE32" s="22">
        <f t="shared" si="9"/>
        <v>-2.8815599999999999</v>
      </c>
      <c r="AF32" s="21">
        <f t="shared" si="10"/>
        <v>-0.34098699999999998</v>
      </c>
      <c r="AG32" s="21">
        <f t="shared" si="11"/>
        <v>-0.35438199999999997</v>
      </c>
      <c r="AH32" s="11">
        <f t="shared" si="12"/>
        <v>-1</v>
      </c>
      <c r="AI32">
        <v>2.5000000000000001E-2</v>
      </c>
      <c r="AJ32">
        <v>-2.5000000000000001E-2</v>
      </c>
      <c r="AK32">
        <v>1.5E-3</v>
      </c>
      <c r="AL32">
        <v>-1.5E-3</v>
      </c>
      <c r="AM32">
        <v>1.5E-3</v>
      </c>
      <c r="AN32">
        <v>-1.5E-3</v>
      </c>
      <c r="AO32" s="16">
        <v>2.5000000000000001E-2</v>
      </c>
      <c r="AP32" s="16">
        <v>-2.5000000000000001E-2</v>
      </c>
      <c r="AQ32">
        <v>1.4999999999999999E-2</v>
      </c>
      <c r="AR32">
        <v>-1.4999999999999999E-2</v>
      </c>
      <c r="AS32">
        <v>1E-3</v>
      </c>
      <c r="AT32">
        <v>-1E-3</v>
      </c>
      <c r="AU32">
        <v>1E-3</v>
      </c>
      <c r="AV32">
        <v>-1E-3</v>
      </c>
      <c r="AW32" s="16">
        <v>1.4999999999999999E-2</v>
      </c>
      <c r="AX32" s="16">
        <v>-1.4999999999999999E-2</v>
      </c>
    </row>
    <row r="33" spans="1:279" customFormat="1">
      <c r="A33" s="2">
        <v>28</v>
      </c>
      <c r="B33" s="2">
        <v>2.8770199999999999</v>
      </c>
      <c r="C33" s="2">
        <v>0.38946399999999998</v>
      </c>
      <c r="D33" s="2">
        <v>0.38392199999999999</v>
      </c>
      <c r="E33" s="2">
        <v>32.930251259999999</v>
      </c>
      <c r="F33" s="17" t="str">
        <f t="shared" si="0"/>
        <v/>
      </c>
      <c r="G33" s="9"/>
      <c r="H33" s="25">
        <v>1</v>
      </c>
      <c r="I33" s="5"/>
      <c r="J33" s="5"/>
      <c r="K33" s="5"/>
      <c r="L33" s="5"/>
      <c r="M33" s="5">
        <v>2</v>
      </c>
      <c r="N33" s="5"/>
      <c r="O33" s="5"/>
      <c r="P33" s="5"/>
      <c r="Q33" s="5"/>
      <c r="R33" s="5">
        <v>3</v>
      </c>
      <c r="S33" s="5"/>
      <c r="T33" s="5"/>
      <c r="U33" s="5"/>
      <c r="V33" s="5"/>
      <c r="W33" s="22">
        <f t="shared" si="1"/>
        <v>-2.8822199999999998</v>
      </c>
      <c r="X33" s="21">
        <f t="shared" si="2"/>
        <v>-0.34196799999999999</v>
      </c>
      <c r="Y33" s="21">
        <f t="shared" si="3"/>
        <v>-0.35418300000000003</v>
      </c>
      <c r="Z33" s="11">
        <f t="shared" si="4"/>
        <v>-1</v>
      </c>
      <c r="AA33" s="22">
        <f t="shared" si="5"/>
        <v>-2.8539300000000001</v>
      </c>
      <c r="AB33" s="21">
        <f t="shared" si="6"/>
        <v>-0.33898800000000001</v>
      </c>
      <c r="AC33" s="21">
        <f t="shared" si="7"/>
        <v>-0.35257100000000002</v>
      </c>
      <c r="AD33" s="11">
        <f t="shared" si="8"/>
        <v>-1</v>
      </c>
      <c r="AE33" s="22">
        <f t="shared" si="9"/>
        <v>-2.8815599999999999</v>
      </c>
      <c r="AF33" s="21">
        <f t="shared" si="10"/>
        <v>-0.34098699999999998</v>
      </c>
      <c r="AG33" s="21">
        <f t="shared" si="11"/>
        <v>-0.35438199999999997</v>
      </c>
      <c r="AH33" s="11">
        <f t="shared" si="12"/>
        <v>-1</v>
      </c>
      <c r="AI33">
        <v>2.5000000000000001E-2</v>
      </c>
      <c r="AJ33">
        <v>-2.5000000000000001E-2</v>
      </c>
      <c r="AK33">
        <v>1.5E-3</v>
      </c>
      <c r="AL33">
        <v>-1.5E-3</v>
      </c>
      <c r="AM33">
        <v>1.5E-3</v>
      </c>
      <c r="AN33">
        <v>-1.5E-3</v>
      </c>
      <c r="AO33" s="16">
        <v>2.5000000000000001E-2</v>
      </c>
      <c r="AP33" s="16">
        <v>-2.5000000000000001E-2</v>
      </c>
      <c r="AQ33">
        <v>1.4999999999999999E-2</v>
      </c>
      <c r="AR33">
        <v>-1.4999999999999999E-2</v>
      </c>
      <c r="AS33">
        <v>1E-3</v>
      </c>
      <c r="AT33">
        <v>-1E-3</v>
      </c>
      <c r="AU33">
        <v>1E-3</v>
      </c>
      <c r="AV33">
        <v>-1E-3</v>
      </c>
      <c r="AW33" s="16">
        <v>1.4999999999999999E-2</v>
      </c>
      <c r="AX33" s="16">
        <v>-1.4999999999999999E-2</v>
      </c>
      <c r="JR33">
        <v>12.849506578947368</v>
      </c>
    </row>
    <row r="34" spans="1:279" customFormat="1">
      <c r="A34" s="2">
        <v>29</v>
      </c>
      <c r="B34" s="2">
        <v>2.8975499999999998</v>
      </c>
      <c r="C34" s="2">
        <v>0.38903700000000002</v>
      </c>
      <c r="D34" s="2">
        <v>0.384658</v>
      </c>
      <c r="E34" s="2">
        <v>33.174371860000001</v>
      </c>
      <c r="F34" s="17" t="str">
        <f t="shared" si="0"/>
        <v/>
      </c>
      <c r="G34" s="9"/>
      <c r="H34" s="25">
        <v>1</v>
      </c>
      <c r="I34" s="5"/>
      <c r="J34" s="5"/>
      <c r="K34" s="5"/>
      <c r="L34" s="5"/>
      <c r="M34" s="5">
        <v>2</v>
      </c>
      <c r="N34" s="5"/>
      <c r="O34" s="5"/>
      <c r="P34" s="5"/>
      <c r="Q34" s="5"/>
      <c r="R34" s="5">
        <v>3</v>
      </c>
      <c r="S34" s="5"/>
      <c r="T34" s="5"/>
      <c r="U34" s="5"/>
      <c r="V34" s="5"/>
      <c r="W34" s="22">
        <f t="shared" si="1"/>
        <v>-2.8822199999999998</v>
      </c>
      <c r="X34" s="21">
        <f t="shared" si="2"/>
        <v>-0.34196799999999999</v>
      </c>
      <c r="Y34" s="21">
        <f t="shared" si="3"/>
        <v>-0.35418300000000003</v>
      </c>
      <c r="Z34" s="11">
        <f t="shared" si="4"/>
        <v>-1</v>
      </c>
      <c r="AA34" s="22">
        <f t="shared" si="5"/>
        <v>-2.8539300000000001</v>
      </c>
      <c r="AB34" s="21">
        <f t="shared" si="6"/>
        <v>-0.33898800000000001</v>
      </c>
      <c r="AC34" s="21">
        <f t="shared" si="7"/>
        <v>-0.35257100000000002</v>
      </c>
      <c r="AD34" s="11">
        <f t="shared" si="8"/>
        <v>-1</v>
      </c>
      <c r="AE34" s="22">
        <f t="shared" si="9"/>
        <v>-2.8815599999999999</v>
      </c>
      <c r="AF34" s="21">
        <f t="shared" si="10"/>
        <v>-0.34098699999999998</v>
      </c>
      <c r="AG34" s="21">
        <f t="shared" si="11"/>
        <v>-0.35438199999999997</v>
      </c>
      <c r="AH34" s="11">
        <f t="shared" si="12"/>
        <v>-1</v>
      </c>
      <c r="AI34">
        <v>2.5000000000000001E-2</v>
      </c>
      <c r="AJ34">
        <v>-2.5000000000000001E-2</v>
      </c>
      <c r="AK34">
        <v>1.5E-3</v>
      </c>
      <c r="AL34">
        <v>-1.5E-3</v>
      </c>
      <c r="AM34">
        <v>1.5E-3</v>
      </c>
      <c r="AN34">
        <v>-1.5E-3</v>
      </c>
      <c r="AO34" s="16">
        <v>2.5000000000000001E-2</v>
      </c>
      <c r="AP34" s="16">
        <v>-2.5000000000000001E-2</v>
      </c>
      <c r="AQ34">
        <v>1.4999999999999999E-2</v>
      </c>
      <c r="AR34">
        <v>-1.4999999999999999E-2</v>
      </c>
      <c r="AS34">
        <v>1E-3</v>
      </c>
      <c r="AT34">
        <v>-1E-3</v>
      </c>
      <c r="AU34">
        <v>1E-3</v>
      </c>
      <c r="AV34">
        <v>-1E-3</v>
      </c>
      <c r="AW34" s="16">
        <v>1.4999999999999999E-2</v>
      </c>
      <c r="AX34" s="16">
        <v>-1.4999999999999999E-2</v>
      </c>
      <c r="JR34">
        <v>12.849506578947368</v>
      </c>
      <c r="JS34">
        <v>12.849506578947368</v>
      </c>
    </row>
    <row r="35" spans="1:279" customFormat="1">
      <c r="A35" s="2">
        <v>30</v>
      </c>
      <c r="B35" s="2">
        <v>2.8717199999999998</v>
      </c>
      <c r="C35" s="2">
        <v>0.39011000000000001</v>
      </c>
      <c r="D35" s="2">
        <v>0.38503999999999999</v>
      </c>
      <c r="E35" s="2">
        <v>33.101909550000002</v>
      </c>
      <c r="F35" s="17" t="str">
        <f t="shared" si="0"/>
        <v/>
      </c>
      <c r="G35" s="9"/>
      <c r="H35" s="25">
        <v>1</v>
      </c>
      <c r="I35" s="5"/>
      <c r="J35" s="5"/>
      <c r="K35" s="5"/>
      <c r="L35" s="5"/>
      <c r="M35" s="5">
        <v>2</v>
      </c>
      <c r="N35" s="5"/>
      <c r="O35" s="5"/>
      <c r="P35" s="5"/>
      <c r="Q35" s="5"/>
      <c r="R35" s="5">
        <v>3</v>
      </c>
      <c r="S35" s="5"/>
      <c r="T35" s="5"/>
      <c r="U35" s="5"/>
      <c r="V35" s="5"/>
      <c r="W35" s="22">
        <f t="shared" si="1"/>
        <v>-2.8822199999999998</v>
      </c>
      <c r="X35" s="21">
        <f t="shared" si="2"/>
        <v>-0.34196799999999999</v>
      </c>
      <c r="Y35" s="21">
        <f t="shared" si="3"/>
        <v>-0.35418300000000003</v>
      </c>
      <c r="Z35" s="11">
        <f t="shared" si="4"/>
        <v>-1</v>
      </c>
      <c r="AA35" s="22">
        <f t="shared" si="5"/>
        <v>-2.8539300000000001</v>
      </c>
      <c r="AB35" s="21">
        <f t="shared" si="6"/>
        <v>-0.33898800000000001</v>
      </c>
      <c r="AC35" s="21">
        <f t="shared" si="7"/>
        <v>-0.35257100000000002</v>
      </c>
      <c r="AD35" s="11">
        <f t="shared" si="8"/>
        <v>-1</v>
      </c>
      <c r="AE35" s="22">
        <f t="shared" si="9"/>
        <v>-2.8815599999999999</v>
      </c>
      <c r="AF35" s="21">
        <f t="shared" si="10"/>
        <v>-0.34098699999999998</v>
      </c>
      <c r="AG35" s="21">
        <f t="shared" si="11"/>
        <v>-0.35438199999999997</v>
      </c>
      <c r="AH35" s="11">
        <f t="shared" si="12"/>
        <v>-1</v>
      </c>
      <c r="AI35">
        <v>2.5000000000000001E-2</v>
      </c>
      <c r="AJ35">
        <v>-2.5000000000000001E-2</v>
      </c>
      <c r="AK35">
        <v>1.5E-3</v>
      </c>
      <c r="AL35">
        <v>-1.5E-3</v>
      </c>
      <c r="AM35">
        <v>1.5E-3</v>
      </c>
      <c r="AN35">
        <v>-1.5E-3</v>
      </c>
      <c r="AO35" s="16">
        <v>2.5000000000000001E-2</v>
      </c>
      <c r="AP35" s="16">
        <v>-2.5000000000000001E-2</v>
      </c>
      <c r="AQ35">
        <v>1.4999999999999999E-2</v>
      </c>
      <c r="AR35">
        <v>-1.4999999999999999E-2</v>
      </c>
      <c r="AS35">
        <v>1E-3</v>
      </c>
      <c r="AT35">
        <v>-1E-3</v>
      </c>
      <c r="AU35">
        <v>1E-3</v>
      </c>
      <c r="AV35">
        <v>-1E-3</v>
      </c>
      <c r="AW35" s="16">
        <v>1.4999999999999999E-2</v>
      </c>
      <c r="AX35" s="16">
        <v>-1.4999999999999999E-2</v>
      </c>
    </row>
    <row r="36" spans="1:279" customFormat="1">
      <c r="F36" s="17" t="str">
        <f t="shared" si="0"/>
        <v/>
      </c>
      <c r="G36" s="9"/>
      <c r="H36" s="25">
        <v>1</v>
      </c>
      <c r="I36" s="5"/>
      <c r="J36" s="5"/>
      <c r="K36" s="5"/>
      <c r="L36" s="5"/>
      <c r="M36" s="5">
        <v>2</v>
      </c>
      <c r="N36" s="5"/>
      <c r="O36" s="5"/>
      <c r="P36" s="5"/>
      <c r="Q36" s="5"/>
      <c r="R36" s="5">
        <v>3</v>
      </c>
      <c r="S36" s="5"/>
      <c r="T36" s="5"/>
      <c r="U36" s="5"/>
      <c r="V36" s="5"/>
      <c r="W36" s="22">
        <f t="shared" si="1"/>
        <v>-2.8822199999999998</v>
      </c>
      <c r="X36" s="21">
        <f t="shared" si="2"/>
        <v>-0.34196799999999999</v>
      </c>
      <c r="Y36" s="21">
        <f t="shared" si="3"/>
        <v>-0.35418300000000003</v>
      </c>
      <c r="Z36" s="11">
        <f t="shared" si="4"/>
        <v>-1</v>
      </c>
      <c r="AA36" s="22">
        <f t="shared" si="5"/>
        <v>-2.8539300000000001</v>
      </c>
      <c r="AB36" s="21">
        <f t="shared" si="6"/>
        <v>-0.33898800000000001</v>
      </c>
      <c r="AC36" s="21">
        <f t="shared" si="7"/>
        <v>-0.35257100000000002</v>
      </c>
      <c r="AD36" s="11">
        <f t="shared" si="8"/>
        <v>-1</v>
      </c>
      <c r="AE36" s="22">
        <f t="shared" si="9"/>
        <v>-2.8815599999999999</v>
      </c>
      <c r="AF36" s="21">
        <f t="shared" si="10"/>
        <v>-0.34098699999999998</v>
      </c>
      <c r="AG36" s="21">
        <f t="shared" si="11"/>
        <v>-0.35438199999999997</v>
      </c>
      <c r="AH36" s="11">
        <f t="shared" si="12"/>
        <v>-1</v>
      </c>
      <c r="AI36">
        <v>2.5000000000000001E-2</v>
      </c>
      <c r="AJ36">
        <v>-2.5000000000000001E-2</v>
      </c>
      <c r="AK36">
        <v>1.5E-3</v>
      </c>
      <c r="AL36">
        <v>-1.5E-3</v>
      </c>
      <c r="AM36">
        <v>1.5E-3</v>
      </c>
      <c r="AN36">
        <v>-1.5E-3</v>
      </c>
      <c r="AO36" s="16">
        <v>2.5000000000000001E-2</v>
      </c>
      <c r="AP36" s="16">
        <v>-2.5000000000000001E-2</v>
      </c>
      <c r="AQ36">
        <v>1.4999999999999999E-2</v>
      </c>
      <c r="AR36">
        <v>-1.4999999999999999E-2</v>
      </c>
      <c r="AS36">
        <v>1E-3</v>
      </c>
      <c r="AT36">
        <v>-1E-3</v>
      </c>
      <c r="AU36">
        <v>1E-3</v>
      </c>
      <c r="AV36">
        <v>-1E-3</v>
      </c>
      <c r="AW36" s="16">
        <v>1.4999999999999999E-2</v>
      </c>
      <c r="AX36" s="16">
        <v>-1.4999999999999999E-2</v>
      </c>
    </row>
    <row r="37" spans="1:279" customFormat="1">
      <c r="F37" s="17" t="str">
        <f t="shared" si="0"/>
        <v/>
      </c>
      <c r="G37" s="9"/>
      <c r="H37" s="25">
        <v>1</v>
      </c>
      <c r="I37" s="5"/>
      <c r="J37" s="5"/>
      <c r="K37" s="5"/>
      <c r="L37" s="5"/>
      <c r="M37" s="5">
        <v>2</v>
      </c>
      <c r="N37" s="5"/>
      <c r="O37" s="5"/>
      <c r="P37" s="5"/>
      <c r="Q37" s="5"/>
      <c r="R37" s="5">
        <v>3</v>
      </c>
      <c r="S37" s="5"/>
      <c r="T37" s="5"/>
      <c r="U37" s="5"/>
      <c r="V37" s="5"/>
      <c r="W37" s="22">
        <f t="shared" si="1"/>
        <v>-2.8822199999999998</v>
      </c>
      <c r="X37" s="21">
        <f t="shared" si="2"/>
        <v>-0.34196799999999999</v>
      </c>
      <c r="Y37" s="21">
        <f t="shared" si="3"/>
        <v>-0.35418300000000003</v>
      </c>
      <c r="Z37" s="11">
        <f t="shared" si="4"/>
        <v>-1</v>
      </c>
      <c r="AA37" s="22">
        <f t="shared" si="5"/>
        <v>-2.8539300000000001</v>
      </c>
      <c r="AB37" s="21">
        <f t="shared" si="6"/>
        <v>-0.33898800000000001</v>
      </c>
      <c r="AC37" s="21">
        <f t="shared" si="7"/>
        <v>-0.35257100000000002</v>
      </c>
      <c r="AD37" s="11">
        <f t="shared" si="8"/>
        <v>-1</v>
      </c>
      <c r="AE37" s="22">
        <f t="shared" si="9"/>
        <v>-2.8815599999999999</v>
      </c>
      <c r="AF37" s="21">
        <f t="shared" si="10"/>
        <v>-0.34098699999999998</v>
      </c>
      <c r="AG37" s="21">
        <f t="shared" si="11"/>
        <v>-0.35438199999999997</v>
      </c>
      <c r="AH37" s="11">
        <f t="shared" si="12"/>
        <v>-1</v>
      </c>
      <c r="AI37">
        <v>2.5000000000000001E-2</v>
      </c>
      <c r="AJ37">
        <v>-2.5000000000000001E-2</v>
      </c>
      <c r="AK37">
        <v>1.5E-3</v>
      </c>
      <c r="AL37">
        <v>-1.5E-3</v>
      </c>
      <c r="AM37">
        <v>1.5E-3</v>
      </c>
      <c r="AN37">
        <v>-1.5E-3</v>
      </c>
      <c r="AO37" s="16">
        <v>2.5000000000000001E-2</v>
      </c>
      <c r="AP37" s="16">
        <v>-2.5000000000000001E-2</v>
      </c>
      <c r="AQ37">
        <v>1.4999999999999999E-2</v>
      </c>
      <c r="AR37">
        <v>-1.4999999999999999E-2</v>
      </c>
      <c r="AS37">
        <v>1E-3</v>
      </c>
      <c r="AT37">
        <v>-1E-3</v>
      </c>
      <c r="AU37">
        <v>1E-3</v>
      </c>
      <c r="AV37">
        <v>-1E-3</v>
      </c>
      <c r="AW37" s="16">
        <v>1.4999999999999999E-2</v>
      </c>
      <c r="AX37" s="16">
        <v>-1.4999999999999999E-2</v>
      </c>
    </row>
    <row r="38" spans="1:279" customFormat="1">
      <c r="F38" s="17" t="str">
        <f t="shared" si="0"/>
        <v/>
      </c>
      <c r="G38" s="9"/>
      <c r="H38" s="25">
        <v>1</v>
      </c>
      <c r="I38" s="5"/>
      <c r="J38" s="5"/>
      <c r="K38" s="5"/>
      <c r="L38" s="5"/>
      <c r="M38" s="5">
        <v>2</v>
      </c>
      <c r="N38" s="5"/>
      <c r="O38" s="5"/>
      <c r="P38" s="5"/>
      <c r="Q38" s="5"/>
      <c r="R38" s="5">
        <v>3</v>
      </c>
      <c r="S38" s="5"/>
      <c r="T38" s="5"/>
      <c r="U38" s="5"/>
      <c r="V38" s="5"/>
      <c r="W38" s="22">
        <f t="shared" si="1"/>
        <v>-2.8822199999999998</v>
      </c>
      <c r="X38" s="21">
        <f t="shared" si="2"/>
        <v>-0.34196799999999999</v>
      </c>
      <c r="Y38" s="21">
        <f t="shared" si="3"/>
        <v>-0.35418300000000003</v>
      </c>
      <c r="Z38" s="11">
        <f t="shared" si="4"/>
        <v>-1</v>
      </c>
      <c r="AA38" s="22">
        <f t="shared" si="5"/>
        <v>-2.8539300000000001</v>
      </c>
      <c r="AB38" s="21">
        <f t="shared" si="6"/>
        <v>-0.33898800000000001</v>
      </c>
      <c r="AC38" s="21">
        <f t="shared" si="7"/>
        <v>-0.35257100000000002</v>
      </c>
      <c r="AD38" s="11">
        <f t="shared" si="8"/>
        <v>-1</v>
      </c>
      <c r="AE38" s="22">
        <f t="shared" si="9"/>
        <v>-2.8815599999999999</v>
      </c>
      <c r="AF38" s="21">
        <f t="shared" si="10"/>
        <v>-0.34098699999999998</v>
      </c>
      <c r="AG38" s="21">
        <f t="shared" si="11"/>
        <v>-0.35438199999999997</v>
      </c>
      <c r="AH38" s="11">
        <f t="shared" si="12"/>
        <v>-1</v>
      </c>
      <c r="AI38">
        <v>2.5000000000000001E-2</v>
      </c>
      <c r="AJ38">
        <v>-2.5000000000000001E-2</v>
      </c>
      <c r="AK38">
        <v>1.5E-3</v>
      </c>
      <c r="AL38">
        <v>-1.5E-3</v>
      </c>
      <c r="AM38">
        <v>1.5E-3</v>
      </c>
      <c r="AN38">
        <v>-1.5E-3</v>
      </c>
      <c r="AO38" s="16">
        <v>2.5000000000000001E-2</v>
      </c>
      <c r="AP38" s="16">
        <v>-2.5000000000000001E-2</v>
      </c>
      <c r="AQ38">
        <v>1.4999999999999999E-2</v>
      </c>
      <c r="AR38">
        <v>-1.4999999999999999E-2</v>
      </c>
      <c r="AS38">
        <v>1E-3</v>
      </c>
      <c r="AT38">
        <v>-1E-3</v>
      </c>
      <c r="AU38">
        <v>1E-3</v>
      </c>
      <c r="AV38">
        <v>-1E-3</v>
      </c>
      <c r="AW38" s="16">
        <v>1.4999999999999999E-2</v>
      </c>
      <c r="AX38" s="16">
        <v>-1.4999999999999999E-2</v>
      </c>
    </row>
    <row r="39" spans="1:279" customFormat="1">
      <c r="F39" s="17" t="str">
        <f t="shared" si="0"/>
        <v/>
      </c>
      <c r="G39" s="9"/>
      <c r="H39" s="25">
        <v>1</v>
      </c>
      <c r="I39" s="5"/>
      <c r="J39" s="5"/>
      <c r="K39" s="5"/>
      <c r="L39" s="5"/>
      <c r="M39" s="5">
        <v>2</v>
      </c>
      <c r="N39" s="5"/>
      <c r="O39" s="5"/>
      <c r="P39" s="5"/>
      <c r="Q39" s="5"/>
      <c r="R39" s="5">
        <v>3</v>
      </c>
      <c r="S39" s="5"/>
      <c r="T39" s="5"/>
      <c r="U39" s="5"/>
      <c r="V39" s="5"/>
      <c r="W39" s="22">
        <f t="shared" si="1"/>
        <v>-2.8822199999999998</v>
      </c>
      <c r="X39" s="21">
        <f t="shared" si="2"/>
        <v>-0.34196799999999999</v>
      </c>
      <c r="Y39" s="21">
        <f t="shared" si="3"/>
        <v>-0.35418300000000003</v>
      </c>
      <c r="Z39" s="11">
        <f t="shared" si="4"/>
        <v>-1</v>
      </c>
      <c r="AA39" s="22">
        <f t="shared" si="5"/>
        <v>-2.8539300000000001</v>
      </c>
      <c r="AB39" s="21">
        <f t="shared" si="6"/>
        <v>-0.33898800000000001</v>
      </c>
      <c r="AC39" s="21">
        <f t="shared" si="7"/>
        <v>-0.35257100000000002</v>
      </c>
      <c r="AD39" s="11">
        <f t="shared" si="8"/>
        <v>-1</v>
      </c>
      <c r="AE39" s="22">
        <f t="shared" si="9"/>
        <v>-2.8815599999999999</v>
      </c>
      <c r="AF39" s="21">
        <f t="shared" si="10"/>
        <v>-0.34098699999999998</v>
      </c>
      <c r="AG39" s="21">
        <f t="shared" si="11"/>
        <v>-0.35438199999999997</v>
      </c>
      <c r="AH39" s="11">
        <f t="shared" si="12"/>
        <v>-1</v>
      </c>
      <c r="AI39">
        <v>2.5000000000000001E-2</v>
      </c>
      <c r="AJ39">
        <v>-2.5000000000000001E-2</v>
      </c>
      <c r="AK39">
        <v>1.5E-3</v>
      </c>
      <c r="AL39">
        <v>-1.5E-3</v>
      </c>
      <c r="AM39">
        <v>1.5E-3</v>
      </c>
      <c r="AN39">
        <v>-1.5E-3</v>
      </c>
      <c r="AO39" s="16">
        <v>2.5000000000000001E-2</v>
      </c>
      <c r="AP39" s="16">
        <v>-2.5000000000000001E-2</v>
      </c>
      <c r="AQ39">
        <v>1.4999999999999999E-2</v>
      </c>
      <c r="AR39">
        <v>-1.4999999999999999E-2</v>
      </c>
      <c r="AS39">
        <v>1E-3</v>
      </c>
      <c r="AT39">
        <v>-1E-3</v>
      </c>
      <c r="AU39">
        <v>1E-3</v>
      </c>
      <c r="AV39">
        <v>-1E-3</v>
      </c>
      <c r="AW39" s="16">
        <v>1.4999999999999999E-2</v>
      </c>
      <c r="AX39" s="16">
        <v>-1.4999999999999999E-2</v>
      </c>
    </row>
    <row r="40" spans="1:279" customFormat="1">
      <c r="F40" s="17" t="str">
        <f t="shared" si="0"/>
        <v/>
      </c>
      <c r="G40" s="9"/>
      <c r="H40" s="25">
        <v>1</v>
      </c>
      <c r="I40" s="5"/>
      <c r="J40" s="5"/>
      <c r="K40" s="5"/>
      <c r="L40" s="5"/>
      <c r="M40" s="5">
        <v>2</v>
      </c>
      <c r="N40" s="5"/>
      <c r="O40" s="5"/>
      <c r="P40" s="5"/>
      <c r="Q40" s="5"/>
      <c r="R40" s="5">
        <v>3</v>
      </c>
      <c r="S40" s="5"/>
      <c r="T40" s="5"/>
      <c r="U40" s="5"/>
      <c r="V40" s="5"/>
      <c r="W40" s="22">
        <f t="shared" si="1"/>
        <v>-2.8822199999999998</v>
      </c>
      <c r="X40" s="21">
        <f t="shared" si="2"/>
        <v>-0.34196799999999999</v>
      </c>
      <c r="Y40" s="21">
        <f t="shared" si="3"/>
        <v>-0.35418300000000003</v>
      </c>
      <c r="Z40" s="11">
        <f t="shared" si="4"/>
        <v>-1</v>
      </c>
      <c r="AA40" s="22">
        <f t="shared" si="5"/>
        <v>-2.8539300000000001</v>
      </c>
      <c r="AB40" s="21">
        <f t="shared" si="6"/>
        <v>-0.33898800000000001</v>
      </c>
      <c r="AC40" s="21">
        <f t="shared" si="7"/>
        <v>-0.35257100000000002</v>
      </c>
      <c r="AD40" s="11">
        <f t="shared" si="8"/>
        <v>-1</v>
      </c>
      <c r="AE40" s="22">
        <f t="shared" si="9"/>
        <v>-2.8815599999999999</v>
      </c>
      <c r="AF40" s="21">
        <f t="shared" si="10"/>
        <v>-0.34098699999999998</v>
      </c>
      <c r="AG40" s="21">
        <f t="shared" si="11"/>
        <v>-0.35438199999999997</v>
      </c>
      <c r="AH40" s="11">
        <f t="shared" si="12"/>
        <v>-1</v>
      </c>
      <c r="AI40">
        <v>2.5000000000000001E-2</v>
      </c>
      <c r="AJ40">
        <v>-2.5000000000000001E-2</v>
      </c>
      <c r="AK40">
        <v>1.5E-3</v>
      </c>
      <c r="AL40">
        <v>-1.5E-3</v>
      </c>
      <c r="AM40">
        <v>1.5E-3</v>
      </c>
      <c r="AN40">
        <v>-1.5E-3</v>
      </c>
      <c r="AO40" s="16">
        <v>2.5000000000000001E-2</v>
      </c>
      <c r="AP40" s="16">
        <v>-2.5000000000000001E-2</v>
      </c>
      <c r="AQ40">
        <v>1.4999999999999999E-2</v>
      </c>
      <c r="AR40">
        <v>-1.4999999999999999E-2</v>
      </c>
      <c r="AS40">
        <v>1E-3</v>
      </c>
      <c r="AT40">
        <v>-1E-3</v>
      </c>
      <c r="AU40">
        <v>1E-3</v>
      </c>
      <c r="AV40">
        <v>-1E-3</v>
      </c>
      <c r="AW40" s="16">
        <v>1.4999999999999999E-2</v>
      </c>
      <c r="AX40" s="16">
        <v>-1.4999999999999999E-2</v>
      </c>
    </row>
    <row r="41" spans="1:279" customFormat="1">
      <c r="F41" s="17" t="str">
        <f t="shared" si="0"/>
        <v/>
      </c>
      <c r="G41" s="9"/>
      <c r="H41" s="2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22" t="e">
        <f t="shared" si="1"/>
        <v>#N/A</v>
      </c>
      <c r="X41" s="21" t="e">
        <f t="shared" si="2"/>
        <v>#N/A</v>
      </c>
      <c r="Y41" s="21" t="e">
        <f t="shared" si="3"/>
        <v>#N/A</v>
      </c>
      <c r="Z41" s="11" t="e">
        <f t="shared" si="4"/>
        <v>#N/A</v>
      </c>
      <c r="AA41" s="22" t="e">
        <f t="shared" si="5"/>
        <v>#N/A</v>
      </c>
      <c r="AB41" s="21" t="e">
        <f t="shared" si="6"/>
        <v>#N/A</v>
      </c>
      <c r="AC41" s="21" t="e">
        <f t="shared" si="7"/>
        <v>#N/A</v>
      </c>
      <c r="AD41" s="11" t="e">
        <f t="shared" si="8"/>
        <v>#N/A</v>
      </c>
      <c r="AE41" s="22" t="e">
        <f t="shared" si="9"/>
        <v>#N/A</v>
      </c>
      <c r="AF41" s="21" t="e">
        <f t="shared" si="10"/>
        <v>#N/A</v>
      </c>
      <c r="AG41" s="21" t="e">
        <f t="shared" si="11"/>
        <v>#N/A</v>
      </c>
      <c r="AH41" s="11" t="e">
        <f t="shared" si="12"/>
        <v>#N/A</v>
      </c>
      <c r="AI41">
        <v>2.5000000000000001E-2</v>
      </c>
      <c r="AJ41">
        <v>-2.5000000000000001E-2</v>
      </c>
      <c r="AK41">
        <v>1.5E-3</v>
      </c>
      <c r="AL41">
        <v>-1.5E-3</v>
      </c>
      <c r="AM41">
        <v>1.5E-3</v>
      </c>
      <c r="AN41">
        <v>-1.5E-3</v>
      </c>
      <c r="AO41" s="16">
        <v>2.5000000000000001E-2</v>
      </c>
      <c r="AP41" s="16">
        <v>-2.5000000000000001E-2</v>
      </c>
      <c r="AQ41">
        <v>1.4999999999999999E-2</v>
      </c>
      <c r="AR41">
        <v>-1.4999999999999999E-2</v>
      </c>
      <c r="AS41">
        <v>1E-3</v>
      </c>
      <c r="AT41">
        <v>-1E-3</v>
      </c>
      <c r="AU41">
        <v>1E-3</v>
      </c>
      <c r="AV41">
        <v>-1E-3</v>
      </c>
      <c r="AW41" s="16">
        <v>1.4999999999999999E-2</v>
      </c>
      <c r="AX41" s="16">
        <v>-1.4999999999999999E-2</v>
      </c>
    </row>
    <row r="42" spans="1:279" customFormat="1">
      <c r="F42" s="17" t="str">
        <f t="shared" si="0"/>
        <v/>
      </c>
      <c r="G42" s="9"/>
      <c r="H42" s="2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22" t="e">
        <f t="shared" si="1"/>
        <v>#N/A</v>
      </c>
      <c r="X42" s="21" t="e">
        <f t="shared" si="2"/>
        <v>#N/A</v>
      </c>
      <c r="Y42" s="21" t="e">
        <f t="shared" si="3"/>
        <v>#N/A</v>
      </c>
      <c r="Z42" s="11" t="e">
        <f t="shared" si="4"/>
        <v>#N/A</v>
      </c>
      <c r="AA42" s="22" t="e">
        <f t="shared" si="5"/>
        <v>#N/A</v>
      </c>
      <c r="AB42" s="21" t="e">
        <f t="shared" si="6"/>
        <v>#N/A</v>
      </c>
      <c r="AC42" s="21" t="e">
        <f t="shared" si="7"/>
        <v>#N/A</v>
      </c>
      <c r="AD42" s="11" t="e">
        <f t="shared" si="8"/>
        <v>#N/A</v>
      </c>
      <c r="AE42" s="22" t="e">
        <f t="shared" si="9"/>
        <v>#N/A</v>
      </c>
      <c r="AF42" s="21" t="e">
        <f t="shared" si="10"/>
        <v>#N/A</v>
      </c>
      <c r="AG42" s="21" t="e">
        <f t="shared" si="11"/>
        <v>#N/A</v>
      </c>
      <c r="AH42" s="11" t="e">
        <f t="shared" si="12"/>
        <v>#N/A</v>
      </c>
      <c r="AI42">
        <v>2.5000000000000001E-2</v>
      </c>
      <c r="AJ42">
        <v>-2.5000000000000001E-2</v>
      </c>
      <c r="AK42">
        <v>1.5E-3</v>
      </c>
      <c r="AL42">
        <v>-1.5E-3</v>
      </c>
      <c r="AM42">
        <v>1.5E-3</v>
      </c>
      <c r="AN42">
        <v>-1.5E-3</v>
      </c>
      <c r="AO42" s="16">
        <v>2.5000000000000001E-2</v>
      </c>
      <c r="AP42" s="16">
        <v>-2.5000000000000001E-2</v>
      </c>
      <c r="AQ42">
        <v>1.4999999999999999E-2</v>
      </c>
      <c r="AR42">
        <v>-1.4999999999999999E-2</v>
      </c>
      <c r="AS42">
        <v>1E-3</v>
      </c>
      <c r="AT42">
        <v>-1E-3</v>
      </c>
      <c r="AU42">
        <v>1E-3</v>
      </c>
      <c r="AV42">
        <v>-1E-3</v>
      </c>
      <c r="AW42" s="16">
        <v>1.4999999999999999E-2</v>
      </c>
      <c r="AX42" s="16">
        <v>-1.4999999999999999E-2</v>
      </c>
    </row>
    <row r="43" spans="1:279" customFormat="1">
      <c r="F43" s="17" t="str">
        <f t="shared" si="0"/>
        <v/>
      </c>
      <c r="G43" s="9"/>
      <c r="H43" s="2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22" t="e">
        <f t="shared" si="1"/>
        <v>#N/A</v>
      </c>
      <c r="X43" s="21" t="e">
        <f t="shared" si="2"/>
        <v>#N/A</v>
      </c>
      <c r="Y43" s="21" t="e">
        <f t="shared" si="3"/>
        <v>#N/A</v>
      </c>
      <c r="Z43" s="11" t="e">
        <f t="shared" si="4"/>
        <v>#N/A</v>
      </c>
      <c r="AA43" s="22" t="e">
        <f t="shared" si="5"/>
        <v>#N/A</v>
      </c>
      <c r="AB43" s="21" t="e">
        <f t="shared" si="6"/>
        <v>#N/A</v>
      </c>
      <c r="AC43" s="21" t="e">
        <f t="shared" si="7"/>
        <v>#N/A</v>
      </c>
      <c r="AD43" s="11" t="e">
        <f t="shared" si="8"/>
        <v>#N/A</v>
      </c>
      <c r="AE43" s="22" t="e">
        <f t="shared" si="9"/>
        <v>#N/A</v>
      </c>
      <c r="AF43" s="21" t="e">
        <f t="shared" si="10"/>
        <v>#N/A</v>
      </c>
      <c r="AG43" s="21" t="e">
        <f t="shared" si="11"/>
        <v>#N/A</v>
      </c>
      <c r="AH43" s="11" t="e">
        <f t="shared" si="12"/>
        <v>#N/A</v>
      </c>
      <c r="AI43">
        <v>2.5000000000000001E-2</v>
      </c>
      <c r="AJ43">
        <v>-2.5000000000000001E-2</v>
      </c>
      <c r="AK43">
        <v>1.5E-3</v>
      </c>
      <c r="AL43">
        <v>-1.5E-3</v>
      </c>
      <c r="AM43">
        <v>1.5E-3</v>
      </c>
      <c r="AN43">
        <v>-1.5E-3</v>
      </c>
      <c r="AO43" s="16">
        <v>2.5000000000000001E-2</v>
      </c>
      <c r="AP43" s="16">
        <v>-2.5000000000000001E-2</v>
      </c>
      <c r="AQ43">
        <v>1.4999999999999999E-2</v>
      </c>
      <c r="AR43">
        <v>-1.4999999999999999E-2</v>
      </c>
      <c r="AS43">
        <v>1E-3</v>
      </c>
      <c r="AT43">
        <v>-1E-3</v>
      </c>
      <c r="AU43">
        <v>1E-3</v>
      </c>
      <c r="AV43">
        <v>-1E-3</v>
      </c>
      <c r="AW43" s="16">
        <v>1.4999999999999999E-2</v>
      </c>
      <c r="AX43" s="16">
        <v>-1.4999999999999999E-2</v>
      </c>
    </row>
    <row r="44" spans="1:279" customFormat="1">
      <c r="F44" s="17" t="str">
        <f t="shared" si="0"/>
        <v/>
      </c>
      <c r="G44" s="9"/>
      <c r="H44" s="2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22" t="e">
        <f t="shared" si="1"/>
        <v>#N/A</v>
      </c>
      <c r="X44" s="21" t="e">
        <f t="shared" si="2"/>
        <v>#N/A</v>
      </c>
      <c r="Y44" s="21" t="e">
        <f t="shared" si="3"/>
        <v>#N/A</v>
      </c>
      <c r="Z44" s="11" t="e">
        <f t="shared" si="4"/>
        <v>#N/A</v>
      </c>
      <c r="AA44" s="22" t="e">
        <f t="shared" si="5"/>
        <v>#N/A</v>
      </c>
      <c r="AB44" s="21" t="e">
        <f t="shared" si="6"/>
        <v>#N/A</v>
      </c>
      <c r="AC44" s="21" t="e">
        <f t="shared" si="7"/>
        <v>#N/A</v>
      </c>
      <c r="AD44" s="11" t="e">
        <f t="shared" si="8"/>
        <v>#N/A</v>
      </c>
      <c r="AE44" s="22" t="e">
        <f t="shared" si="9"/>
        <v>#N/A</v>
      </c>
      <c r="AF44" s="21" t="e">
        <f t="shared" si="10"/>
        <v>#N/A</v>
      </c>
      <c r="AG44" s="21" t="e">
        <f t="shared" si="11"/>
        <v>#N/A</v>
      </c>
      <c r="AH44" s="11" t="e">
        <f t="shared" si="12"/>
        <v>#N/A</v>
      </c>
      <c r="AI44">
        <v>2.5000000000000001E-2</v>
      </c>
      <c r="AJ44">
        <v>-2.5000000000000001E-2</v>
      </c>
      <c r="AK44">
        <v>1.5E-3</v>
      </c>
      <c r="AL44">
        <v>-1.5E-3</v>
      </c>
      <c r="AM44">
        <v>1.5E-3</v>
      </c>
      <c r="AN44">
        <v>-1.5E-3</v>
      </c>
      <c r="AO44" s="16">
        <v>2.5000000000000001E-2</v>
      </c>
      <c r="AP44" s="16">
        <v>-2.5000000000000001E-2</v>
      </c>
      <c r="AQ44">
        <v>1.4999999999999999E-2</v>
      </c>
      <c r="AR44">
        <v>-1.4999999999999999E-2</v>
      </c>
      <c r="AS44">
        <v>1E-3</v>
      </c>
      <c r="AT44">
        <v>-1E-3</v>
      </c>
      <c r="AU44">
        <v>1E-3</v>
      </c>
      <c r="AV44">
        <v>-1E-3</v>
      </c>
      <c r="AW44" s="16">
        <v>1.4999999999999999E-2</v>
      </c>
      <c r="AX44" s="16">
        <v>-1.4999999999999999E-2</v>
      </c>
    </row>
    <row r="45" spans="1:279" customFormat="1">
      <c r="F45" s="17" t="str">
        <f t="shared" si="0"/>
        <v/>
      </c>
      <c r="G45" s="9"/>
      <c r="H45" s="2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22" t="e">
        <f t="shared" si="1"/>
        <v>#N/A</v>
      </c>
      <c r="X45" s="21" t="e">
        <f t="shared" si="2"/>
        <v>#N/A</v>
      </c>
      <c r="Y45" s="21" t="e">
        <f t="shared" si="3"/>
        <v>#N/A</v>
      </c>
      <c r="Z45" s="11" t="e">
        <f t="shared" si="4"/>
        <v>#N/A</v>
      </c>
      <c r="AA45" s="22" t="e">
        <f t="shared" si="5"/>
        <v>#N/A</v>
      </c>
      <c r="AB45" s="21" t="e">
        <f t="shared" si="6"/>
        <v>#N/A</v>
      </c>
      <c r="AC45" s="21" t="e">
        <f t="shared" si="7"/>
        <v>#N/A</v>
      </c>
      <c r="AD45" s="11" t="e">
        <f t="shared" si="8"/>
        <v>#N/A</v>
      </c>
      <c r="AE45" s="22" t="e">
        <f t="shared" si="9"/>
        <v>#N/A</v>
      </c>
      <c r="AF45" s="21" t="e">
        <f t="shared" si="10"/>
        <v>#N/A</v>
      </c>
      <c r="AG45" s="21" t="e">
        <f t="shared" si="11"/>
        <v>#N/A</v>
      </c>
      <c r="AH45" s="11" t="e">
        <f t="shared" si="12"/>
        <v>#N/A</v>
      </c>
      <c r="AI45">
        <v>2.5000000000000001E-2</v>
      </c>
      <c r="AJ45">
        <v>-2.5000000000000001E-2</v>
      </c>
      <c r="AK45">
        <v>1.5E-3</v>
      </c>
      <c r="AL45">
        <v>-1.5E-3</v>
      </c>
      <c r="AM45">
        <v>1.5E-3</v>
      </c>
      <c r="AN45">
        <v>-1.5E-3</v>
      </c>
      <c r="AO45" s="16">
        <v>2.5000000000000001E-2</v>
      </c>
      <c r="AP45" s="16">
        <v>-2.5000000000000001E-2</v>
      </c>
      <c r="AQ45">
        <v>1.4999999999999999E-2</v>
      </c>
      <c r="AR45">
        <v>-1.4999999999999999E-2</v>
      </c>
      <c r="AS45">
        <v>1E-3</v>
      </c>
      <c r="AT45">
        <v>-1E-3</v>
      </c>
      <c r="AU45">
        <v>1E-3</v>
      </c>
      <c r="AV45">
        <v>-1E-3</v>
      </c>
      <c r="AW45" s="16">
        <v>1.4999999999999999E-2</v>
      </c>
      <c r="AX45" s="16">
        <v>-1.4999999999999999E-2</v>
      </c>
    </row>
    <row r="46" spans="1:279" customFormat="1">
      <c r="F46" s="17" t="str">
        <f t="shared" si="0"/>
        <v/>
      </c>
      <c r="G46" s="9"/>
      <c r="H46" s="2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22" t="e">
        <f t="shared" si="1"/>
        <v>#N/A</v>
      </c>
      <c r="X46" s="21" t="e">
        <f t="shared" si="2"/>
        <v>#N/A</v>
      </c>
      <c r="Y46" s="21" t="e">
        <f t="shared" si="3"/>
        <v>#N/A</v>
      </c>
      <c r="Z46" s="11" t="e">
        <f t="shared" si="4"/>
        <v>#N/A</v>
      </c>
      <c r="AA46" s="22" t="e">
        <f t="shared" si="5"/>
        <v>#N/A</v>
      </c>
      <c r="AB46" s="21" t="e">
        <f t="shared" si="6"/>
        <v>#N/A</v>
      </c>
      <c r="AC46" s="21" t="e">
        <f t="shared" si="7"/>
        <v>#N/A</v>
      </c>
      <c r="AD46" s="11" t="e">
        <f t="shared" si="8"/>
        <v>#N/A</v>
      </c>
      <c r="AE46" s="22" t="e">
        <f t="shared" si="9"/>
        <v>#N/A</v>
      </c>
      <c r="AF46" s="21" t="e">
        <f t="shared" si="10"/>
        <v>#N/A</v>
      </c>
      <c r="AG46" s="21" t="e">
        <f t="shared" si="11"/>
        <v>#N/A</v>
      </c>
      <c r="AH46" s="11" t="e">
        <f t="shared" si="12"/>
        <v>#N/A</v>
      </c>
      <c r="AI46">
        <v>2.5000000000000001E-2</v>
      </c>
      <c r="AJ46">
        <v>-2.5000000000000001E-2</v>
      </c>
      <c r="AK46">
        <v>1.5E-3</v>
      </c>
      <c r="AL46">
        <v>-1.5E-3</v>
      </c>
      <c r="AM46">
        <v>1.5E-3</v>
      </c>
      <c r="AN46">
        <v>-1.5E-3</v>
      </c>
      <c r="AO46" s="16">
        <v>2.5000000000000001E-2</v>
      </c>
      <c r="AP46" s="16">
        <v>-2.5000000000000001E-2</v>
      </c>
      <c r="AQ46">
        <v>1.4999999999999999E-2</v>
      </c>
      <c r="AR46">
        <v>-1.4999999999999999E-2</v>
      </c>
      <c r="AS46">
        <v>1E-3</v>
      </c>
      <c r="AT46">
        <v>-1E-3</v>
      </c>
      <c r="AU46">
        <v>1E-3</v>
      </c>
      <c r="AV46">
        <v>-1E-3</v>
      </c>
      <c r="AW46" s="16">
        <v>1.4999999999999999E-2</v>
      </c>
      <c r="AX46" s="16">
        <v>-1.4999999999999999E-2</v>
      </c>
      <c r="JR46">
        <v>12.849506578947368</v>
      </c>
      <c r="JS46">
        <v>25.699013157894736</v>
      </c>
    </row>
    <row r="47" spans="1:279" customFormat="1">
      <c r="F47" s="17" t="str">
        <f t="shared" si="0"/>
        <v/>
      </c>
      <c r="G47" s="9"/>
      <c r="H47" s="2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22" t="e">
        <f t="shared" si="1"/>
        <v>#N/A</v>
      </c>
      <c r="X47" s="21" t="e">
        <f t="shared" si="2"/>
        <v>#N/A</v>
      </c>
      <c r="Y47" s="21" t="e">
        <f t="shared" si="3"/>
        <v>#N/A</v>
      </c>
      <c r="Z47" s="11" t="e">
        <f t="shared" si="4"/>
        <v>#N/A</v>
      </c>
      <c r="AA47" s="22" t="e">
        <f t="shared" si="5"/>
        <v>#N/A</v>
      </c>
      <c r="AB47" s="21" t="e">
        <f t="shared" si="6"/>
        <v>#N/A</v>
      </c>
      <c r="AC47" s="21" t="e">
        <f t="shared" si="7"/>
        <v>#N/A</v>
      </c>
      <c r="AD47" s="11" t="e">
        <f t="shared" si="8"/>
        <v>#N/A</v>
      </c>
      <c r="AE47" s="22" t="e">
        <f t="shared" si="9"/>
        <v>#N/A</v>
      </c>
      <c r="AF47" s="21" t="e">
        <f t="shared" si="10"/>
        <v>#N/A</v>
      </c>
      <c r="AG47" s="21" t="e">
        <f t="shared" si="11"/>
        <v>#N/A</v>
      </c>
      <c r="AH47" s="11" t="e">
        <f t="shared" si="12"/>
        <v>#N/A</v>
      </c>
      <c r="AI47">
        <v>2.5000000000000001E-2</v>
      </c>
      <c r="AJ47">
        <v>-2.5000000000000001E-2</v>
      </c>
      <c r="AK47">
        <v>1.5E-3</v>
      </c>
      <c r="AL47">
        <v>-1.5E-3</v>
      </c>
      <c r="AM47">
        <v>1.5E-3</v>
      </c>
      <c r="AN47">
        <v>-1.5E-3</v>
      </c>
      <c r="AO47" s="16">
        <v>2.5000000000000001E-2</v>
      </c>
      <c r="AP47" s="16">
        <v>-2.5000000000000001E-2</v>
      </c>
      <c r="AQ47">
        <v>1.4999999999999999E-2</v>
      </c>
      <c r="AR47">
        <v>-1.4999999999999999E-2</v>
      </c>
      <c r="AS47">
        <v>1E-3</v>
      </c>
      <c r="AT47">
        <v>-1E-3</v>
      </c>
      <c r="AU47">
        <v>1E-3</v>
      </c>
      <c r="AV47">
        <v>-1E-3</v>
      </c>
      <c r="AW47" s="16">
        <v>1.4999999999999999E-2</v>
      </c>
      <c r="AX47" s="16">
        <v>-1.4999999999999999E-2</v>
      </c>
    </row>
    <row r="48" spans="1:279" customFormat="1">
      <c r="F48" s="17" t="str">
        <f t="shared" si="0"/>
        <v/>
      </c>
      <c r="G48" s="9"/>
      <c r="H48" s="2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22" t="e">
        <f t="shared" si="1"/>
        <v>#N/A</v>
      </c>
      <c r="X48" s="21" t="e">
        <f t="shared" si="2"/>
        <v>#N/A</v>
      </c>
      <c r="Y48" s="21" t="e">
        <f t="shared" si="3"/>
        <v>#N/A</v>
      </c>
      <c r="Z48" s="11" t="e">
        <f t="shared" si="4"/>
        <v>#N/A</v>
      </c>
      <c r="AA48" s="22" t="e">
        <f t="shared" si="5"/>
        <v>#N/A</v>
      </c>
      <c r="AB48" s="21" t="e">
        <f t="shared" si="6"/>
        <v>#N/A</v>
      </c>
      <c r="AC48" s="21" t="e">
        <f t="shared" si="7"/>
        <v>#N/A</v>
      </c>
      <c r="AD48" s="11" t="e">
        <f t="shared" si="8"/>
        <v>#N/A</v>
      </c>
      <c r="AE48" s="22" t="e">
        <f t="shared" si="9"/>
        <v>#N/A</v>
      </c>
      <c r="AF48" s="21" t="e">
        <f t="shared" si="10"/>
        <v>#N/A</v>
      </c>
      <c r="AG48" s="21" t="e">
        <f t="shared" si="11"/>
        <v>#N/A</v>
      </c>
      <c r="AH48" s="11" t="e">
        <f t="shared" si="12"/>
        <v>#N/A</v>
      </c>
      <c r="AI48">
        <v>2.5000000000000001E-2</v>
      </c>
      <c r="AJ48">
        <v>-2.5000000000000001E-2</v>
      </c>
      <c r="AK48">
        <v>1.5E-3</v>
      </c>
      <c r="AL48">
        <v>-1.5E-3</v>
      </c>
      <c r="AM48">
        <v>1.5E-3</v>
      </c>
      <c r="AN48">
        <v>-1.5E-3</v>
      </c>
      <c r="AO48" s="16">
        <v>2.5000000000000001E-2</v>
      </c>
      <c r="AP48" s="16">
        <v>-2.5000000000000001E-2</v>
      </c>
      <c r="AQ48">
        <v>1.4999999999999999E-2</v>
      </c>
      <c r="AR48">
        <v>-1.4999999999999999E-2</v>
      </c>
      <c r="AS48">
        <v>1E-3</v>
      </c>
      <c r="AT48">
        <v>-1E-3</v>
      </c>
      <c r="AU48">
        <v>1E-3</v>
      </c>
      <c r="AV48">
        <v>-1E-3</v>
      </c>
      <c r="AW48" s="16">
        <v>1.4999999999999999E-2</v>
      </c>
      <c r="AX48" s="16">
        <v>-1.4999999999999999E-2</v>
      </c>
      <c r="JQ48">
        <v>12.849506578947368</v>
      </c>
      <c r="JR48">
        <v>12.849506578947368</v>
      </c>
      <c r="JS48">
        <v>12.849506578947368</v>
      </c>
    </row>
    <row r="49" spans="6:279" customFormat="1">
      <c r="F49" s="17" t="str">
        <f t="shared" si="0"/>
        <v/>
      </c>
      <c r="G49" s="9"/>
      <c r="H49" s="2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22" t="e">
        <f t="shared" si="1"/>
        <v>#N/A</v>
      </c>
      <c r="X49" s="21" t="e">
        <f t="shared" si="2"/>
        <v>#N/A</v>
      </c>
      <c r="Y49" s="21" t="e">
        <f t="shared" si="3"/>
        <v>#N/A</v>
      </c>
      <c r="Z49" s="11" t="e">
        <f t="shared" si="4"/>
        <v>#N/A</v>
      </c>
      <c r="AA49" s="22" t="e">
        <f t="shared" si="5"/>
        <v>#N/A</v>
      </c>
      <c r="AB49" s="21" t="e">
        <f t="shared" si="6"/>
        <v>#N/A</v>
      </c>
      <c r="AC49" s="21" t="e">
        <f t="shared" si="7"/>
        <v>#N/A</v>
      </c>
      <c r="AD49" s="11" t="e">
        <f t="shared" si="8"/>
        <v>#N/A</v>
      </c>
      <c r="AE49" s="22" t="e">
        <f t="shared" si="9"/>
        <v>#N/A</v>
      </c>
      <c r="AF49" s="21" t="e">
        <f t="shared" si="10"/>
        <v>#N/A</v>
      </c>
      <c r="AG49" s="21" t="e">
        <f t="shared" si="11"/>
        <v>#N/A</v>
      </c>
      <c r="AH49" s="11" t="e">
        <f t="shared" si="12"/>
        <v>#N/A</v>
      </c>
      <c r="AI49">
        <v>2.5000000000000001E-2</v>
      </c>
      <c r="AJ49">
        <v>-2.5000000000000001E-2</v>
      </c>
      <c r="AK49">
        <v>1.5E-3</v>
      </c>
      <c r="AL49">
        <v>-1.5E-3</v>
      </c>
      <c r="AM49">
        <v>1.5E-3</v>
      </c>
      <c r="AN49">
        <v>-1.5E-3</v>
      </c>
      <c r="AO49" s="16">
        <v>2.5000000000000001E-2</v>
      </c>
      <c r="AP49" s="16">
        <v>-2.5000000000000001E-2</v>
      </c>
      <c r="AQ49">
        <v>1.4999999999999999E-2</v>
      </c>
      <c r="AR49">
        <v>-1.4999999999999999E-2</v>
      </c>
      <c r="AS49">
        <v>1E-3</v>
      </c>
      <c r="AT49">
        <v>-1E-3</v>
      </c>
      <c r="AU49">
        <v>1E-3</v>
      </c>
      <c r="AV49">
        <v>-1E-3</v>
      </c>
      <c r="AW49" s="16">
        <v>1.4999999999999999E-2</v>
      </c>
      <c r="AX49" s="16">
        <v>-1.4999999999999999E-2</v>
      </c>
    </row>
    <row r="50" spans="6:279" customFormat="1">
      <c r="F50" s="17" t="str">
        <f t="shared" si="0"/>
        <v/>
      </c>
      <c r="G50" s="9"/>
      <c r="H50" s="2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22" t="e">
        <f t="shared" si="1"/>
        <v>#N/A</v>
      </c>
      <c r="X50" s="21" t="e">
        <f t="shared" si="2"/>
        <v>#N/A</v>
      </c>
      <c r="Y50" s="21" t="e">
        <f t="shared" si="3"/>
        <v>#N/A</v>
      </c>
      <c r="Z50" s="11" t="e">
        <f t="shared" si="4"/>
        <v>#N/A</v>
      </c>
      <c r="AA50" s="22" t="e">
        <f t="shared" si="5"/>
        <v>#N/A</v>
      </c>
      <c r="AB50" s="21" t="e">
        <f t="shared" si="6"/>
        <v>#N/A</v>
      </c>
      <c r="AC50" s="21" t="e">
        <f t="shared" si="7"/>
        <v>#N/A</v>
      </c>
      <c r="AD50" s="11" t="e">
        <f t="shared" si="8"/>
        <v>#N/A</v>
      </c>
      <c r="AE50" s="22" t="e">
        <f t="shared" si="9"/>
        <v>#N/A</v>
      </c>
      <c r="AF50" s="21" t="e">
        <f t="shared" si="10"/>
        <v>#N/A</v>
      </c>
      <c r="AG50" s="21" t="e">
        <f t="shared" si="11"/>
        <v>#N/A</v>
      </c>
      <c r="AH50" s="11" t="e">
        <f t="shared" si="12"/>
        <v>#N/A</v>
      </c>
      <c r="AI50">
        <v>2.5000000000000001E-2</v>
      </c>
      <c r="AJ50">
        <v>-2.5000000000000001E-2</v>
      </c>
      <c r="AK50">
        <v>1.5E-3</v>
      </c>
      <c r="AL50">
        <v>-1.5E-3</v>
      </c>
      <c r="AM50">
        <v>1.5E-3</v>
      </c>
      <c r="AN50">
        <v>-1.5E-3</v>
      </c>
      <c r="AO50" s="16">
        <v>2.5000000000000001E-2</v>
      </c>
      <c r="AP50" s="16">
        <v>-2.5000000000000001E-2</v>
      </c>
      <c r="AQ50">
        <v>1.4999999999999999E-2</v>
      </c>
      <c r="AR50">
        <v>-1.4999999999999999E-2</v>
      </c>
      <c r="AS50">
        <v>1E-3</v>
      </c>
      <c r="AT50">
        <v>-1E-3</v>
      </c>
      <c r="AU50">
        <v>1E-3</v>
      </c>
      <c r="AV50">
        <v>-1E-3</v>
      </c>
      <c r="AW50" s="16">
        <v>1.4999999999999999E-2</v>
      </c>
      <c r="AX50" s="16">
        <v>-1.4999999999999999E-2</v>
      </c>
    </row>
    <row r="51" spans="6:279" customFormat="1">
      <c r="F51" s="17" t="str">
        <f t="shared" si="0"/>
        <v/>
      </c>
      <c r="G51" s="9"/>
      <c r="H51" s="2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22" t="e">
        <f t="shared" si="1"/>
        <v>#N/A</v>
      </c>
      <c r="X51" s="21" t="e">
        <f t="shared" si="2"/>
        <v>#N/A</v>
      </c>
      <c r="Y51" s="21" t="e">
        <f t="shared" si="3"/>
        <v>#N/A</v>
      </c>
      <c r="Z51" s="11" t="e">
        <f t="shared" si="4"/>
        <v>#N/A</v>
      </c>
      <c r="AA51" s="22" t="e">
        <f t="shared" si="5"/>
        <v>#N/A</v>
      </c>
      <c r="AB51" s="21" t="e">
        <f t="shared" si="6"/>
        <v>#N/A</v>
      </c>
      <c r="AC51" s="21" t="e">
        <f t="shared" si="7"/>
        <v>#N/A</v>
      </c>
      <c r="AD51" s="11" t="e">
        <f t="shared" si="8"/>
        <v>#N/A</v>
      </c>
      <c r="AE51" s="22" t="e">
        <f t="shared" si="9"/>
        <v>#N/A</v>
      </c>
      <c r="AF51" s="21" t="e">
        <f t="shared" si="10"/>
        <v>#N/A</v>
      </c>
      <c r="AG51" s="21" t="e">
        <f t="shared" si="11"/>
        <v>#N/A</v>
      </c>
      <c r="AH51" s="11" t="e">
        <f t="shared" si="12"/>
        <v>#N/A</v>
      </c>
      <c r="AI51">
        <v>2.5000000000000001E-2</v>
      </c>
      <c r="AJ51">
        <v>-2.5000000000000001E-2</v>
      </c>
      <c r="AK51">
        <v>1.5E-3</v>
      </c>
      <c r="AL51">
        <v>-1.5E-3</v>
      </c>
      <c r="AM51">
        <v>1.5E-3</v>
      </c>
      <c r="AN51">
        <v>-1.5E-3</v>
      </c>
      <c r="AO51" s="16">
        <v>2.5000000000000001E-2</v>
      </c>
      <c r="AP51" s="16">
        <v>-2.5000000000000001E-2</v>
      </c>
      <c r="AQ51">
        <v>1.4999999999999999E-2</v>
      </c>
      <c r="AR51">
        <v>-1.4999999999999999E-2</v>
      </c>
      <c r="AS51">
        <v>1E-3</v>
      </c>
      <c r="AT51">
        <v>-1E-3</v>
      </c>
      <c r="AU51">
        <v>1E-3</v>
      </c>
      <c r="AV51">
        <v>-1E-3</v>
      </c>
      <c r="AW51" s="16">
        <v>1.4999999999999999E-2</v>
      </c>
      <c r="AX51" s="16">
        <v>-1.4999999999999999E-2</v>
      </c>
    </row>
    <row r="52" spans="6:279" customFormat="1">
      <c r="F52" s="17" t="str">
        <f t="shared" si="0"/>
        <v/>
      </c>
      <c r="G52" s="9"/>
      <c r="H52" s="2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22" t="e">
        <f t="shared" si="1"/>
        <v>#N/A</v>
      </c>
      <c r="X52" s="21" t="e">
        <f t="shared" si="2"/>
        <v>#N/A</v>
      </c>
      <c r="Y52" s="21" t="e">
        <f t="shared" si="3"/>
        <v>#N/A</v>
      </c>
      <c r="Z52" s="11" t="e">
        <f t="shared" si="4"/>
        <v>#N/A</v>
      </c>
      <c r="AA52" s="22" t="e">
        <f t="shared" si="5"/>
        <v>#N/A</v>
      </c>
      <c r="AB52" s="21" t="e">
        <f t="shared" si="6"/>
        <v>#N/A</v>
      </c>
      <c r="AC52" s="21" t="e">
        <f t="shared" si="7"/>
        <v>#N/A</v>
      </c>
      <c r="AD52" s="11" t="e">
        <f t="shared" si="8"/>
        <v>#N/A</v>
      </c>
      <c r="AE52" s="22" t="e">
        <f t="shared" si="9"/>
        <v>#N/A</v>
      </c>
      <c r="AF52" s="21" t="e">
        <f t="shared" si="10"/>
        <v>#N/A</v>
      </c>
      <c r="AG52" s="21" t="e">
        <f t="shared" si="11"/>
        <v>#N/A</v>
      </c>
      <c r="AH52" s="11" t="e">
        <f t="shared" si="12"/>
        <v>#N/A</v>
      </c>
      <c r="AI52">
        <v>2.5000000000000001E-2</v>
      </c>
      <c r="AJ52">
        <v>-2.5000000000000001E-2</v>
      </c>
      <c r="AK52">
        <v>1.5E-3</v>
      </c>
      <c r="AL52">
        <v>-1.5E-3</v>
      </c>
      <c r="AM52">
        <v>1.5E-3</v>
      </c>
      <c r="AN52">
        <v>-1.5E-3</v>
      </c>
      <c r="AO52" s="16">
        <v>2.5000000000000001E-2</v>
      </c>
      <c r="AP52" s="16">
        <v>-2.5000000000000001E-2</v>
      </c>
      <c r="AQ52">
        <v>1.4999999999999999E-2</v>
      </c>
      <c r="AR52">
        <v>-1.4999999999999999E-2</v>
      </c>
      <c r="AS52">
        <v>1E-3</v>
      </c>
      <c r="AT52">
        <v>-1E-3</v>
      </c>
      <c r="AU52">
        <v>1E-3</v>
      </c>
      <c r="AV52">
        <v>-1E-3</v>
      </c>
      <c r="AW52" s="16">
        <v>1.4999999999999999E-2</v>
      </c>
      <c r="AX52" s="16">
        <v>-1.4999999999999999E-2</v>
      </c>
    </row>
    <row r="53" spans="6:279" customFormat="1">
      <c r="F53" s="17" t="str">
        <f t="shared" si="0"/>
        <v/>
      </c>
      <c r="G53" s="9"/>
      <c r="H53" s="2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22" t="e">
        <f t="shared" si="1"/>
        <v>#N/A</v>
      </c>
      <c r="X53" s="21" t="e">
        <f t="shared" si="2"/>
        <v>#N/A</v>
      </c>
      <c r="Y53" s="21" t="e">
        <f t="shared" si="3"/>
        <v>#N/A</v>
      </c>
      <c r="Z53" s="11" t="e">
        <f t="shared" si="4"/>
        <v>#N/A</v>
      </c>
      <c r="AA53" s="22" t="e">
        <f t="shared" si="5"/>
        <v>#N/A</v>
      </c>
      <c r="AB53" s="21" t="e">
        <f t="shared" si="6"/>
        <v>#N/A</v>
      </c>
      <c r="AC53" s="21" t="e">
        <f t="shared" si="7"/>
        <v>#N/A</v>
      </c>
      <c r="AD53" s="11" t="e">
        <f t="shared" si="8"/>
        <v>#N/A</v>
      </c>
      <c r="AE53" s="22" t="e">
        <f t="shared" si="9"/>
        <v>#N/A</v>
      </c>
      <c r="AF53" s="21" t="e">
        <f t="shared" si="10"/>
        <v>#N/A</v>
      </c>
      <c r="AG53" s="21" t="e">
        <f t="shared" si="11"/>
        <v>#N/A</v>
      </c>
      <c r="AH53" s="11" t="e">
        <f t="shared" si="12"/>
        <v>#N/A</v>
      </c>
      <c r="AI53">
        <v>2.5000000000000001E-2</v>
      </c>
      <c r="AJ53">
        <v>-2.5000000000000001E-2</v>
      </c>
      <c r="AK53">
        <v>1.5E-3</v>
      </c>
      <c r="AL53">
        <v>-1.5E-3</v>
      </c>
      <c r="AM53">
        <v>1.5E-3</v>
      </c>
      <c r="AN53">
        <v>-1.5E-3</v>
      </c>
      <c r="AO53" s="16">
        <v>2.5000000000000001E-2</v>
      </c>
      <c r="AP53" s="16">
        <v>-2.5000000000000001E-2</v>
      </c>
      <c r="AQ53">
        <v>1.4999999999999999E-2</v>
      </c>
      <c r="AR53">
        <v>-1.4999999999999999E-2</v>
      </c>
      <c r="AS53">
        <v>1E-3</v>
      </c>
      <c r="AT53">
        <v>-1E-3</v>
      </c>
      <c r="AU53">
        <v>1E-3</v>
      </c>
      <c r="AV53">
        <v>-1E-3</v>
      </c>
      <c r="AW53" s="16">
        <v>1.4999999999999999E-2</v>
      </c>
      <c r="AX53" s="16">
        <v>-1.4999999999999999E-2</v>
      </c>
      <c r="JR53">
        <v>12.849506578947368</v>
      </c>
    </row>
    <row r="54" spans="6:279" customFormat="1">
      <c r="F54" s="17" t="str">
        <f t="shared" si="0"/>
        <v/>
      </c>
      <c r="G54" s="9"/>
      <c r="H54" s="2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22" t="e">
        <f t="shared" si="1"/>
        <v>#N/A</v>
      </c>
      <c r="X54" s="21" t="e">
        <f t="shared" si="2"/>
        <v>#N/A</v>
      </c>
      <c r="Y54" s="21" t="e">
        <f t="shared" si="3"/>
        <v>#N/A</v>
      </c>
      <c r="Z54" s="11" t="e">
        <f t="shared" si="4"/>
        <v>#N/A</v>
      </c>
      <c r="AA54" s="22" t="e">
        <f t="shared" si="5"/>
        <v>#N/A</v>
      </c>
      <c r="AB54" s="21" t="e">
        <f t="shared" si="6"/>
        <v>#N/A</v>
      </c>
      <c r="AC54" s="21" t="e">
        <f t="shared" si="7"/>
        <v>#N/A</v>
      </c>
      <c r="AD54" s="11" t="e">
        <f t="shared" si="8"/>
        <v>#N/A</v>
      </c>
      <c r="AE54" s="22" t="e">
        <f t="shared" si="9"/>
        <v>#N/A</v>
      </c>
      <c r="AF54" s="21" t="e">
        <f t="shared" si="10"/>
        <v>#N/A</v>
      </c>
      <c r="AG54" s="21" t="e">
        <f t="shared" si="11"/>
        <v>#N/A</v>
      </c>
      <c r="AH54" s="11" t="e">
        <f t="shared" si="12"/>
        <v>#N/A</v>
      </c>
      <c r="AI54">
        <v>2.5000000000000001E-2</v>
      </c>
      <c r="AJ54">
        <v>-2.5000000000000001E-2</v>
      </c>
      <c r="AK54">
        <v>1.5E-3</v>
      </c>
      <c r="AL54">
        <v>-1.5E-3</v>
      </c>
      <c r="AM54">
        <v>1.5E-3</v>
      </c>
      <c r="AN54">
        <v>-1.5E-3</v>
      </c>
      <c r="AO54" s="16">
        <v>2.5000000000000001E-2</v>
      </c>
      <c r="AP54" s="16">
        <v>-2.5000000000000001E-2</v>
      </c>
      <c r="AQ54">
        <v>1.4999999999999999E-2</v>
      </c>
      <c r="AR54">
        <v>-1.4999999999999999E-2</v>
      </c>
      <c r="AS54">
        <v>1E-3</v>
      </c>
      <c r="AT54">
        <v>-1E-3</v>
      </c>
      <c r="AU54">
        <v>1E-3</v>
      </c>
      <c r="AV54">
        <v>-1E-3</v>
      </c>
      <c r="AW54" s="16">
        <v>1.4999999999999999E-2</v>
      </c>
      <c r="AX54" s="16">
        <v>-1.4999999999999999E-2</v>
      </c>
    </row>
    <row r="55" spans="6:279" customFormat="1">
      <c r="F55" s="17" t="str">
        <f t="shared" si="0"/>
        <v/>
      </c>
      <c r="G55" s="9"/>
      <c r="H55" s="2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22" t="e">
        <f t="shared" si="1"/>
        <v>#N/A</v>
      </c>
      <c r="X55" s="21" t="e">
        <f t="shared" si="2"/>
        <v>#N/A</v>
      </c>
      <c r="Y55" s="21" t="e">
        <f t="shared" si="3"/>
        <v>#N/A</v>
      </c>
      <c r="Z55" s="11" t="e">
        <f t="shared" si="4"/>
        <v>#N/A</v>
      </c>
      <c r="AA55" s="22" t="e">
        <f t="shared" si="5"/>
        <v>#N/A</v>
      </c>
      <c r="AB55" s="21" t="e">
        <f t="shared" si="6"/>
        <v>#N/A</v>
      </c>
      <c r="AC55" s="21" t="e">
        <f t="shared" si="7"/>
        <v>#N/A</v>
      </c>
      <c r="AD55" s="11" t="e">
        <f t="shared" si="8"/>
        <v>#N/A</v>
      </c>
      <c r="AE55" s="22" t="e">
        <f t="shared" si="9"/>
        <v>#N/A</v>
      </c>
      <c r="AF55" s="21" t="e">
        <f t="shared" si="10"/>
        <v>#N/A</v>
      </c>
      <c r="AG55" s="21" t="e">
        <f t="shared" si="11"/>
        <v>#N/A</v>
      </c>
      <c r="AH55" s="11" t="e">
        <f t="shared" si="12"/>
        <v>#N/A</v>
      </c>
      <c r="AI55">
        <v>2.5000000000000001E-2</v>
      </c>
      <c r="AJ55">
        <v>-2.5000000000000001E-2</v>
      </c>
      <c r="AK55">
        <v>1.5E-3</v>
      </c>
      <c r="AL55">
        <v>-1.5E-3</v>
      </c>
      <c r="AM55">
        <v>1.5E-3</v>
      </c>
      <c r="AN55">
        <v>-1.5E-3</v>
      </c>
      <c r="AO55" s="16">
        <v>2.5000000000000001E-2</v>
      </c>
      <c r="AP55" s="16">
        <v>-2.5000000000000001E-2</v>
      </c>
      <c r="AQ55">
        <v>1.4999999999999999E-2</v>
      </c>
      <c r="AR55">
        <v>-1.4999999999999999E-2</v>
      </c>
      <c r="AS55">
        <v>1E-3</v>
      </c>
      <c r="AT55">
        <v>-1E-3</v>
      </c>
      <c r="AU55">
        <v>1E-3</v>
      </c>
      <c r="AV55">
        <v>-1E-3</v>
      </c>
      <c r="AW55" s="16">
        <v>1.4999999999999999E-2</v>
      </c>
      <c r="AX55" s="16">
        <v>-1.4999999999999999E-2</v>
      </c>
      <c r="JR55">
        <v>12.849506578947368</v>
      </c>
      <c r="JS55">
        <v>12.849506578947368</v>
      </c>
    </row>
    <row r="56" spans="6:279" customFormat="1">
      <c r="F56" s="17" t="str">
        <f t="shared" si="0"/>
        <v/>
      </c>
      <c r="G56" s="9"/>
      <c r="H56" s="2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22" t="e">
        <f t="shared" si="1"/>
        <v>#N/A</v>
      </c>
      <c r="X56" s="21" t="e">
        <f t="shared" si="2"/>
        <v>#N/A</v>
      </c>
      <c r="Y56" s="21" t="e">
        <f t="shared" si="3"/>
        <v>#N/A</v>
      </c>
      <c r="Z56" s="11" t="e">
        <f t="shared" si="4"/>
        <v>#N/A</v>
      </c>
      <c r="AA56" s="22" t="e">
        <f t="shared" si="5"/>
        <v>#N/A</v>
      </c>
      <c r="AB56" s="21" t="e">
        <f t="shared" si="6"/>
        <v>#N/A</v>
      </c>
      <c r="AC56" s="21" t="e">
        <f t="shared" si="7"/>
        <v>#N/A</v>
      </c>
      <c r="AD56" s="11" t="e">
        <f t="shared" si="8"/>
        <v>#N/A</v>
      </c>
      <c r="AE56" s="22" t="e">
        <f t="shared" si="9"/>
        <v>#N/A</v>
      </c>
      <c r="AF56" s="21" t="e">
        <f t="shared" si="10"/>
        <v>#N/A</v>
      </c>
      <c r="AG56" s="21" t="e">
        <f t="shared" si="11"/>
        <v>#N/A</v>
      </c>
      <c r="AH56" s="11" t="e">
        <f t="shared" si="12"/>
        <v>#N/A</v>
      </c>
      <c r="AI56">
        <v>2.5000000000000001E-2</v>
      </c>
      <c r="AJ56">
        <v>-2.5000000000000001E-2</v>
      </c>
      <c r="AK56">
        <v>1.5E-3</v>
      </c>
      <c r="AL56">
        <v>-1.5E-3</v>
      </c>
      <c r="AM56">
        <v>1.5E-3</v>
      </c>
      <c r="AN56">
        <v>-1.5E-3</v>
      </c>
      <c r="AO56" s="16">
        <v>2.5000000000000001E-2</v>
      </c>
      <c r="AP56" s="16">
        <v>-2.5000000000000001E-2</v>
      </c>
      <c r="AQ56">
        <v>1.4999999999999999E-2</v>
      </c>
      <c r="AR56">
        <v>-1.4999999999999999E-2</v>
      </c>
      <c r="AS56">
        <v>1E-3</v>
      </c>
      <c r="AT56">
        <v>-1E-3</v>
      </c>
      <c r="AU56">
        <v>1E-3</v>
      </c>
      <c r="AV56">
        <v>-1E-3</v>
      </c>
      <c r="AW56" s="16">
        <v>1.4999999999999999E-2</v>
      </c>
      <c r="AX56" s="16">
        <v>-1.4999999999999999E-2</v>
      </c>
      <c r="JP56">
        <v>12.849506578947368</v>
      </c>
    </row>
    <row r="57" spans="6:279" customFormat="1">
      <c r="F57" s="17" t="str">
        <f t="shared" si="0"/>
        <v/>
      </c>
      <c r="G57" s="9"/>
      <c r="H57" s="2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22" t="e">
        <f t="shared" si="1"/>
        <v>#N/A</v>
      </c>
      <c r="X57" s="21" t="e">
        <f t="shared" si="2"/>
        <v>#N/A</v>
      </c>
      <c r="Y57" s="21" t="e">
        <f t="shared" si="3"/>
        <v>#N/A</v>
      </c>
      <c r="Z57" s="11" t="e">
        <f t="shared" si="4"/>
        <v>#N/A</v>
      </c>
      <c r="AA57" s="22" t="e">
        <f t="shared" si="5"/>
        <v>#N/A</v>
      </c>
      <c r="AB57" s="21" t="e">
        <f t="shared" si="6"/>
        <v>#N/A</v>
      </c>
      <c r="AC57" s="21" t="e">
        <f t="shared" si="7"/>
        <v>#N/A</v>
      </c>
      <c r="AD57" s="11" t="e">
        <f t="shared" si="8"/>
        <v>#N/A</v>
      </c>
      <c r="AE57" s="22" t="e">
        <f t="shared" si="9"/>
        <v>#N/A</v>
      </c>
      <c r="AF57" s="21" t="e">
        <f t="shared" si="10"/>
        <v>#N/A</v>
      </c>
      <c r="AG57" s="21" t="e">
        <f t="shared" si="11"/>
        <v>#N/A</v>
      </c>
      <c r="AH57" s="11" t="e">
        <f t="shared" si="12"/>
        <v>#N/A</v>
      </c>
      <c r="AI57">
        <v>2.5000000000000001E-2</v>
      </c>
      <c r="AJ57">
        <v>-2.5000000000000001E-2</v>
      </c>
      <c r="AK57">
        <v>1.5E-3</v>
      </c>
      <c r="AL57">
        <v>-1.5E-3</v>
      </c>
      <c r="AM57">
        <v>1.5E-3</v>
      </c>
      <c r="AN57">
        <v>-1.5E-3</v>
      </c>
      <c r="AO57" s="16">
        <v>2.5000000000000001E-2</v>
      </c>
      <c r="AP57" s="16">
        <v>-2.5000000000000001E-2</v>
      </c>
      <c r="AQ57">
        <v>1.4999999999999999E-2</v>
      </c>
      <c r="AR57">
        <v>-1.4999999999999999E-2</v>
      </c>
      <c r="AS57">
        <v>1E-3</v>
      </c>
      <c r="AT57">
        <v>-1E-3</v>
      </c>
      <c r="AU57">
        <v>1E-3</v>
      </c>
      <c r="AV57">
        <v>-1E-3</v>
      </c>
      <c r="AW57" s="16">
        <v>1.4999999999999999E-2</v>
      </c>
      <c r="AX57" s="16">
        <v>-1.4999999999999999E-2</v>
      </c>
      <c r="JP57">
        <v>38.548519736842103</v>
      </c>
      <c r="JR57">
        <v>12.849506578947368</v>
      </c>
      <c r="JS57">
        <v>12.849506578947368</v>
      </c>
    </row>
    <row r="58" spans="6:279" customFormat="1">
      <c r="F58" s="17" t="str">
        <f t="shared" si="0"/>
        <v/>
      </c>
      <c r="G58" s="9"/>
      <c r="H58" s="2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22" t="e">
        <f t="shared" si="1"/>
        <v>#N/A</v>
      </c>
      <c r="X58" s="21" t="e">
        <f t="shared" si="2"/>
        <v>#N/A</v>
      </c>
      <c r="Y58" s="21" t="e">
        <f t="shared" si="3"/>
        <v>#N/A</v>
      </c>
      <c r="Z58" s="11" t="e">
        <f t="shared" si="4"/>
        <v>#N/A</v>
      </c>
      <c r="AA58" s="22" t="e">
        <f t="shared" si="5"/>
        <v>#N/A</v>
      </c>
      <c r="AB58" s="21" t="e">
        <f t="shared" si="6"/>
        <v>#N/A</v>
      </c>
      <c r="AC58" s="21" t="e">
        <f t="shared" si="7"/>
        <v>#N/A</v>
      </c>
      <c r="AD58" s="11" t="e">
        <f t="shared" si="8"/>
        <v>#N/A</v>
      </c>
      <c r="AE58" s="22" t="e">
        <f t="shared" si="9"/>
        <v>#N/A</v>
      </c>
      <c r="AF58" s="21" t="e">
        <f t="shared" si="10"/>
        <v>#N/A</v>
      </c>
      <c r="AG58" s="21" t="e">
        <f t="shared" si="11"/>
        <v>#N/A</v>
      </c>
      <c r="AH58" s="11" t="e">
        <f t="shared" si="12"/>
        <v>#N/A</v>
      </c>
      <c r="AI58">
        <v>2.5000000000000001E-2</v>
      </c>
      <c r="AJ58">
        <v>-2.5000000000000001E-2</v>
      </c>
      <c r="AK58">
        <v>1.5E-3</v>
      </c>
      <c r="AL58">
        <v>-1.5E-3</v>
      </c>
      <c r="AM58">
        <v>1.5E-3</v>
      </c>
      <c r="AN58">
        <v>-1.5E-3</v>
      </c>
      <c r="AO58" s="16">
        <v>2.5000000000000001E-2</v>
      </c>
      <c r="AP58" s="16">
        <v>-2.5000000000000001E-2</v>
      </c>
      <c r="AQ58">
        <v>1.4999999999999999E-2</v>
      </c>
      <c r="AR58">
        <v>-1.4999999999999999E-2</v>
      </c>
      <c r="AS58">
        <v>1E-3</v>
      </c>
      <c r="AT58">
        <v>-1E-3</v>
      </c>
      <c r="AU58">
        <v>1E-3</v>
      </c>
      <c r="AV58">
        <v>-1E-3</v>
      </c>
      <c r="AW58" s="16">
        <v>1.4999999999999999E-2</v>
      </c>
      <c r="AX58" s="16">
        <v>-1.4999999999999999E-2</v>
      </c>
    </row>
    <row r="59" spans="6:279" customFormat="1">
      <c r="F59" s="17" t="str">
        <f t="shared" si="0"/>
        <v/>
      </c>
      <c r="G59" s="9"/>
      <c r="H59" s="2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22" t="e">
        <f t="shared" si="1"/>
        <v>#N/A</v>
      </c>
      <c r="X59" s="21" t="e">
        <f t="shared" si="2"/>
        <v>#N/A</v>
      </c>
      <c r="Y59" s="21" t="e">
        <f t="shared" si="3"/>
        <v>#N/A</v>
      </c>
      <c r="Z59" s="11" t="e">
        <f t="shared" si="4"/>
        <v>#N/A</v>
      </c>
      <c r="AA59" s="22" t="e">
        <f t="shared" si="5"/>
        <v>#N/A</v>
      </c>
      <c r="AB59" s="21" t="e">
        <f t="shared" si="6"/>
        <v>#N/A</v>
      </c>
      <c r="AC59" s="21" t="e">
        <f t="shared" si="7"/>
        <v>#N/A</v>
      </c>
      <c r="AD59" s="11" t="e">
        <f t="shared" si="8"/>
        <v>#N/A</v>
      </c>
      <c r="AE59" s="22" t="e">
        <f t="shared" si="9"/>
        <v>#N/A</v>
      </c>
      <c r="AF59" s="21" t="e">
        <f t="shared" si="10"/>
        <v>#N/A</v>
      </c>
      <c r="AG59" s="21" t="e">
        <f t="shared" si="11"/>
        <v>#N/A</v>
      </c>
      <c r="AH59" s="11" t="e">
        <f t="shared" si="12"/>
        <v>#N/A</v>
      </c>
      <c r="AI59">
        <v>2.5000000000000001E-2</v>
      </c>
      <c r="AJ59">
        <v>-2.5000000000000001E-2</v>
      </c>
      <c r="AK59">
        <v>1.5E-3</v>
      </c>
      <c r="AL59">
        <v>-1.5E-3</v>
      </c>
      <c r="AM59">
        <v>1.5E-3</v>
      </c>
      <c r="AN59">
        <v>-1.5E-3</v>
      </c>
      <c r="AO59" s="16">
        <v>2.5000000000000001E-2</v>
      </c>
      <c r="AP59" s="16">
        <v>-2.5000000000000001E-2</v>
      </c>
      <c r="AQ59">
        <v>1.4999999999999999E-2</v>
      </c>
      <c r="AR59">
        <v>-1.4999999999999999E-2</v>
      </c>
      <c r="AS59">
        <v>1E-3</v>
      </c>
      <c r="AT59">
        <v>-1E-3</v>
      </c>
      <c r="AU59">
        <v>1E-3</v>
      </c>
      <c r="AV59">
        <v>-1E-3</v>
      </c>
      <c r="AW59" s="16">
        <v>1.4999999999999999E-2</v>
      </c>
      <c r="AX59" s="16">
        <v>-1.4999999999999999E-2</v>
      </c>
      <c r="JQ59">
        <v>12.849506578947368</v>
      </c>
      <c r="JR59">
        <v>12.849506578947368</v>
      </c>
      <c r="JS59">
        <v>38.548519736842103</v>
      </c>
    </row>
    <row r="60" spans="6:279" customFormat="1">
      <c r="F60" s="17" t="str">
        <f t="shared" si="0"/>
        <v/>
      </c>
      <c r="G60" s="9"/>
      <c r="H60" s="2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22" t="e">
        <f t="shared" si="1"/>
        <v>#N/A</v>
      </c>
      <c r="X60" s="21" t="e">
        <f t="shared" si="2"/>
        <v>#N/A</v>
      </c>
      <c r="Y60" s="21" t="e">
        <f t="shared" si="3"/>
        <v>#N/A</v>
      </c>
      <c r="Z60" s="11" t="e">
        <f t="shared" si="4"/>
        <v>#N/A</v>
      </c>
      <c r="AA60" s="22" t="e">
        <f t="shared" si="5"/>
        <v>#N/A</v>
      </c>
      <c r="AB60" s="21" t="e">
        <f t="shared" si="6"/>
        <v>#N/A</v>
      </c>
      <c r="AC60" s="21" t="e">
        <f t="shared" si="7"/>
        <v>#N/A</v>
      </c>
      <c r="AD60" s="11" t="e">
        <f t="shared" si="8"/>
        <v>#N/A</v>
      </c>
      <c r="AE60" s="22" t="e">
        <f t="shared" si="9"/>
        <v>#N/A</v>
      </c>
      <c r="AF60" s="21" t="e">
        <f t="shared" si="10"/>
        <v>#N/A</v>
      </c>
      <c r="AG60" s="21" t="e">
        <f t="shared" si="11"/>
        <v>#N/A</v>
      </c>
      <c r="AH60" s="11" t="e">
        <f t="shared" si="12"/>
        <v>#N/A</v>
      </c>
      <c r="AI60">
        <v>2.5000000000000001E-2</v>
      </c>
      <c r="AJ60">
        <v>-2.5000000000000001E-2</v>
      </c>
      <c r="AK60">
        <v>1.5E-3</v>
      </c>
      <c r="AL60">
        <v>-1.5E-3</v>
      </c>
      <c r="AM60">
        <v>1.5E-3</v>
      </c>
      <c r="AN60">
        <v>-1.5E-3</v>
      </c>
      <c r="AO60" s="16">
        <v>2.5000000000000001E-2</v>
      </c>
      <c r="AP60" s="16">
        <v>-2.5000000000000001E-2</v>
      </c>
      <c r="AQ60">
        <v>1.4999999999999999E-2</v>
      </c>
      <c r="AR60">
        <v>-1.4999999999999999E-2</v>
      </c>
      <c r="AS60">
        <v>1E-3</v>
      </c>
      <c r="AT60">
        <v>-1E-3</v>
      </c>
      <c r="AU60">
        <v>1E-3</v>
      </c>
      <c r="AV60">
        <v>-1E-3</v>
      </c>
      <c r="AW60" s="16">
        <v>1.4999999999999999E-2</v>
      </c>
      <c r="AX60" s="16">
        <v>-1.4999999999999999E-2</v>
      </c>
    </row>
    <row r="61" spans="6:279" customFormat="1">
      <c r="F61" s="17" t="str">
        <f t="shared" si="0"/>
        <v/>
      </c>
      <c r="G61" s="9"/>
      <c r="H61" s="2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22" t="e">
        <f t="shared" si="1"/>
        <v>#N/A</v>
      </c>
      <c r="X61" s="21" t="e">
        <f t="shared" si="2"/>
        <v>#N/A</v>
      </c>
      <c r="Y61" s="21" t="e">
        <f t="shared" si="3"/>
        <v>#N/A</v>
      </c>
      <c r="Z61" s="11" t="e">
        <f t="shared" si="4"/>
        <v>#N/A</v>
      </c>
      <c r="AA61" s="22" t="e">
        <f t="shared" si="5"/>
        <v>#N/A</v>
      </c>
      <c r="AB61" s="21" t="e">
        <f t="shared" si="6"/>
        <v>#N/A</v>
      </c>
      <c r="AC61" s="21" t="e">
        <f t="shared" si="7"/>
        <v>#N/A</v>
      </c>
      <c r="AD61" s="11" t="e">
        <f t="shared" si="8"/>
        <v>#N/A</v>
      </c>
      <c r="AE61" s="22" t="e">
        <f t="shared" si="9"/>
        <v>#N/A</v>
      </c>
      <c r="AF61" s="21" t="e">
        <f t="shared" si="10"/>
        <v>#N/A</v>
      </c>
      <c r="AG61" s="21" t="e">
        <f t="shared" si="11"/>
        <v>#N/A</v>
      </c>
      <c r="AH61" s="11" t="e">
        <f t="shared" si="12"/>
        <v>#N/A</v>
      </c>
      <c r="AI61">
        <v>2.5000000000000001E-2</v>
      </c>
      <c r="AJ61">
        <v>-2.5000000000000001E-2</v>
      </c>
      <c r="AK61">
        <v>1.5E-3</v>
      </c>
      <c r="AL61">
        <v>-1.5E-3</v>
      </c>
      <c r="AM61">
        <v>1.5E-3</v>
      </c>
      <c r="AN61">
        <v>-1.5E-3</v>
      </c>
      <c r="AO61" s="16">
        <v>2.5000000000000001E-2</v>
      </c>
      <c r="AP61" s="16">
        <v>-2.5000000000000001E-2</v>
      </c>
      <c r="AQ61">
        <v>1.4999999999999999E-2</v>
      </c>
      <c r="AR61">
        <v>-1.4999999999999999E-2</v>
      </c>
      <c r="AS61">
        <v>1E-3</v>
      </c>
      <c r="AT61">
        <v>-1E-3</v>
      </c>
      <c r="AU61">
        <v>1E-3</v>
      </c>
      <c r="AV61">
        <v>-1E-3</v>
      </c>
      <c r="AW61" s="16">
        <v>1.4999999999999999E-2</v>
      </c>
      <c r="AX61" s="16">
        <v>-1.4999999999999999E-2</v>
      </c>
      <c r="JS61">
        <v>12.849506578947368</v>
      </c>
    </row>
    <row r="62" spans="6:279" customFormat="1">
      <c r="F62" s="17" t="str">
        <f t="shared" si="0"/>
        <v/>
      </c>
      <c r="G62" s="9"/>
      <c r="H62" s="2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22" t="e">
        <f t="shared" si="1"/>
        <v>#N/A</v>
      </c>
      <c r="X62" s="21" t="e">
        <f t="shared" si="2"/>
        <v>#N/A</v>
      </c>
      <c r="Y62" s="21" t="e">
        <f t="shared" si="3"/>
        <v>#N/A</v>
      </c>
      <c r="Z62" s="11" t="e">
        <f t="shared" si="4"/>
        <v>#N/A</v>
      </c>
      <c r="AA62" s="22" t="e">
        <f t="shared" si="5"/>
        <v>#N/A</v>
      </c>
      <c r="AB62" s="21" t="e">
        <f t="shared" si="6"/>
        <v>#N/A</v>
      </c>
      <c r="AC62" s="21" t="e">
        <f t="shared" si="7"/>
        <v>#N/A</v>
      </c>
      <c r="AD62" s="11" t="e">
        <f t="shared" si="8"/>
        <v>#N/A</v>
      </c>
      <c r="AE62" s="22" t="e">
        <f t="shared" si="9"/>
        <v>#N/A</v>
      </c>
      <c r="AF62" s="21" t="e">
        <f t="shared" si="10"/>
        <v>#N/A</v>
      </c>
      <c r="AG62" s="21" t="e">
        <f t="shared" si="11"/>
        <v>#N/A</v>
      </c>
      <c r="AH62" s="11" t="e">
        <f t="shared" si="12"/>
        <v>#N/A</v>
      </c>
      <c r="AI62">
        <v>2.5000000000000001E-2</v>
      </c>
      <c r="AJ62">
        <v>-2.5000000000000001E-2</v>
      </c>
      <c r="AK62">
        <v>1.5E-3</v>
      </c>
      <c r="AL62">
        <v>-1.5E-3</v>
      </c>
      <c r="AM62">
        <v>1.5E-3</v>
      </c>
      <c r="AN62">
        <v>-1.5E-3</v>
      </c>
      <c r="AO62" s="16">
        <v>2.5000000000000001E-2</v>
      </c>
      <c r="AP62" s="16">
        <v>-2.5000000000000001E-2</v>
      </c>
      <c r="AQ62">
        <v>1.4999999999999999E-2</v>
      </c>
      <c r="AR62">
        <v>-1.4999999999999999E-2</v>
      </c>
      <c r="AS62">
        <v>1E-3</v>
      </c>
      <c r="AT62">
        <v>-1E-3</v>
      </c>
      <c r="AU62">
        <v>1E-3</v>
      </c>
      <c r="AV62">
        <v>-1E-3</v>
      </c>
      <c r="AW62" s="16">
        <v>1.4999999999999999E-2</v>
      </c>
      <c r="AX62" s="16">
        <v>-1.4999999999999999E-2</v>
      </c>
      <c r="JS62">
        <v>12.849506578947368</v>
      </c>
    </row>
    <row r="63" spans="6:279" customFormat="1">
      <c r="F63" s="17" t="str">
        <f t="shared" si="0"/>
        <v/>
      </c>
      <c r="G63" s="9"/>
      <c r="H63" s="2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22" t="e">
        <f t="shared" si="1"/>
        <v>#N/A</v>
      </c>
      <c r="X63" s="21" t="e">
        <f t="shared" si="2"/>
        <v>#N/A</v>
      </c>
      <c r="Y63" s="21" t="e">
        <f t="shared" si="3"/>
        <v>#N/A</v>
      </c>
      <c r="Z63" s="11" t="e">
        <f t="shared" si="4"/>
        <v>#N/A</v>
      </c>
      <c r="AA63" s="22" t="e">
        <f t="shared" si="5"/>
        <v>#N/A</v>
      </c>
      <c r="AB63" s="21" t="e">
        <f t="shared" si="6"/>
        <v>#N/A</v>
      </c>
      <c r="AC63" s="21" t="e">
        <f t="shared" si="7"/>
        <v>#N/A</v>
      </c>
      <c r="AD63" s="11" t="e">
        <f t="shared" si="8"/>
        <v>#N/A</v>
      </c>
      <c r="AE63" s="22" t="e">
        <f t="shared" si="9"/>
        <v>#N/A</v>
      </c>
      <c r="AF63" s="21" t="e">
        <f t="shared" si="10"/>
        <v>#N/A</v>
      </c>
      <c r="AG63" s="21" t="e">
        <f t="shared" si="11"/>
        <v>#N/A</v>
      </c>
      <c r="AH63" s="11" t="e">
        <f t="shared" si="12"/>
        <v>#N/A</v>
      </c>
      <c r="AI63">
        <v>2.5000000000000001E-2</v>
      </c>
      <c r="AJ63">
        <v>-2.5000000000000001E-2</v>
      </c>
      <c r="AK63">
        <v>1.5E-3</v>
      </c>
      <c r="AL63">
        <v>-1.5E-3</v>
      </c>
      <c r="AM63">
        <v>1.5E-3</v>
      </c>
      <c r="AN63">
        <v>-1.5E-3</v>
      </c>
      <c r="AO63" s="16">
        <v>2.5000000000000001E-2</v>
      </c>
      <c r="AP63" s="16">
        <v>-2.5000000000000001E-2</v>
      </c>
      <c r="AQ63">
        <v>1.4999999999999999E-2</v>
      </c>
      <c r="AR63">
        <v>-1.4999999999999999E-2</v>
      </c>
      <c r="AS63">
        <v>1E-3</v>
      </c>
      <c r="AT63">
        <v>-1E-3</v>
      </c>
      <c r="AU63">
        <v>1E-3</v>
      </c>
      <c r="AV63">
        <v>-1E-3</v>
      </c>
      <c r="AW63" s="16">
        <v>1.4999999999999999E-2</v>
      </c>
      <c r="AX63" s="16">
        <v>-1.4999999999999999E-2</v>
      </c>
      <c r="JR63">
        <v>12.849506578947368</v>
      </c>
    </row>
    <row r="64" spans="6:279" customFormat="1">
      <c r="F64" s="17" t="str">
        <f t="shared" si="0"/>
        <v/>
      </c>
      <c r="G64" s="9"/>
      <c r="H64" s="2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22" t="e">
        <f t="shared" si="1"/>
        <v>#N/A</v>
      </c>
      <c r="X64" s="21" t="e">
        <f t="shared" si="2"/>
        <v>#N/A</v>
      </c>
      <c r="Y64" s="21" t="e">
        <f t="shared" si="3"/>
        <v>#N/A</v>
      </c>
      <c r="Z64" s="11" t="e">
        <f t="shared" si="4"/>
        <v>#N/A</v>
      </c>
      <c r="AA64" s="22" t="e">
        <f t="shared" si="5"/>
        <v>#N/A</v>
      </c>
      <c r="AB64" s="21" t="e">
        <f t="shared" si="6"/>
        <v>#N/A</v>
      </c>
      <c r="AC64" s="21" t="e">
        <f t="shared" si="7"/>
        <v>#N/A</v>
      </c>
      <c r="AD64" s="11" t="e">
        <f t="shared" si="8"/>
        <v>#N/A</v>
      </c>
      <c r="AE64" s="22" t="e">
        <f t="shared" si="9"/>
        <v>#N/A</v>
      </c>
      <c r="AF64" s="21" t="e">
        <f t="shared" si="10"/>
        <v>#N/A</v>
      </c>
      <c r="AG64" s="21" t="e">
        <f t="shared" si="11"/>
        <v>#N/A</v>
      </c>
      <c r="AH64" s="11" t="e">
        <f t="shared" si="12"/>
        <v>#N/A</v>
      </c>
      <c r="AI64">
        <v>2.5000000000000001E-2</v>
      </c>
      <c r="AJ64">
        <v>-2.5000000000000001E-2</v>
      </c>
      <c r="AK64">
        <v>1.5E-3</v>
      </c>
      <c r="AL64">
        <v>-1.5E-3</v>
      </c>
      <c r="AM64">
        <v>1.5E-3</v>
      </c>
      <c r="AN64">
        <v>-1.5E-3</v>
      </c>
      <c r="AO64" s="16">
        <v>2.5000000000000001E-2</v>
      </c>
      <c r="AP64" s="16">
        <v>-2.5000000000000001E-2</v>
      </c>
      <c r="AQ64">
        <v>1.4999999999999999E-2</v>
      </c>
      <c r="AR64">
        <v>-1.4999999999999999E-2</v>
      </c>
      <c r="AS64">
        <v>1E-3</v>
      </c>
      <c r="AT64">
        <v>-1E-3</v>
      </c>
      <c r="AU64">
        <v>1E-3</v>
      </c>
      <c r="AV64">
        <v>-1E-3</v>
      </c>
      <c r="AW64" s="16">
        <v>1.4999999999999999E-2</v>
      </c>
      <c r="AX64" s="16">
        <v>-1.4999999999999999E-2</v>
      </c>
    </row>
    <row r="65" spans="6:278" customFormat="1">
      <c r="F65" s="17" t="str">
        <f t="shared" si="0"/>
        <v/>
      </c>
      <c r="G65" s="9"/>
      <c r="H65" s="2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22" t="e">
        <f t="shared" si="1"/>
        <v>#N/A</v>
      </c>
      <c r="X65" s="21" t="e">
        <f t="shared" si="2"/>
        <v>#N/A</v>
      </c>
      <c r="Y65" s="21" t="e">
        <f t="shared" si="3"/>
        <v>#N/A</v>
      </c>
      <c r="Z65" s="11" t="e">
        <f t="shared" si="4"/>
        <v>#N/A</v>
      </c>
      <c r="AA65" s="22" t="e">
        <f t="shared" si="5"/>
        <v>#N/A</v>
      </c>
      <c r="AB65" s="21" t="e">
        <f t="shared" si="6"/>
        <v>#N/A</v>
      </c>
      <c r="AC65" s="21" t="e">
        <f t="shared" si="7"/>
        <v>#N/A</v>
      </c>
      <c r="AD65" s="11" t="e">
        <f t="shared" si="8"/>
        <v>#N/A</v>
      </c>
      <c r="AE65" s="22" t="e">
        <f t="shared" si="9"/>
        <v>#N/A</v>
      </c>
      <c r="AF65" s="21" t="e">
        <f t="shared" si="10"/>
        <v>#N/A</v>
      </c>
      <c r="AG65" s="21" t="e">
        <f t="shared" si="11"/>
        <v>#N/A</v>
      </c>
      <c r="AH65" s="11" t="e">
        <f t="shared" si="12"/>
        <v>#N/A</v>
      </c>
      <c r="AI65">
        <v>2.5000000000000001E-2</v>
      </c>
      <c r="AJ65">
        <v>-2.5000000000000001E-2</v>
      </c>
      <c r="AK65">
        <v>1.5E-3</v>
      </c>
      <c r="AL65">
        <v>-1.5E-3</v>
      </c>
      <c r="AM65">
        <v>1.5E-3</v>
      </c>
      <c r="AN65">
        <v>-1.5E-3</v>
      </c>
      <c r="AO65" s="16">
        <v>2.5000000000000001E-2</v>
      </c>
      <c r="AP65" s="16">
        <v>-2.5000000000000001E-2</v>
      </c>
      <c r="AQ65">
        <v>1.4999999999999999E-2</v>
      </c>
      <c r="AR65">
        <v>-1.4999999999999999E-2</v>
      </c>
      <c r="AS65">
        <v>1E-3</v>
      </c>
      <c r="AT65">
        <v>-1E-3</v>
      </c>
      <c r="AU65">
        <v>1E-3</v>
      </c>
      <c r="AV65">
        <v>-1E-3</v>
      </c>
      <c r="AW65" s="16">
        <v>1.4999999999999999E-2</v>
      </c>
      <c r="AX65" s="16">
        <v>-1.4999999999999999E-2</v>
      </c>
      <c r="JR65">
        <v>12.849506578947368</v>
      </c>
    </row>
    <row r="66" spans="6:278" customFormat="1">
      <c r="F66" s="17" t="str">
        <f t="shared" si="0"/>
        <v/>
      </c>
      <c r="G66" s="9"/>
      <c r="H66" s="2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22" t="e">
        <f t="shared" si="1"/>
        <v>#N/A</v>
      </c>
      <c r="X66" s="21" t="e">
        <f t="shared" si="2"/>
        <v>#N/A</v>
      </c>
      <c r="Y66" s="21" t="e">
        <f t="shared" si="3"/>
        <v>#N/A</v>
      </c>
      <c r="Z66" s="11" t="e">
        <f t="shared" si="4"/>
        <v>#N/A</v>
      </c>
      <c r="AA66" s="22" t="e">
        <f t="shared" si="5"/>
        <v>#N/A</v>
      </c>
      <c r="AB66" s="21" t="e">
        <f t="shared" si="6"/>
        <v>#N/A</v>
      </c>
      <c r="AC66" s="21" t="e">
        <f t="shared" si="7"/>
        <v>#N/A</v>
      </c>
      <c r="AD66" s="11" t="e">
        <f t="shared" si="8"/>
        <v>#N/A</v>
      </c>
      <c r="AE66" s="22" t="e">
        <f t="shared" si="9"/>
        <v>#N/A</v>
      </c>
      <c r="AF66" s="21" t="e">
        <f t="shared" si="10"/>
        <v>#N/A</v>
      </c>
      <c r="AG66" s="21" t="e">
        <f t="shared" si="11"/>
        <v>#N/A</v>
      </c>
      <c r="AH66" s="11" t="e">
        <f t="shared" si="12"/>
        <v>#N/A</v>
      </c>
      <c r="AI66">
        <v>2.5000000000000001E-2</v>
      </c>
      <c r="AJ66">
        <v>-2.5000000000000001E-2</v>
      </c>
      <c r="AK66">
        <v>1.5E-3</v>
      </c>
      <c r="AL66">
        <v>-1.5E-3</v>
      </c>
      <c r="AM66">
        <v>1.5E-3</v>
      </c>
      <c r="AN66">
        <v>-1.5E-3</v>
      </c>
      <c r="AO66" s="16">
        <v>2.5000000000000001E-2</v>
      </c>
      <c r="AP66" s="16">
        <v>-2.5000000000000001E-2</v>
      </c>
      <c r="AQ66">
        <v>1.4999999999999999E-2</v>
      </c>
      <c r="AR66">
        <v>-1.4999999999999999E-2</v>
      </c>
      <c r="AS66">
        <v>1E-3</v>
      </c>
      <c r="AT66">
        <v>-1E-3</v>
      </c>
      <c r="AU66">
        <v>1E-3</v>
      </c>
      <c r="AV66">
        <v>-1E-3</v>
      </c>
      <c r="AW66" s="16">
        <v>1.4999999999999999E-2</v>
      </c>
      <c r="AX66" s="16">
        <v>-1.4999999999999999E-2</v>
      </c>
      <c r="JR66">
        <v>24.187306501547987</v>
      </c>
    </row>
    <row r="67" spans="6:278" customFormat="1">
      <c r="F67" s="17" t="str">
        <f t="shared" si="0"/>
        <v/>
      </c>
      <c r="G67" s="9"/>
      <c r="H67" s="2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22" t="e">
        <f t="shared" si="1"/>
        <v>#N/A</v>
      </c>
      <c r="X67" s="21" t="e">
        <f t="shared" si="2"/>
        <v>#N/A</v>
      </c>
      <c r="Y67" s="21" t="e">
        <f t="shared" si="3"/>
        <v>#N/A</v>
      </c>
      <c r="Z67" s="11" t="e">
        <f t="shared" si="4"/>
        <v>#N/A</v>
      </c>
      <c r="AA67" s="22" t="e">
        <f t="shared" si="5"/>
        <v>#N/A</v>
      </c>
      <c r="AB67" s="21" t="e">
        <f t="shared" si="6"/>
        <v>#N/A</v>
      </c>
      <c r="AC67" s="21" t="e">
        <f t="shared" si="7"/>
        <v>#N/A</v>
      </c>
      <c r="AD67" s="11" t="e">
        <f t="shared" si="8"/>
        <v>#N/A</v>
      </c>
      <c r="AE67" s="22" t="e">
        <f t="shared" si="9"/>
        <v>#N/A</v>
      </c>
      <c r="AF67" s="21" t="e">
        <f t="shared" si="10"/>
        <v>#N/A</v>
      </c>
      <c r="AG67" s="21" t="e">
        <f t="shared" si="11"/>
        <v>#N/A</v>
      </c>
      <c r="AH67" s="11" t="e">
        <f t="shared" si="12"/>
        <v>#N/A</v>
      </c>
      <c r="AI67">
        <v>2.5000000000000001E-2</v>
      </c>
      <c r="AJ67">
        <v>-2.5000000000000001E-2</v>
      </c>
      <c r="AK67">
        <v>1.5E-3</v>
      </c>
      <c r="AL67">
        <v>-1.5E-3</v>
      </c>
      <c r="AM67">
        <v>1.5E-3</v>
      </c>
      <c r="AN67">
        <v>-1.5E-3</v>
      </c>
      <c r="AO67" s="16">
        <v>2.5000000000000001E-2</v>
      </c>
      <c r="AP67" s="16">
        <v>-2.5000000000000001E-2</v>
      </c>
      <c r="AQ67">
        <v>1.4999999999999999E-2</v>
      </c>
      <c r="AR67">
        <v>-1.4999999999999999E-2</v>
      </c>
      <c r="AS67">
        <v>1E-3</v>
      </c>
      <c r="AT67">
        <v>-1E-3</v>
      </c>
      <c r="AU67">
        <v>1E-3</v>
      </c>
      <c r="AV67">
        <v>-1E-3</v>
      </c>
      <c r="AW67" s="16">
        <v>1.4999999999999999E-2</v>
      </c>
      <c r="AX67" s="16">
        <v>-1.4999999999999999E-2</v>
      </c>
    </row>
    <row r="68" spans="6:278" customFormat="1">
      <c r="F68" s="17" t="str">
        <f t="shared" si="0"/>
        <v/>
      </c>
      <c r="G68" s="9"/>
      <c r="H68" s="2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22" t="e">
        <f t="shared" si="1"/>
        <v>#N/A</v>
      </c>
      <c r="X68" s="21" t="e">
        <f t="shared" si="2"/>
        <v>#N/A</v>
      </c>
      <c r="Y68" s="21" t="e">
        <f t="shared" si="3"/>
        <v>#N/A</v>
      </c>
      <c r="Z68" s="11" t="e">
        <f t="shared" si="4"/>
        <v>#N/A</v>
      </c>
      <c r="AA68" s="22" t="e">
        <f t="shared" si="5"/>
        <v>#N/A</v>
      </c>
      <c r="AB68" s="21" t="e">
        <f t="shared" si="6"/>
        <v>#N/A</v>
      </c>
      <c r="AC68" s="21" t="e">
        <f t="shared" si="7"/>
        <v>#N/A</v>
      </c>
      <c r="AD68" s="11" t="e">
        <f t="shared" si="8"/>
        <v>#N/A</v>
      </c>
      <c r="AE68" s="22" t="e">
        <f t="shared" si="9"/>
        <v>#N/A</v>
      </c>
      <c r="AF68" s="21" t="e">
        <f t="shared" si="10"/>
        <v>#N/A</v>
      </c>
      <c r="AG68" s="21" t="e">
        <f t="shared" si="11"/>
        <v>#N/A</v>
      </c>
      <c r="AH68" s="11" t="e">
        <f t="shared" si="12"/>
        <v>#N/A</v>
      </c>
      <c r="AI68">
        <v>2.5000000000000001E-2</v>
      </c>
      <c r="AJ68">
        <v>-2.5000000000000001E-2</v>
      </c>
      <c r="AK68">
        <v>1.5E-3</v>
      </c>
      <c r="AL68">
        <v>-1.5E-3</v>
      </c>
      <c r="AM68">
        <v>1.5E-3</v>
      </c>
      <c r="AN68">
        <v>-1.5E-3</v>
      </c>
      <c r="AO68" s="16">
        <v>2.5000000000000001E-2</v>
      </c>
      <c r="AP68" s="16">
        <v>-2.5000000000000001E-2</v>
      </c>
      <c r="AQ68">
        <v>1.4999999999999999E-2</v>
      </c>
      <c r="AR68">
        <v>-1.4999999999999999E-2</v>
      </c>
      <c r="AS68">
        <v>1E-3</v>
      </c>
      <c r="AT68">
        <v>-1E-3</v>
      </c>
      <c r="AU68">
        <v>1E-3</v>
      </c>
      <c r="AV68">
        <v>-1E-3</v>
      </c>
      <c r="AW68" s="16">
        <v>1.4999999999999999E-2</v>
      </c>
      <c r="AX68" s="16">
        <v>-1.4999999999999999E-2</v>
      </c>
    </row>
    <row r="69" spans="6:278" customFormat="1">
      <c r="F69" s="17" t="str">
        <f t="shared" si="0"/>
        <v/>
      </c>
      <c r="G69" s="9"/>
      <c r="H69" s="2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22" t="e">
        <f t="shared" si="1"/>
        <v>#N/A</v>
      </c>
      <c r="X69" s="21" t="e">
        <f t="shared" si="2"/>
        <v>#N/A</v>
      </c>
      <c r="Y69" s="21" t="e">
        <f t="shared" si="3"/>
        <v>#N/A</v>
      </c>
      <c r="Z69" s="11" t="e">
        <f t="shared" si="4"/>
        <v>#N/A</v>
      </c>
      <c r="AA69" s="22" t="e">
        <f t="shared" si="5"/>
        <v>#N/A</v>
      </c>
      <c r="AB69" s="21" t="e">
        <f t="shared" si="6"/>
        <v>#N/A</v>
      </c>
      <c r="AC69" s="21" t="e">
        <f t="shared" si="7"/>
        <v>#N/A</v>
      </c>
      <c r="AD69" s="11" t="e">
        <f t="shared" si="8"/>
        <v>#N/A</v>
      </c>
      <c r="AE69" s="22" t="e">
        <f t="shared" si="9"/>
        <v>#N/A</v>
      </c>
      <c r="AF69" s="21" t="e">
        <f t="shared" si="10"/>
        <v>#N/A</v>
      </c>
      <c r="AG69" s="21" t="e">
        <f t="shared" si="11"/>
        <v>#N/A</v>
      </c>
      <c r="AH69" s="11" t="e">
        <f t="shared" si="12"/>
        <v>#N/A</v>
      </c>
      <c r="AI69">
        <v>2.5000000000000001E-2</v>
      </c>
      <c r="AJ69">
        <v>-2.5000000000000001E-2</v>
      </c>
      <c r="AK69">
        <v>1.5E-3</v>
      </c>
      <c r="AL69">
        <v>-1.5E-3</v>
      </c>
      <c r="AM69">
        <v>1.5E-3</v>
      </c>
      <c r="AN69">
        <v>-1.5E-3</v>
      </c>
      <c r="AO69" s="16">
        <v>2.5000000000000001E-2</v>
      </c>
      <c r="AP69" s="16">
        <v>-2.5000000000000001E-2</v>
      </c>
      <c r="AQ69">
        <v>1.4999999999999999E-2</v>
      </c>
      <c r="AR69">
        <v>-1.4999999999999999E-2</v>
      </c>
      <c r="AS69">
        <v>1E-3</v>
      </c>
      <c r="AT69">
        <v>-1E-3</v>
      </c>
      <c r="AU69">
        <v>1E-3</v>
      </c>
      <c r="AV69">
        <v>-1E-3</v>
      </c>
      <c r="AW69" s="16">
        <v>1.4999999999999999E-2</v>
      </c>
      <c r="AX69" s="16">
        <v>-1.4999999999999999E-2</v>
      </c>
    </row>
    <row r="70" spans="6:278" customFormat="1">
      <c r="F70" s="17" t="str">
        <f t="shared" si="0"/>
        <v/>
      </c>
      <c r="G70" s="9"/>
      <c r="H70" s="2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22" t="e">
        <f t="shared" si="1"/>
        <v>#N/A</v>
      </c>
      <c r="X70" s="21" t="e">
        <f t="shared" si="2"/>
        <v>#N/A</v>
      </c>
      <c r="Y70" s="21" t="e">
        <f t="shared" si="3"/>
        <v>#N/A</v>
      </c>
      <c r="Z70" s="11" t="e">
        <f t="shared" si="4"/>
        <v>#N/A</v>
      </c>
      <c r="AA70" s="22" t="e">
        <f t="shared" si="5"/>
        <v>#N/A</v>
      </c>
      <c r="AB70" s="21" t="e">
        <f t="shared" si="6"/>
        <v>#N/A</v>
      </c>
      <c r="AC70" s="21" t="e">
        <f t="shared" si="7"/>
        <v>#N/A</v>
      </c>
      <c r="AD70" s="11" t="e">
        <f t="shared" si="8"/>
        <v>#N/A</v>
      </c>
      <c r="AE70" s="22" t="e">
        <f t="shared" si="9"/>
        <v>#N/A</v>
      </c>
      <c r="AF70" s="21" t="e">
        <f t="shared" si="10"/>
        <v>#N/A</v>
      </c>
      <c r="AG70" s="21" t="e">
        <f t="shared" si="11"/>
        <v>#N/A</v>
      </c>
      <c r="AH70" s="11" t="e">
        <f t="shared" si="12"/>
        <v>#N/A</v>
      </c>
      <c r="AI70">
        <v>2.5000000000000001E-2</v>
      </c>
      <c r="AJ70">
        <v>-2.5000000000000001E-2</v>
      </c>
      <c r="AK70">
        <v>1.5E-3</v>
      </c>
      <c r="AL70">
        <v>-1.5E-3</v>
      </c>
      <c r="AM70">
        <v>1.5E-3</v>
      </c>
      <c r="AN70">
        <v>-1.5E-3</v>
      </c>
      <c r="AO70" s="16">
        <v>2.5000000000000001E-2</v>
      </c>
      <c r="AP70" s="16">
        <v>-2.5000000000000001E-2</v>
      </c>
      <c r="AQ70">
        <v>1.4999999999999999E-2</v>
      </c>
      <c r="AR70">
        <v>-1.4999999999999999E-2</v>
      </c>
      <c r="AS70">
        <v>1E-3</v>
      </c>
      <c r="AT70">
        <v>-1E-3</v>
      </c>
      <c r="AU70">
        <v>1E-3</v>
      </c>
      <c r="AV70">
        <v>-1E-3</v>
      </c>
      <c r="AW70" s="16">
        <v>1.4999999999999999E-2</v>
      </c>
      <c r="AX70" s="16">
        <v>-1.4999999999999999E-2</v>
      </c>
    </row>
    <row r="71" spans="6:278" customFormat="1">
      <c r="F71" s="17" t="str">
        <f t="shared" ref="F71:F100" si="13">IF(G71="","",G71)</f>
        <v/>
      </c>
      <c r="G71" s="9"/>
      <c r="H71" s="2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22" t="e">
        <f t="shared" ref="W71:W100" si="14">IF(H71="",NA(),I71-VLOOKUP(H71,$A$6:$E$35,2,FALSE))</f>
        <v>#N/A</v>
      </c>
      <c r="X71" s="21" t="e">
        <f t="shared" ref="X71:X100" si="15">IF(H71="",NA(),J71-VLOOKUP(H71,$A$6:$E$35,3,FALSE))</f>
        <v>#N/A</v>
      </c>
      <c r="Y71" s="21" t="e">
        <f t="shared" ref="Y71:Y100" si="16">IF(H71="",NA(),K71-VLOOKUP(H71,$A$6:$E$35,4,FALSE))</f>
        <v>#N/A</v>
      </c>
      <c r="Z71" s="11" t="e">
        <f t="shared" ref="Z71:Z100" si="17">IF(H71="",NA(),L71/VLOOKUP(H71,$A$6:$E$35,5,FALSE)-1)</f>
        <v>#N/A</v>
      </c>
      <c r="AA71" s="22" t="e">
        <f t="shared" ref="AA71:AA100" si="18">IF(M71="",NA(),N71-VLOOKUP(M71,$A$6:$E$35,2,FALSE))</f>
        <v>#N/A</v>
      </c>
      <c r="AB71" s="21" t="e">
        <f t="shared" ref="AB71:AB100" si="19">IF(M71="",NA(),O71-VLOOKUP(M71,$A$6:$E$35,3,FALSE))</f>
        <v>#N/A</v>
      </c>
      <c r="AC71" s="21" t="e">
        <f t="shared" ref="AC71:AC100" si="20">IF(M71="",NA(),P71-VLOOKUP(M71,$A$6:$E$35,4,FALSE))</f>
        <v>#N/A</v>
      </c>
      <c r="AD71" s="11" t="e">
        <f t="shared" ref="AD71:AD100" si="21">IF(M71="",NA(),Q71/VLOOKUP(M71,$A$6:$E$35,5,FALSE)-1)</f>
        <v>#N/A</v>
      </c>
      <c r="AE71" s="22" t="e">
        <f t="shared" ref="AE71:AE100" si="22">IF(R71="",NA(),S71-VLOOKUP(R71,$A$6:$E$35,2,FALSE))</f>
        <v>#N/A</v>
      </c>
      <c r="AF71" s="21" t="e">
        <f t="shared" ref="AF71:AF100" si="23">IF(R71="",NA(),T71-VLOOKUP(R71,$A$6:$E$35,3,FALSE))</f>
        <v>#N/A</v>
      </c>
      <c r="AG71" s="21" t="e">
        <f t="shared" ref="AG71:AG100" si="24">IF(R71="",NA(),U71-VLOOKUP(R71,$A$6:$E$35,4,FALSE))</f>
        <v>#N/A</v>
      </c>
      <c r="AH71" s="11" t="e">
        <f t="shared" ref="AH71:AH100" si="25">IF(R71="",NA(),V71/VLOOKUP(R71,$A$6:$E$35,5,FALSE)-1)</f>
        <v>#N/A</v>
      </c>
      <c r="AI71">
        <v>2.5000000000000001E-2</v>
      </c>
      <c r="AJ71">
        <v>-2.5000000000000001E-2</v>
      </c>
      <c r="AK71">
        <v>1.5E-3</v>
      </c>
      <c r="AL71">
        <v>-1.5E-3</v>
      </c>
      <c r="AM71">
        <v>1.5E-3</v>
      </c>
      <c r="AN71">
        <v>-1.5E-3</v>
      </c>
      <c r="AO71" s="16">
        <v>2.5000000000000001E-2</v>
      </c>
      <c r="AP71" s="16">
        <v>-2.5000000000000001E-2</v>
      </c>
      <c r="AQ71">
        <v>1.4999999999999999E-2</v>
      </c>
      <c r="AR71">
        <v>-1.4999999999999999E-2</v>
      </c>
      <c r="AS71">
        <v>1E-3</v>
      </c>
      <c r="AT71">
        <v>-1E-3</v>
      </c>
      <c r="AU71">
        <v>1E-3</v>
      </c>
      <c r="AV71">
        <v>-1E-3</v>
      </c>
      <c r="AW71" s="16">
        <v>1.4999999999999999E-2</v>
      </c>
      <c r="AX71" s="16">
        <v>-1.4999999999999999E-2</v>
      </c>
    </row>
    <row r="72" spans="6:278" customFormat="1">
      <c r="F72" s="17" t="str">
        <f t="shared" si="13"/>
        <v/>
      </c>
      <c r="G72" s="9"/>
      <c r="H72" s="2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22" t="e">
        <f t="shared" si="14"/>
        <v>#N/A</v>
      </c>
      <c r="X72" s="21" t="e">
        <f t="shared" si="15"/>
        <v>#N/A</v>
      </c>
      <c r="Y72" s="21" t="e">
        <f t="shared" si="16"/>
        <v>#N/A</v>
      </c>
      <c r="Z72" s="11" t="e">
        <f t="shared" si="17"/>
        <v>#N/A</v>
      </c>
      <c r="AA72" s="22" t="e">
        <f t="shared" si="18"/>
        <v>#N/A</v>
      </c>
      <c r="AB72" s="21" t="e">
        <f t="shared" si="19"/>
        <v>#N/A</v>
      </c>
      <c r="AC72" s="21" t="e">
        <f t="shared" si="20"/>
        <v>#N/A</v>
      </c>
      <c r="AD72" s="11" t="e">
        <f t="shared" si="21"/>
        <v>#N/A</v>
      </c>
      <c r="AE72" s="22" t="e">
        <f t="shared" si="22"/>
        <v>#N/A</v>
      </c>
      <c r="AF72" s="21" t="e">
        <f t="shared" si="23"/>
        <v>#N/A</v>
      </c>
      <c r="AG72" s="21" t="e">
        <f t="shared" si="24"/>
        <v>#N/A</v>
      </c>
      <c r="AH72" s="11" t="e">
        <f t="shared" si="25"/>
        <v>#N/A</v>
      </c>
      <c r="AI72">
        <v>2.5000000000000001E-2</v>
      </c>
      <c r="AJ72">
        <v>-2.5000000000000001E-2</v>
      </c>
      <c r="AK72">
        <v>1.5E-3</v>
      </c>
      <c r="AL72">
        <v>-1.5E-3</v>
      </c>
      <c r="AM72">
        <v>1.5E-3</v>
      </c>
      <c r="AN72">
        <v>-1.5E-3</v>
      </c>
      <c r="AO72" s="16">
        <v>2.5000000000000001E-2</v>
      </c>
      <c r="AP72" s="16">
        <v>-2.5000000000000001E-2</v>
      </c>
      <c r="AQ72">
        <v>1.4999999999999999E-2</v>
      </c>
      <c r="AR72">
        <v>-1.4999999999999999E-2</v>
      </c>
      <c r="AS72">
        <v>1E-3</v>
      </c>
      <c r="AT72">
        <v>-1E-3</v>
      </c>
      <c r="AU72">
        <v>1E-3</v>
      </c>
      <c r="AV72">
        <v>-1E-3</v>
      </c>
      <c r="AW72" s="16">
        <v>1.4999999999999999E-2</v>
      </c>
      <c r="AX72" s="16">
        <v>-1.4999999999999999E-2</v>
      </c>
    </row>
    <row r="73" spans="6:278" customFormat="1">
      <c r="F73" s="17" t="str">
        <f t="shared" si="13"/>
        <v/>
      </c>
      <c r="G73" s="9"/>
      <c r="H73" s="2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22" t="e">
        <f t="shared" si="14"/>
        <v>#N/A</v>
      </c>
      <c r="X73" s="21" t="e">
        <f t="shared" si="15"/>
        <v>#N/A</v>
      </c>
      <c r="Y73" s="21" t="e">
        <f t="shared" si="16"/>
        <v>#N/A</v>
      </c>
      <c r="Z73" s="11" t="e">
        <f t="shared" si="17"/>
        <v>#N/A</v>
      </c>
      <c r="AA73" s="22" t="e">
        <f t="shared" si="18"/>
        <v>#N/A</v>
      </c>
      <c r="AB73" s="21" t="e">
        <f t="shared" si="19"/>
        <v>#N/A</v>
      </c>
      <c r="AC73" s="21" t="e">
        <f t="shared" si="20"/>
        <v>#N/A</v>
      </c>
      <c r="AD73" s="11" t="e">
        <f t="shared" si="21"/>
        <v>#N/A</v>
      </c>
      <c r="AE73" s="22" t="e">
        <f t="shared" si="22"/>
        <v>#N/A</v>
      </c>
      <c r="AF73" s="21" t="e">
        <f t="shared" si="23"/>
        <v>#N/A</v>
      </c>
      <c r="AG73" s="21" t="e">
        <f t="shared" si="24"/>
        <v>#N/A</v>
      </c>
      <c r="AH73" s="11" t="e">
        <f t="shared" si="25"/>
        <v>#N/A</v>
      </c>
      <c r="AI73">
        <v>2.5000000000000001E-2</v>
      </c>
      <c r="AJ73">
        <v>-2.5000000000000001E-2</v>
      </c>
      <c r="AK73">
        <v>1.5E-3</v>
      </c>
      <c r="AL73">
        <v>-1.5E-3</v>
      </c>
      <c r="AM73">
        <v>1.5E-3</v>
      </c>
      <c r="AN73">
        <v>-1.5E-3</v>
      </c>
      <c r="AO73" s="16">
        <v>2.5000000000000001E-2</v>
      </c>
      <c r="AP73" s="16">
        <v>-2.5000000000000001E-2</v>
      </c>
      <c r="AQ73">
        <v>1.4999999999999999E-2</v>
      </c>
      <c r="AR73">
        <v>-1.4999999999999999E-2</v>
      </c>
      <c r="AS73">
        <v>1E-3</v>
      </c>
      <c r="AT73">
        <v>-1E-3</v>
      </c>
      <c r="AU73">
        <v>1E-3</v>
      </c>
      <c r="AV73">
        <v>-1E-3</v>
      </c>
      <c r="AW73" s="16">
        <v>1.4999999999999999E-2</v>
      </c>
      <c r="AX73" s="16">
        <v>-1.4999999999999999E-2</v>
      </c>
    </row>
    <row r="74" spans="6:278" customFormat="1">
      <c r="F74" s="17" t="str">
        <f t="shared" si="13"/>
        <v/>
      </c>
      <c r="G74" s="9"/>
      <c r="H74" s="2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22" t="e">
        <f t="shared" si="14"/>
        <v>#N/A</v>
      </c>
      <c r="X74" s="21" t="e">
        <f t="shared" si="15"/>
        <v>#N/A</v>
      </c>
      <c r="Y74" s="21" t="e">
        <f t="shared" si="16"/>
        <v>#N/A</v>
      </c>
      <c r="Z74" s="11" t="e">
        <f t="shared" si="17"/>
        <v>#N/A</v>
      </c>
      <c r="AA74" s="22" t="e">
        <f t="shared" si="18"/>
        <v>#N/A</v>
      </c>
      <c r="AB74" s="21" t="e">
        <f t="shared" si="19"/>
        <v>#N/A</v>
      </c>
      <c r="AC74" s="21" t="e">
        <f t="shared" si="20"/>
        <v>#N/A</v>
      </c>
      <c r="AD74" s="11" t="e">
        <f t="shared" si="21"/>
        <v>#N/A</v>
      </c>
      <c r="AE74" s="22" t="e">
        <f t="shared" si="22"/>
        <v>#N/A</v>
      </c>
      <c r="AF74" s="21" t="e">
        <f t="shared" si="23"/>
        <v>#N/A</v>
      </c>
      <c r="AG74" s="21" t="e">
        <f t="shared" si="24"/>
        <v>#N/A</v>
      </c>
      <c r="AH74" s="11" t="e">
        <f t="shared" si="25"/>
        <v>#N/A</v>
      </c>
      <c r="AI74">
        <v>2.5000000000000001E-2</v>
      </c>
      <c r="AJ74">
        <v>-2.5000000000000001E-2</v>
      </c>
      <c r="AK74">
        <v>1.5E-3</v>
      </c>
      <c r="AL74">
        <v>-1.5E-3</v>
      </c>
      <c r="AM74">
        <v>1.5E-3</v>
      </c>
      <c r="AN74">
        <v>-1.5E-3</v>
      </c>
      <c r="AO74" s="16">
        <v>2.5000000000000001E-2</v>
      </c>
      <c r="AP74" s="16">
        <v>-2.5000000000000001E-2</v>
      </c>
      <c r="AQ74">
        <v>1.4999999999999999E-2</v>
      </c>
      <c r="AR74">
        <v>-1.4999999999999999E-2</v>
      </c>
      <c r="AS74">
        <v>1E-3</v>
      </c>
      <c r="AT74">
        <v>-1E-3</v>
      </c>
      <c r="AU74">
        <v>1E-3</v>
      </c>
      <c r="AV74">
        <v>-1E-3</v>
      </c>
      <c r="AW74" s="16">
        <v>1.4999999999999999E-2</v>
      </c>
      <c r="AX74" s="16">
        <v>-1.4999999999999999E-2</v>
      </c>
    </row>
    <row r="75" spans="6:278" customFormat="1">
      <c r="F75" s="17" t="str">
        <f t="shared" si="13"/>
        <v/>
      </c>
      <c r="G75" s="9"/>
      <c r="H75" s="2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22" t="e">
        <f t="shared" si="14"/>
        <v>#N/A</v>
      </c>
      <c r="X75" s="21" t="e">
        <f t="shared" si="15"/>
        <v>#N/A</v>
      </c>
      <c r="Y75" s="21" t="e">
        <f t="shared" si="16"/>
        <v>#N/A</v>
      </c>
      <c r="Z75" s="11" t="e">
        <f t="shared" si="17"/>
        <v>#N/A</v>
      </c>
      <c r="AA75" s="22" t="e">
        <f t="shared" si="18"/>
        <v>#N/A</v>
      </c>
      <c r="AB75" s="21" t="e">
        <f t="shared" si="19"/>
        <v>#N/A</v>
      </c>
      <c r="AC75" s="21" t="e">
        <f t="shared" si="20"/>
        <v>#N/A</v>
      </c>
      <c r="AD75" s="11" t="e">
        <f t="shared" si="21"/>
        <v>#N/A</v>
      </c>
      <c r="AE75" s="22" t="e">
        <f t="shared" si="22"/>
        <v>#N/A</v>
      </c>
      <c r="AF75" s="21" t="e">
        <f t="shared" si="23"/>
        <v>#N/A</v>
      </c>
      <c r="AG75" s="21" t="e">
        <f t="shared" si="24"/>
        <v>#N/A</v>
      </c>
      <c r="AH75" s="11" t="e">
        <f t="shared" si="25"/>
        <v>#N/A</v>
      </c>
      <c r="AI75">
        <v>2.5000000000000001E-2</v>
      </c>
      <c r="AJ75">
        <v>-2.5000000000000001E-2</v>
      </c>
      <c r="AK75">
        <v>1.5E-3</v>
      </c>
      <c r="AL75">
        <v>-1.5E-3</v>
      </c>
      <c r="AM75">
        <v>1.5E-3</v>
      </c>
      <c r="AN75">
        <v>-1.5E-3</v>
      </c>
      <c r="AO75" s="16">
        <v>2.5000000000000001E-2</v>
      </c>
      <c r="AP75" s="16">
        <v>-2.5000000000000001E-2</v>
      </c>
      <c r="AQ75">
        <v>1.4999999999999999E-2</v>
      </c>
      <c r="AR75">
        <v>-1.4999999999999999E-2</v>
      </c>
      <c r="AS75">
        <v>1E-3</v>
      </c>
      <c r="AT75">
        <v>-1E-3</v>
      </c>
      <c r="AU75">
        <v>1E-3</v>
      </c>
      <c r="AV75">
        <v>-1E-3</v>
      </c>
      <c r="AW75" s="16">
        <v>1.4999999999999999E-2</v>
      </c>
      <c r="AX75" s="16">
        <v>-1.4999999999999999E-2</v>
      </c>
    </row>
    <row r="76" spans="6:278" customFormat="1">
      <c r="F76" s="17" t="str">
        <f t="shared" si="13"/>
        <v/>
      </c>
      <c r="G76" s="4"/>
      <c r="H76" s="2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22" t="e">
        <f t="shared" si="14"/>
        <v>#N/A</v>
      </c>
      <c r="X76" s="21" t="e">
        <f t="shared" si="15"/>
        <v>#N/A</v>
      </c>
      <c r="Y76" s="21" t="e">
        <f t="shared" si="16"/>
        <v>#N/A</v>
      </c>
      <c r="Z76" s="11" t="e">
        <f t="shared" si="17"/>
        <v>#N/A</v>
      </c>
      <c r="AA76" s="22" t="e">
        <f t="shared" si="18"/>
        <v>#N/A</v>
      </c>
      <c r="AB76" s="21" t="e">
        <f t="shared" si="19"/>
        <v>#N/A</v>
      </c>
      <c r="AC76" s="21" t="e">
        <f t="shared" si="20"/>
        <v>#N/A</v>
      </c>
      <c r="AD76" s="11" t="e">
        <f t="shared" si="21"/>
        <v>#N/A</v>
      </c>
      <c r="AE76" s="22" t="e">
        <f t="shared" si="22"/>
        <v>#N/A</v>
      </c>
      <c r="AF76" s="21" t="e">
        <f t="shared" si="23"/>
        <v>#N/A</v>
      </c>
      <c r="AG76" s="21" t="e">
        <f t="shared" si="24"/>
        <v>#N/A</v>
      </c>
      <c r="AH76" s="11" t="e">
        <f t="shared" si="25"/>
        <v>#N/A</v>
      </c>
      <c r="AI76">
        <v>2.5000000000000001E-2</v>
      </c>
      <c r="AJ76">
        <v>-2.5000000000000001E-2</v>
      </c>
      <c r="AK76">
        <v>1.5E-3</v>
      </c>
      <c r="AL76">
        <v>-1.5E-3</v>
      </c>
      <c r="AM76">
        <v>1.5E-3</v>
      </c>
      <c r="AN76">
        <v>-1.5E-3</v>
      </c>
      <c r="AO76" s="16">
        <v>2.5000000000000001E-2</v>
      </c>
      <c r="AP76" s="16">
        <v>-2.5000000000000001E-2</v>
      </c>
      <c r="AQ76">
        <v>1.4999999999999999E-2</v>
      </c>
      <c r="AR76">
        <v>-1.4999999999999999E-2</v>
      </c>
      <c r="AS76">
        <v>1E-3</v>
      </c>
      <c r="AT76">
        <v>-1E-3</v>
      </c>
      <c r="AU76">
        <v>1E-3</v>
      </c>
      <c r="AV76">
        <v>-1E-3</v>
      </c>
      <c r="AW76" s="16">
        <v>1.4999999999999999E-2</v>
      </c>
      <c r="AX76" s="16">
        <v>-1.4999999999999999E-2</v>
      </c>
    </row>
    <row r="77" spans="6:278" customFormat="1">
      <c r="F77" s="17" t="str">
        <f t="shared" si="13"/>
        <v/>
      </c>
      <c r="G77" s="4"/>
      <c r="H77" s="2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22" t="e">
        <f t="shared" si="14"/>
        <v>#N/A</v>
      </c>
      <c r="X77" s="21" t="e">
        <f t="shared" si="15"/>
        <v>#N/A</v>
      </c>
      <c r="Y77" s="21" t="e">
        <f t="shared" si="16"/>
        <v>#N/A</v>
      </c>
      <c r="Z77" s="11" t="e">
        <f t="shared" si="17"/>
        <v>#N/A</v>
      </c>
      <c r="AA77" s="22" t="e">
        <f t="shared" si="18"/>
        <v>#N/A</v>
      </c>
      <c r="AB77" s="21" t="e">
        <f t="shared" si="19"/>
        <v>#N/A</v>
      </c>
      <c r="AC77" s="21" t="e">
        <f t="shared" si="20"/>
        <v>#N/A</v>
      </c>
      <c r="AD77" s="11" t="e">
        <f t="shared" si="21"/>
        <v>#N/A</v>
      </c>
      <c r="AE77" s="22" t="e">
        <f t="shared" si="22"/>
        <v>#N/A</v>
      </c>
      <c r="AF77" s="21" t="e">
        <f t="shared" si="23"/>
        <v>#N/A</v>
      </c>
      <c r="AG77" s="21" t="e">
        <f t="shared" si="24"/>
        <v>#N/A</v>
      </c>
      <c r="AH77" s="11" t="e">
        <f t="shared" si="25"/>
        <v>#N/A</v>
      </c>
      <c r="AI77">
        <v>2.5000000000000001E-2</v>
      </c>
      <c r="AJ77">
        <v>-2.5000000000000001E-2</v>
      </c>
      <c r="AK77">
        <v>1.5E-3</v>
      </c>
      <c r="AL77">
        <v>-1.5E-3</v>
      </c>
      <c r="AM77">
        <v>1.5E-3</v>
      </c>
      <c r="AN77">
        <v>-1.5E-3</v>
      </c>
      <c r="AO77" s="16">
        <v>2.5000000000000001E-2</v>
      </c>
      <c r="AP77" s="16">
        <v>-2.5000000000000001E-2</v>
      </c>
      <c r="AQ77">
        <v>1.4999999999999999E-2</v>
      </c>
      <c r="AR77">
        <v>-1.4999999999999999E-2</v>
      </c>
      <c r="AS77">
        <v>1E-3</v>
      </c>
      <c r="AT77">
        <v>-1E-3</v>
      </c>
      <c r="AU77">
        <v>1E-3</v>
      </c>
      <c r="AV77">
        <v>-1E-3</v>
      </c>
      <c r="AW77" s="16">
        <v>1.4999999999999999E-2</v>
      </c>
      <c r="AX77" s="16">
        <v>-1.4999999999999999E-2</v>
      </c>
    </row>
    <row r="78" spans="6:278" customFormat="1">
      <c r="F78" s="17" t="str">
        <f t="shared" si="13"/>
        <v/>
      </c>
      <c r="G78" s="4"/>
      <c r="H78" s="2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22" t="e">
        <f t="shared" si="14"/>
        <v>#N/A</v>
      </c>
      <c r="X78" s="21" t="e">
        <f t="shared" si="15"/>
        <v>#N/A</v>
      </c>
      <c r="Y78" s="21" t="e">
        <f t="shared" si="16"/>
        <v>#N/A</v>
      </c>
      <c r="Z78" s="11" t="e">
        <f t="shared" si="17"/>
        <v>#N/A</v>
      </c>
      <c r="AA78" s="22" t="e">
        <f t="shared" si="18"/>
        <v>#N/A</v>
      </c>
      <c r="AB78" s="21" t="e">
        <f t="shared" si="19"/>
        <v>#N/A</v>
      </c>
      <c r="AC78" s="21" t="e">
        <f t="shared" si="20"/>
        <v>#N/A</v>
      </c>
      <c r="AD78" s="11" t="e">
        <f t="shared" si="21"/>
        <v>#N/A</v>
      </c>
      <c r="AE78" s="22" t="e">
        <f t="shared" si="22"/>
        <v>#N/A</v>
      </c>
      <c r="AF78" s="21" t="e">
        <f t="shared" si="23"/>
        <v>#N/A</v>
      </c>
      <c r="AG78" s="21" t="e">
        <f t="shared" si="24"/>
        <v>#N/A</v>
      </c>
      <c r="AH78" s="11" t="e">
        <f t="shared" si="25"/>
        <v>#N/A</v>
      </c>
      <c r="AI78">
        <v>2.5000000000000001E-2</v>
      </c>
      <c r="AJ78">
        <v>-2.5000000000000001E-2</v>
      </c>
      <c r="AK78">
        <v>1.5E-3</v>
      </c>
      <c r="AL78">
        <v>-1.5E-3</v>
      </c>
      <c r="AM78">
        <v>1.5E-3</v>
      </c>
      <c r="AN78">
        <v>-1.5E-3</v>
      </c>
      <c r="AO78" s="16">
        <v>2.5000000000000001E-2</v>
      </c>
      <c r="AP78" s="16">
        <v>-2.5000000000000001E-2</v>
      </c>
      <c r="AQ78">
        <v>1.4999999999999999E-2</v>
      </c>
      <c r="AR78">
        <v>-1.4999999999999999E-2</v>
      </c>
      <c r="AS78">
        <v>1E-3</v>
      </c>
      <c r="AT78">
        <v>-1E-3</v>
      </c>
      <c r="AU78">
        <v>1E-3</v>
      </c>
      <c r="AV78">
        <v>-1E-3</v>
      </c>
      <c r="AW78" s="16">
        <v>1.4999999999999999E-2</v>
      </c>
      <c r="AX78" s="16">
        <v>-1.4999999999999999E-2</v>
      </c>
    </row>
    <row r="79" spans="6:278" customFormat="1">
      <c r="F79" s="17" t="str">
        <f t="shared" si="13"/>
        <v/>
      </c>
      <c r="G79" s="4"/>
      <c r="H79" s="2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22" t="e">
        <f t="shared" si="14"/>
        <v>#N/A</v>
      </c>
      <c r="X79" s="21" t="e">
        <f t="shared" si="15"/>
        <v>#N/A</v>
      </c>
      <c r="Y79" s="21" t="e">
        <f t="shared" si="16"/>
        <v>#N/A</v>
      </c>
      <c r="Z79" s="11" t="e">
        <f t="shared" si="17"/>
        <v>#N/A</v>
      </c>
      <c r="AA79" s="22" t="e">
        <f t="shared" si="18"/>
        <v>#N/A</v>
      </c>
      <c r="AB79" s="21" t="e">
        <f t="shared" si="19"/>
        <v>#N/A</v>
      </c>
      <c r="AC79" s="21" t="e">
        <f t="shared" si="20"/>
        <v>#N/A</v>
      </c>
      <c r="AD79" s="11" t="e">
        <f t="shared" si="21"/>
        <v>#N/A</v>
      </c>
      <c r="AE79" s="22" t="e">
        <f t="shared" si="22"/>
        <v>#N/A</v>
      </c>
      <c r="AF79" s="21" t="e">
        <f t="shared" si="23"/>
        <v>#N/A</v>
      </c>
      <c r="AG79" s="21" t="e">
        <f t="shared" si="24"/>
        <v>#N/A</v>
      </c>
      <c r="AH79" s="11" t="e">
        <f t="shared" si="25"/>
        <v>#N/A</v>
      </c>
      <c r="AI79">
        <v>2.5000000000000001E-2</v>
      </c>
      <c r="AJ79">
        <v>-2.5000000000000001E-2</v>
      </c>
      <c r="AK79">
        <v>1.5E-3</v>
      </c>
      <c r="AL79">
        <v>-1.5E-3</v>
      </c>
      <c r="AM79">
        <v>1.5E-3</v>
      </c>
      <c r="AN79">
        <v>-1.5E-3</v>
      </c>
      <c r="AO79" s="16">
        <v>2.5000000000000001E-2</v>
      </c>
      <c r="AP79" s="16">
        <v>-2.5000000000000001E-2</v>
      </c>
      <c r="AQ79">
        <v>1.4999999999999999E-2</v>
      </c>
      <c r="AR79">
        <v>-1.4999999999999999E-2</v>
      </c>
      <c r="AS79">
        <v>1E-3</v>
      </c>
      <c r="AT79">
        <v>-1E-3</v>
      </c>
      <c r="AU79">
        <v>1E-3</v>
      </c>
      <c r="AV79">
        <v>-1E-3</v>
      </c>
      <c r="AW79" s="16">
        <v>1.4999999999999999E-2</v>
      </c>
      <c r="AX79" s="16">
        <v>-1.4999999999999999E-2</v>
      </c>
    </row>
    <row r="80" spans="6:278" customFormat="1">
      <c r="F80" s="17" t="str">
        <f t="shared" si="13"/>
        <v/>
      </c>
      <c r="G80" s="4"/>
      <c r="H80" s="2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22" t="e">
        <f t="shared" si="14"/>
        <v>#N/A</v>
      </c>
      <c r="X80" s="21" t="e">
        <f t="shared" si="15"/>
        <v>#N/A</v>
      </c>
      <c r="Y80" s="21" t="e">
        <f t="shared" si="16"/>
        <v>#N/A</v>
      </c>
      <c r="Z80" s="11" t="e">
        <f t="shared" si="17"/>
        <v>#N/A</v>
      </c>
      <c r="AA80" s="22" t="e">
        <f t="shared" si="18"/>
        <v>#N/A</v>
      </c>
      <c r="AB80" s="21" t="e">
        <f t="shared" si="19"/>
        <v>#N/A</v>
      </c>
      <c r="AC80" s="21" t="e">
        <f t="shared" si="20"/>
        <v>#N/A</v>
      </c>
      <c r="AD80" s="11" t="e">
        <f t="shared" si="21"/>
        <v>#N/A</v>
      </c>
      <c r="AE80" s="22" t="e">
        <f t="shared" si="22"/>
        <v>#N/A</v>
      </c>
      <c r="AF80" s="21" t="e">
        <f t="shared" si="23"/>
        <v>#N/A</v>
      </c>
      <c r="AG80" s="21" t="e">
        <f t="shared" si="24"/>
        <v>#N/A</v>
      </c>
      <c r="AH80" s="11" t="e">
        <f t="shared" si="25"/>
        <v>#N/A</v>
      </c>
      <c r="AI80">
        <v>2.5000000000000001E-2</v>
      </c>
      <c r="AJ80">
        <v>-2.5000000000000001E-2</v>
      </c>
      <c r="AK80">
        <v>1.5E-3</v>
      </c>
      <c r="AL80">
        <v>-1.5E-3</v>
      </c>
      <c r="AM80">
        <v>1.5E-3</v>
      </c>
      <c r="AN80">
        <v>-1.5E-3</v>
      </c>
      <c r="AO80" s="16">
        <v>2.5000000000000001E-2</v>
      </c>
      <c r="AP80" s="16">
        <v>-2.5000000000000001E-2</v>
      </c>
      <c r="AQ80">
        <v>1.4999999999999999E-2</v>
      </c>
      <c r="AR80">
        <v>-1.4999999999999999E-2</v>
      </c>
      <c r="AS80">
        <v>1E-3</v>
      </c>
      <c r="AT80">
        <v>-1E-3</v>
      </c>
      <c r="AU80">
        <v>1E-3</v>
      </c>
      <c r="AV80">
        <v>-1E-3</v>
      </c>
      <c r="AW80" s="16">
        <v>1.4999999999999999E-2</v>
      </c>
      <c r="AX80" s="16">
        <v>-1.4999999999999999E-2</v>
      </c>
    </row>
    <row r="81" spans="6:50">
      <c r="F81" s="17" t="str">
        <f t="shared" si="13"/>
        <v/>
      </c>
      <c r="G81" s="4"/>
      <c r="H81" s="2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22" t="e">
        <f t="shared" si="14"/>
        <v>#N/A</v>
      </c>
      <c r="X81" s="21" t="e">
        <f t="shared" si="15"/>
        <v>#N/A</v>
      </c>
      <c r="Y81" s="21" t="e">
        <f t="shared" si="16"/>
        <v>#N/A</v>
      </c>
      <c r="Z81" s="11" t="e">
        <f t="shared" si="17"/>
        <v>#N/A</v>
      </c>
      <c r="AA81" s="22" t="e">
        <f t="shared" si="18"/>
        <v>#N/A</v>
      </c>
      <c r="AB81" s="21" t="e">
        <f t="shared" si="19"/>
        <v>#N/A</v>
      </c>
      <c r="AC81" s="21" t="e">
        <f t="shared" si="20"/>
        <v>#N/A</v>
      </c>
      <c r="AD81" s="11" t="e">
        <f t="shared" si="21"/>
        <v>#N/A</v>
      </c>
      <c r="AE81" s="22" t="e">
        <f t="shared" si="22"/>
        <v>#N/A</v>
      </c>
      <c r="AF81" s="21" t="e">
        <f t="shared" si="23"/>
        <v>#N/A</v>
      </c>
      <c r="AG81" s="21" t="e">
        <f t="shared" si="24"/>
        <v>#N/A</v>
      </c>
      <c r="AH81" s="11" t="e">
        <f t="shared" si="25"/>
        <v>#N/A</v>
      </c>
      <c r="AI81">
        <v>2.5000000000000001E-2</v>
      </c>
      <c r="AJ81">
        <v>-2.5000000000000001E-2</v>
      </c>
      <c r="AK81">
        <v>1.5E-3</v>
      </c>
      <c r="AL81">
        <v>-1.5E-3</v>
      </c>
      <c r="AM81">
        <v>1.5E-3</v>
      </c>
      <c r="AN81">
        <v>-1.5E-3</v>
      </c>
      <c r="AO81" s="16">
        <v>2.5000000000000001E-2</v>
      </c>
      <c r="AP81" s="16">
        <v>-2.5000000000000001E-2</v>
      </c>
      <c r="AQ81">
        <v>1.4999999999999999E-2</v>
      </c>
      <c r="AR81">
        <v>-1.4999999999999999E-2</v>
      </c>
      <c r="AS81">
        <v>1E-3</v>
      </c>
      <c r="AT81">
        <v>-1E-3</v>
      </c>
      <c r="AU81">
        <v>1E-3</v>
      </c>
      <c r="AV81">
        <v>-1E-3</v>
      </c>
      <c r="AW81" s="16">
        <v>1.4999999999999999E-2</v>
      </c>
      <c r="AX81" s="16">
        <v>-1.4999999999999999E-2</v>
      </c>
    </row>
    <row r="82" spans="6:50">
      <c r="F82" s="17" t="str">
        <f t="shared" si="13"/>
        <v/>
      </c>
      <c r="G82" s="4"/>
      <c r="H82" s="2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22" t="e">
        <f t="shared" si="14"/>
        <v>#N/A</v>
      </c>
      <c r="X82" s="21" t="e">
        <f t="shared" si="15"/>
        <v>#N/A</v>
      </c>
      <c r="Y82" s="21" t="e">
        <f t="shared" si="16"/>
        <v>#N/A</v>
      </c>
      <c r="Z82" s="11" t="e">
        <f t="shared" si="17"/>
        <v>#N/A</v>
      </c>
      <c r="AA82" s="22" t="e">
        <f t="shared" si="18"/>
        <v>#N/A</v>
      </c>
      <c r="AB82" s="21" t="e">
        <f t="shared" si="19"/>
        <v>#N/A</v>
      </c>
      <c r="AC82" s="21" t="e">
        <f t="shared" si="20"/>
        <v>#N/A</v>
      </c>
      <c r="AD82" s="11" t="e">
        <f t="shared" si="21"/>
        <v>#N/A</v>
      </c>
      <c r="AE82" s="22" t="e">
        <f t="shared" si="22"/>
        <v>#N/A</v>
      </c>
      <c r="AF82" s="21" t="e">
        <f t="shared" si="23"/>
        <v>#N/A</v>
      </c>
      <c r="AG82" s="21" t="e">
        <f t="shared" si="24"/>
        <v>#N/A</v>
      </c>
      <c r="AH82" s="11" t="e">
        <f t="shared" si="25"/>
        <v>#N/A</v>
      </c>
      <c r="AI82">
        <v>2.5000000000000001E-2</v>
      </c>
      <c r="AJ82">
        <v>-2.5000000000000001E-2</v>
      </c>
      <c r="AK82">
        <v>1.5E-3</v>
      </c>
      <c r="AL82">
        <v>-1.5E-3</v>
      </c>
      <c r="AM82">
        <v>1.5E-3</v>
      </c>
      <c r="AN82">
        <v>-1.5E-3</v>
      </c>
      <c r="AO82" s="16">
        <v>2.5000000000000001E-2</v>
      </c>
      <c r="AP82" s="16">
        <v>-2.5000000000000001E-2</v>
      </c>
      <c r="AQ82">
        <v>1.4999999999999999E-2</v>
      </c>
      <c r="AR82">
        <v>-1.4999999999999999E-2</v>
      </c>
      <c r="AS82">
        <v>1E-3</v>
      </c>
      <c r="AT82">
        <v>-1E-3</v>
      </c>
      <c r="AU82">
        <v>1E-3</v>
      </c>
      <c r="AV82">
        <v>-1E-3</v>
      </c>
      <c r="AW82" s="16">
        <v>1.4999999999999999E-2</v>
      </c>
      <c r="AX82" s="16">
        <v>-1.4999999999999999E-2</v>
      </c>
    </row>
    <row r="83" spans="6:50">
      <c r="F83" s="17" t="str">
        <f t="shared" si="13"/>
        <v/>
      </c>
      <c r="G83" s="4"/>
      <c r="H83" s="2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22" t="e">
        <f t="shared" si="14"/>
        <v>#N/A</v>
      </c>
      <c r="X83" s="21" t="e">
        <f t="shared" si="15"/>
        <v>#N/A</v>
      </c>
      <c r="Y83" s="21" t="e">
        <f t="shared" si="16"/>
        <v>#N/A</v>
      </c>
      <c r="Z83" s="11" t="e">
        <f t="shared" si="17"/>
        <v>#N/A</v>
      </c>
      <c r="AA83" s="22" t="e">
        <f t="shared" si="18"/>
        <v>#N/A</v>
      </c>
      <c r="AB83" s="21" t="e">
        <f t="shared" si="19"/>
        <v>#N/A</v>
      </c>
      <c r="AC83" s="21" t="e">
        <f t="shared" si="20"/>
        <v>#N/A</v>
      </c>
      <c r="AD83" s="11" t="e">
        <f t="shared" si="21"/>
        <v>#N/A</v>
      </c>
      <c r="AE83" s="22" t="e">
        <f t="shared" si="22"/>
        <v>#N/A</v>
      </c>
      <c r="AF83" s="21" t="e">
        <f t="shared" si="23"/>
        <v>#N/A</v>
      </c>
      <c r="AG83" s="21" t="e">
        <f t="shared" si="24"/>
        <v>#N/A</v>
      </c>
      <c r="AH83" s="11" t="e">
        <f t="shared" si="25"/>
        <v>#N/A</v>
      </c>
      <c r="AI83">
        <v>2.5000000000000001E-2</v>
      </c>
      <c r="AJ83">
        <v>-2.5000000000000001E-2</v>
      </c>
      <c r="AK83">
        <v>1.5E-3</v>
      </c>
      <c r="AL83">
        <v>-1.5E-3</v>
      </c>
      <c r="AM83">
        <v>1.5E-3</v>
      </c>
      <c r="AN83">
        <v>-1.5E-3</v>
      </c>
      <c r="AO83" s="16">
        <v>2.5000000000000001E-2</v>
      </c>
      <c r="AP83" s="16">
        <v>-2.5000000000000001E-2</v>
      </c>
      <c r="AQ83">
        <v>1.4999999999999999E-2</v>
      </c>
      <c r="AR83">
        <v>-1.4999999999999999E-2</v>
      </c>
      <c r="AS83">
        <v>1E-3</v>
      </c>
      <c r="AT83">
        <v>-1E-3</v>
      </c>
      <c r="AU83">
        <v>1E-3</v>
      </c>
      <c r="AV83">
        <v>-1E-3</v>
      </c>
      <c r="AW83" s="16">
        <v>1.4999999999999999E-2</v>
      </c>
      <c r="AX83" s="16">
        <v>-1.4999999999999999E-2</v>
      </c>
    </row>
    <row r="84" spans="6:50">
      <c r="F84" s="17" t="str">
        <f t="shared" si="13"/>
        <v/>
      </c>
      <c r="G84" s="4"/>
      <c r="H84" s="2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22" t="e">
        <f t="shared" si="14"/>
        <v>#N/A</v>
      </c>
      <c r="X84" s="21" t="e">
        <f t="shared" si="15"/>
        <v>#N/A</v>
      </c>
      <c r="Y84" s="21" t="e">
        <f t="shared" si="16"/>
        <v>#N/A</v>
      </c>
      <c r="Z84" s="11" t="e">
        <f t="shared" si="17"/>
        <v>#N/A</v>
      </c>
      <c r="AA84" s="22" t="e">
        <f t="shared" si="18"/>
        <v>#N/A</v>
      </c>
      <c r="AB84" s="21" t="e">
        <f t="shared" si="19"/>
        <v>#N/A</v>
      </c>
      <c r="AC84" s="21" t="e">
        <f t="shared" si="20"/>
        <v>#N/A</v>
      </c>
      <c r="AD84" s="11" t="e">
        <f t="shared" si="21"/>
        <v>#N/A</v>
      </c>
      <c r="AE84" s="22" t="e">
        <f t="shared" si="22"/>
        <v>#N/A</v>
      </c>
      <c r="AF84" s="21" t="e">
        <f t="shared" si="23"/>
        <v>#N/A</v>
      </c>
      <c r="AG84" s="21" t="e">
        <f t="shared" si="24"/>
        <v>#N/A</v>
      </c>
      <c r="AH84" s="11" t="e">
        <f t="shared" si="25"/>
        <v>#N/A</v>
      </c>
      <c r="AI84">
        <v>2.5000000000000001E-2</v>
      </c>
      <c r="AJ84">
        <v>-2.5000000000000001E-2</v>
      </c>
      <c r="AK84">
        <v>1.5E-3</v>
      </c>
      <c r="AL84">
        <v>-1.5E-3</v>
      </c>
      <c r="AM84">
        <v>1.5E-3</v>
      </c>
      <c r="AN84">
        <v>-1.5E-3</v>
      </c>
      <c r="AO84" s="16">
        <v>2.5000000000000001E-2</v>
      </c>
      <c r="AP84" s="16">
        <v>-2.5000000000000001E-2</v>
      </c>
      <c r="AQ84">
        <v>1.4999999999999999E-2</v>
      </c>
      <c r="AR84">
        <v>-1.4999999999999999E-2</v>
      </c>
      <c r="AS84">
        <v>1E-3</v>
      </c>
      <c r="AT84">
        <v>-1E-3</v>
      </c>
      <c r="AU84">
        <v>1E-3</v>
      </c>
      <c r="AV84">
        <v>-1E-3</v>
      </c>
      <c r="AW84" s="16">
        <v>1.4999999999999999E-2</v>
      </c>
      <c r="AX84" s="16">
        <v>-1.4999999999999999E-2</v>
      </c>
    </row>
    <row r="85" spans="6:50">
      <c r="F85" s="17" t="str">
        <f t="shared" si="13"/>
        <v/>
      </c>
      <c r="G85" s="4"/>
      <c r="H85" s="2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22" t="e">
        <f t="shared" si="14"/>
        <v>#N/A</v>
      </c>
      <c r="X85" s="21" t="e">
        <f t="shared" si="15"/>
        <v>#N/A</v>
      </c>
      <c r="Y85" s="21" t="e">
        <f t="shared" si="16"/>
        <v>#N/A</v>
      </c>
      <c r="Z85" s="11" t="e">
        <f t="shared" si="17"/>
        <v>#N/A</v>
      </c>
      <c r="AA85" s="22" t="e">
        <f t="shared" si="18"/>
        <v>#N/A</v>
      </c>
      <c r="AB85" s="21" t="e">
        <f t="shared" si="19"/>
        <v>#N/A</v>
      </c>
      <c r="AC85" s="21" t="e">
        <f t="shared" si="20"/>
        <v>#N/A</v>
      </c>
      <c r="AD85" s="11" t="e">
        <f t="shared" si="21"/>
        <v>#N/A</v>
      </c>
      <c r="AE85" s="22" t="e">
        <f t="shared" si="22"/>
        <v>#N/A</v>
      </c>
      <c r="AF85" s="21" t="e">
        <f t="shared" si="23"/>
        <v>#N/A</v>
      </c>
      <c r="AG85" s="21" t="e">
        <f t="shared" si="24"/>
        <v>#N/A</v>
      </c>
      <c r="AH85" s="11" t="e">
        <f t="shared" si="25"/>
        <v>#N/A</v>
      </c>
      <c r="AI85">
        <v>2.5000000000000001E-2</v>
      </c>
      <c r="AJ85">
        <v>-2.5000000000000001E-2</v>
      </c>
      <c r="AK85">
        <v>1.5E-3</v>
      </c>
      <c r="AL85">
        <v>-1.5E-3</v>
      </c>
      <c r="AM85">
        <v>1.5E-3</v>
      </c>
      <c r="AN85">
        <v>-1.5E-3</v>
      </c>
      <c r="AO85" s="16">
        <v>2.5000000000000001E-2</v>
      </c>
      <c r="AP85" s="16">
        <v>-2.5000000000000001E-2</v>
      </c>
      <c r="AQ85">
        <v>1.4999999999999999E-2</v>
      </c>
      <c r="AR85">
        <v>-1.4999999999999999E-2</v>
      </c>
      <c r="AS85">
        <v>1E-3</v>
      </c>
      <c r="AT85">
        <v>-1E-3</v>
      </c>
      <c r="AU85">
        <v>1E-3</v>
      </c>
      <c r="AV85">
        <v>-1E-3</v>
      </c>
      <c r="AW85" s="16">
        <v>1.4999999999999999E-2</v>
      </c>
      <c r="AX85" s="16">
        <v>-1.4999999999999999E-2</v>
      </c>
    </row>
    <row r="86" spans="6:50">
      <c r="F86" s="17" t="str">
        <f t="shared" si="13"/>
        <v/>
      </c>
      <c r="G86" s="4"/>
      <c r="H86" s="2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22" t="e">
        <f t="shared" si="14"/>
        <v>#N/A</v>
      </c>
      <c r="X86" s="21" t="e">
        <f t="shared" si="15"/>
        <v>#N/A</v>
      </c>
      <c r="Y86" s="21" t="e">
        <f t="shared" si="16"/>
        <v>#N/A</v>
      </c>
      <c r="Z86" s="11" t="e">
        <f t="shared" si="17"/>
        <v>#N/A</v>
      </c>
      <c r="AA86" s="22" t="e">
        <f t="shared" si="18"/>
        <v>#N/A</v>
      </c>
      <c r="AB86" s="21" t="e">
        <f t="shared" si="19"/>
        <v>#N/A</v>
      </c>
      <c r="AC86" s="21" t="e">
        <f t="shared" si="20"/>
        <v>#N/A</v>
      </c>
      <c r="AD86" s="11" t="e">
        <f t="shared" si="21"/>
        <v>#N/A</v>
      </c>
      <c r="AE86" s="22" t="e">
        <f t="shared" si="22"/>
        <v>#N/A</v>
      </c>
      <c r="AF86" s="21" t="e">
        <f t="shared" si="23"/>
        <v>#N/A</v>
      </c>
      <c r="AG86" s="21" t="e">
        <f t="shared" si="24"/>
        <v>#N/A</v>
      </c>
      <c r="AH86" s="11" t="e">
        <f t="shared" si="25"/>
        <v>#N/A</v>
      </c>
      <c r="AI86">
        <v>2.5000000000000001E-2</v>
      </c>
      <c r="AJ86">
        <v>-2.5000000000000001E-2</v>
      </c>
      <c r="AK86">
        <v>1.5E-3</v>
      </c>
      <c r="AL86">
        <v>-1.5E-3</v>
      </c>
      <c r="AM86">
        <v>1.5E-3</v>
      </c>
      <c r="AN86">
        <v>-1.5E-3</v>
      </c>
      <c r="AO86" s="16">
        <v>2.5000000000000001E-2</v>
      </c>
      <c r="AP86" s="16">
        <v>-2.5000000000000001E-2</v>
      </c>
      <c r="AQ86">
        <v>1.4999999999999999E-2</v>
      </c>
      <c r="AR86">
        <v>-1.4999999999999999E-2</v>
      </c>
      <c r="AS86">
        <v>1E-3</v>
      </c>
      <c r="AT86">
        <v>-1E-3</v>
      </c>
      <c r="AU86">
        <v>1E-3</v>
      </c>
      <c r="AV86">
        <v>-1E-3</v>
      </c>
      <c r="AW86" s="16">
        <v>1.4999999999999999E-2</v>
      </c>
      <c r="AX86" s="16">
        <v>-1.4999999999999999E-2</v>
      </c>
    </row>
    <row r="87" spans="6:50">
      <c r="F87" s="17" t="str">
        <f t="shared" si="13"/>
        <v/>
      </c>
      <c r="G87" s="4"/>
      <c r="H87" s="2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22" t="e">
        <f t="shared" si="14"/>
        <v>#N/A</v>
      </c>
      <c r="X87" s="21" t="e">
        <f t="shared" si="15"/>
        <v>#N/A</v>
      </c>
      <c r="Y87" s="21" t="e">
        <f t="shared" si="16"/>
        <v>#N/A</v>
      </c>
      <c r="Z87" s="11" t="e">
        <f t="shared" si="17"/>
        <v>#N/A</v>
      </c>
      <c r="AA87" s="22" t="e">
        <f t="shared" si="18"/>
        <v>#N/A</v>
      </c>
      <c r="AB87" s="21" t="e">
        <f t="shared" si="19"/>
        <v>#N/A</v>
      </c>
      <c r="AC87" s="21" t="e">
        <f t="shared" si="20"/>
        <v>#N/A</v>
      </c>
      <c r="AD87" s="11" t="e">
        <f t="shared" si="21"/>
        <v>#N/A</v>
      </c>
      <c r="AE87" s="22" t="e">
        <f t="shared" si="22"/>
        <v>#N/A</v>
      </c>
      <c r="AF87" s="21" t="e">
        <f t="shared" si="23"/>
        <v>#N/A</v>
      </c>
      <c r="AG87" s="21" t="e">
        <f t="shared" si="24"/>
        <v>#N/A</v>
      </c>
      <c r="AH87" s="11" t="e">
        <f t="shared" si="25"/>
        <v>#N/A</v>
      </c>
      <c r="AI87">
        <v>2.5000000000000001E-2</v>
      </c>
      <c r="AJ87">
        <v>-2.5000000000000001E-2</v>
      </c>
      <c r="AK87">
        <v>1.5E-3</v>
      </c>
      <c r="AL87">
        <v>-1.5E-3</v>
      </c>
      <c r="AM87">
        <v>1.5E-3</v>
      </c>
      <c r="AN87">
        <v>-1.5E-3</v>
      </c>
      <c r="AO87" s="16">
        <v>2.5000000000000001E-2</v>
      </c>
      <c r="AP87" s="16">
        <v>-2.5000000000000001E-2</v>
      </c>
      <c r="AQ87">
        <v>1.4999999999999999E-2</v>
      </c>
      <c r="AR87">
        <v>-1.4999999999999999E-2</v>
      </c>
      <c r="AS87">
        <v>1E-3</v>
      </c>
      <c r="AT87">
        <v>-1E-3</v>
      </c>
      <c r="AU87">
        <v>1E-3</v>
      </c>
      <c r="AV87">
        <v>-1E-3</v>
      </c>
      <c r="AW87" s="16">
        <v>1.4999999999999999E-2</v>
      </c>
      <c r="AX87" s="16">
        <v>-1.4999999999999999E-2</v>
      </c>
    </row>
    <row r="88" spans="6:50">
      <c r="F88" s="17" t="str">
        <f t="shared" si="13"/>
        <v/>
      </c>
      <c r="G88" s="4"/>
      <c r="H88" s="2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22" t="e">
        <f t="shared" si="14"/>
        <v>#N/A</v>
      </c>
      <c r="X88" s="21" t="e">
        <f t="shared" si="15"/>
        <v>#N/A</v>
      </c>
      <c r="Y88" s="21" t="e">
        <f t="shared" si="16"/>
        <v>#N/A</v>
      </c>
      <c r="Z88" s="11" t="e">
        <f t="shared" si="17"/>
        <v>#N/A</v>
      </c>
      <c r="AA88" s="22" t="e">
        <f t="shared" si="18"/>
        <v>#N/A</v>
      </c>
      <c r="AB88" s="21" t="e">
        <f t="shared" si="19"/>
        <v>#N/A</v>
      </c>
      <c r="AC88" s="21" t="e">
        <f t="shared" si="20"/>
        <v>#N/A</v>
      </c>
      <c r="AD88" s="11" t="e">
        <f t="shared" si="21"/>
        <v>#N/A</v>
      </c>
      <c r="AE88" s="22" t="e">
        <f t="shared" si="22"/>
        <v>#N/A</v>
      </c>
      <c r="AF88" s="21" t="e">
        <f t="shared" si="23"/>
        <v>#N/A</v>
      </c>
      <c r="AG88" s="21" t="e">
        <f t="shared" si="24"/>
        <v>#N/A</v>
      </c>
      <c r="AH88" s="11" t="e">
        <f t="shared" si="25"/>
        <v>#N/A</v>
      </c>
      <c r="AI88">
        <v>2.5000000000000001E-2</v>
      </c>
      <c r="AJ88">
        <v>-2.5000000000000001E-2</v>
      </c>
      <c r="AK88">
        <v>1.5E-3</v>
      </c>
      <c r="AL88">
        <v>-1.5E-3</v>
      </c>
      <c r="AM88">
        <v>1.5E-3</v>
      </c>
      <c r="AN88">
        <v>-1.5E-3</v>
      </c>
      <c r="AO88" s="16">
        <v>2.5000000000000001E-2</v>
      </c>
      <c r="AP88" s="16">
        <v>-2.5000000000000001E-2</v>
      </c>
      <c r="AQ88">
        <v>1.4999999999999999E-2</v>
      </c>
      <c r="AR88">
        <v>-1.4999999999999999E-2</v>
      </c>
      <c r="AS88">
        <v>1E-3</v>
      </c>
      <c r="AT88">
        <v>-1E-3</v>
      </c>
      <c r="AU88">
        <v>1E-3</v>
      </c>
      <c r="AV88">
        <v>-1E-3</v>
      </c>
      <c r="AW88" s="16">
        <v>1.4999999999999999E-2</v>
      </c>
      <c r="AX88" s="16">
        <v>-1.4999999999999999E-2</v>
      </c>
    </row>
    <row r="89" spans="6:50">
      <c r="F89" s="17" t="str">
        <f t="shared" si="13"/>
        <v/>
      </c>
      <c r="G89" s="4"/>
      <c r="H89" s="2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22" t="e">
        <f t="shared" si="14"/>
        <v>#N/A</v>
      </c>
      <c r="X89" s="21" t="e">
        <f t="shared" si="15"/>
        <v>#N/A</v>
      </c>
      <c r="Y89" s="21" t="e">
        <f t="shared" si="16"/>
        <v>#N/A</v>
      </c>
      <c r="Z89" s="11" t="e">
        <f t="shared" si="17"/>
        <v>#N/A</v>
      </c>
      <c r="AA89" s="22" t="e">
        <f t="shared" si="18"/>
        <v>#N/A</v>
      </c>
      <c r="AB89" s="21" t="e">
        <f t="shared" si="19"/>
        <v>#N/A</v>
      </c>
      <c r="AC89" s="21" t="e">
        <f t="shared" si="20"/>
        <v>#N/A</v>
      </c>
      <c r="AD89" s="11" t="e">
        <f t="shared" si="21"/>
        <v>#N/A</v>
      </c>
      <c r="AE89" s="22" t="e">
        <f t="shared" si="22"/>
        <v>#N/A</v>
      </c>
      <c r="AF89" s="21" t="e">
        <f t="shared" si="23"/>
        <v>#N/A</v>
      </c>
      <c r="AG89" s="21" t="e">
        <f t="shared" si="24"/>
        <v>#N/A</v>
      </c>
      <c r="AH89" s="11" t="e">
        <f t="shared" si="25"/>
        <v>#N/A</v>
      </c>
      <c r="AI89">
        <v>2.5000000000000001E-2</v>
      </c>
      <c r="AJ89">
        <v>-2.5000000000000001E-2</v>
      </c>
      <c r="AK89">
        <v>1.5E-3</v>
      </c>
      <c r="AL89">
        <v>-1.5E-3</v>
      </c>
      <c r="AM89">
        <v>1.5E-3</v>
      </c>
      <c r="AN89">
        <v>-1.5E-3</v>
      </c>
      <c r="AO89" s="16">
        <v>2.5000000000000001E-2</v>
      </c>
      <c r="AP89" s="16">
        <v>-2.5000000000000001E-2</v>
      </c>
      <c r="AQ89">
        <v>1.4999999999999999E-2</v>
      </c>
      <c r="AR89">
        <v>-1.4999999999999999E-2</v>
      </c>
      <c r="AS89">
        <v>1E-3</v>
      </c>
      <c r="AT89">
        <v>-1E-3</v>
      </c>
      <c r="AU89">
        <v>1E-3</v>
      </c>
      <c r="AV89">
        <v>-1E-3</v>
      </c>
      <c r="AW89" s="16">
        <v>1.4999999999999999E-2</v>
      </c>
      <c r="AX89" s="16">
        <v>-1.4999999999999999E-2</v>
      </c>
    </row>
    <row r="90" spans="6:50">
      <c r="F90" s="17" t="str">
        <f t="shared" si="13"/>
        <v/>
      </c>
      <c r="G90" s="4"/>
      <c r="H90" s="2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22" t="e">
        <f t="shared" si="14"/>
        <v>#N/A</v>
      </c>
      <c r="X90" s="21" t="e">
        <f t="shared" si="15"/>
        <v>#N/A</v>
      </c>
      <c r="Y90" s="21" t="e">
        <f t="shared" si="16"/>
        <v>#N/A</v>
      </c>
      <c r="Z90" s="11" t="e">
        <f t="shared" si="17"/>
        <v>#N/A</v>
      </c>
      <c r="AA90" s="22" t="e">
        <f t="shared" si="18"/>
        <v>#N/A</v>
      </c>
      <c r="AB90" s="21" t="e">
        <f t="shared" si="19"/>
        <v>#N/A</v>
      </c>
      <c r="AC90" s="21" t="e">
        <f t="shared" si="20"/>
        <v>#N/A</v>
      </c>
      <c r="AD90" s="11" t="e">
        <f t="shared" si="21"/>
        <v>#N/A</v>
      </c>
      <c r="AE90" s="22" t="e">
        <f t="shared" si="22"/>
        <v>#N/A</v>
      </c>
      <c r="AF90" s="21" t="e">
        <f t="shared" si="23"/>
        <v>#N/A</v>
      </c>
      <c r="AG90" s="21" t="e">
        <f t="shared" si="24"/>
        <v>#N/A</v>
      </c>
      <c r="AH90" s="11" t="e">
        <f t="shared" si="25"/>
        <v>#N/A</v>
      </c>
      <c r="AI90">
        <v>2.5000000000000001E-2</v>
      </c>
      <c r="AJ90">
        <v>-2.5000000000000001E-2</v>
      </c>
      <c r="AK90">
        <v>1.5E-3</v>
      </c>
      <c r="AL90">
        <v>-1.5E-3</v>
      </c>
      <c r="AM90">
        <v>1.5E-3</v>
      </c>
      <c r="AN90">
        <v>-1.5E-3</v>
      </c>
      <c r="AO90" s="16">
        <v>2.5000000000000001E-2</v>
      </c>
      <c r="AP90" s="16">
        <v>-2.5000000000000001E-2</v>
      </c>
      <c r="AQ90">
        <v>1.4999999999999999E-2</v>
      </c>
      <c r="AR90">
        <v>-1.4999999999999999E-2</v>
      </c>
      <c r="AS90">
        <v>1E-3</v>
      </c>
      <c r="AT90">
        <v>-1E-3</v>
      </c>
      <c r="AU90">
        <v>1E-3</v>
      </c>
      <c r="AV90">
        <v>-1E-3</v>
      </c>
      <c r="AW90" s="16">
        <v>1.4999999999999999E-2</v>
      </c>
      <c r="AX90" s="16">
        <v>-1.4999999999999999E-2</v>
      </c>
    </row>
    <row r="91" spans="6:50">
      <c r="F91" s="17" t="str">
        <f t="shared" si="13"/>
        <v/>
      </c>
      <c r="G91" s="4"/>
      <c r="H91" s="2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22" t="e">
        <f t="shared" si="14"/>
        <v>#N/A</v>
      </c>
      <c r="X91" s="21" t="e">
        <f t="shared" si="15"/>
        <v>#N/A</v>
      </c>
      <c r="Y91" s="21" t="e">
        <f t="shared" si="16"/>
        <v>#N/A</v>
      </c>
      <c r="Z91" s="11" t="e">
        <f t="shared" si="17"/>
        <v>#N/A</v>
      </c>
      <c r="AA91" s="22" t="e">
        <f t="shared" si="18"/>
        <v>#N/A</v>
      </c>
      <c r="AB91" s="21" t="e">
        <f t="shared" si="19"/>
        <v>#N/A</v>
      </c>
      <c r="AC91" s="21" t="e">
        <f t="shared" si="20"/>
        <v>#N/A</v>
      </c>
      <c r="AD91" s="11" t="e">
        <f t="shared" si="21"/>
        <v>#N/A</v>
      </c>
      <c r="AE91" s="22" t="e">
        <f t="shared" si="22"/>
        <v>#N/A</v>
      </c>
      <c r="AF91" s="21" t="e">
        <f t="shared" si="23"/>
        <v>#N/A</v>
      </c>
      <c r="AG91" s="21" t="e">
        <f t="shared" si="24"/>
        <v>#N/A</v>
      </c>
      <c r="AH91" s="11" t="e">
        <f t="shared" si="25"/>
        <v>#N/A</v>
      </c>
      <c r="AI91">
        <v>2.5000000000000001E-2</v>
      </c>
      <c r="AJ91">
        <v>-2.5000000000000001E-2</v>
      </c>
      <c r="AK91">
        <v>1.5E-3</v>
      </c>
      <c r="AL91">
        <v>-1.5E-3</v>
      </c>
      <c r="AM91">
        <v>1.5E-3</v>
      </c>
      <c r="AN91">
        <v>-1.5E-3</v>
      </c>
      <c r="AO91" s="16">
        <v>2.5000000000000001E-2</v>
      </c>
      <c r="AP91" s="16">
        <v>-2.5000000000000001E-2</v>
      </c>
      <c r="AQ91">
        <v>1.4999999999999999E-2</v>
      </c>
      <c r="AR91">
        <v>-1.4999999999999999E-2</v>
      </c>
      <c r="AS91">
        <v>1E-3</v>
      </c>
      <c r="AT91">
        <v>-1E-3</v>
      </c>
      <c r="AU91">
        <v>1E-3</v>
      </c>
      <c r="AV91">
        <v>-1E-3</v>
      </c>
      <c r="AW91" s="16">
        <v>1.4999999999999999E-2</v>
      </c>
      <c r="AX91" s="16">
        <v>-1.4999999999999999E-2</v>
      </c>
    </row>
    <row r="92" spans="6:50">
      <c r="F92" s="17" t="str">
        <f t="shared" si="13"/>
        <v/>
      </c>
      <c r="G92" s="4"/>
      <c r="H92" s="2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22" t="e">
        <f t="shared" si="14"/>
        <v>#N/A</v>
      </c>
      <c r="X92" s="21" t="e">
        <f t="shared" si="15"/>
        <v>#N/A</v>
      </c>
      <c r="Y92" s="21" t="e">
        <f t="shared" si="16"/>
        <v>#N/A</v>
      </c>
      <c r="Z92" s="11" t="e">
        <f t="shared" si="17"/>
        <v>#N/A</v>
      </c>
      <c r="AA92" s="22" t="e">
        <f t="shared" si="18"/>
        <v>#N/A</v>
      </c>
      <c r="AB92" s="21" t="e">
        <f t="shared" si="19"/>
        <v>#N/A</v>
      </c>
      <c r="AC92" s="21" t="e">
        <f t="shared" si="20"/>
        <v>#N/A</v>
      </c>
      <c r="AD92" s="11" t="e">
        <f t="shared" si="21"/>
        <v>#N/A</v>
      </c>
      <c r="AE92" s="22" t="e">
        <f t="shared" si="22"/>
        <v>#N/A</v>
      </c>
      <c r="AF92" s="21" t="e">
        <f t="shared" si="23"/>
        <v>#N/A</v>
      </c>
      <c r="AG92" s="21" t="e">
        <f t="shared" si="24"/>
        <v>#N/A</v>
      </c>
      <c r="AH92" s="11" t="e">
        <f t="shared" si="25"/>
        <v>#N/A</v>
      </c>
      <c r="AI92">
        <v>2.5000000000000001E-2</v>
      </c>
      <c r="AJ92">
        <v>-2.5000000000000001E-2</v>
      </c>
      <c r="AK92">
        <v>1.5E-3</v>
      </c>
      <c r="AL92">
        <v>-1.5E-3</v>
      </c>
      <c r="AM92">
        <v>1.5E-3</v>
      </c>
      <c r="AN92">
        <v>-1.5E-3</v>
      </c>
      <c r="AO92" s="16">
        <v>2.5000000000000001E-2</v>
      </c>
      <c r="AP92" s="16">
        <v>-2.5000000000000001E-2</v>
      </c>
      <c r="AQ92">
        <v>1.4999999999999999E-2</v>
      </c>
      <c r="AR92">
        <v>-1.4999999999999999E-2</v>
      </c>
      <c r="AS92">
        <v>1E-3</v>
      </c>
      <c r="AT92">
        <v>-1E-3</v>
      </c>
      <c r="AU92">
        <v>1E-3</v>
      </c>
      <c r="AV92">
        <v>-1E-3</v>
      </c>
      <c r="AW92" s="16">
        <v>1.4999999999999999E-2</v>
      </c>
      <c r="AX92" s="16">
        <v>-1.4999999999999999E-2</v>
      </c>
    </row>
    <row r="93" spans="6:50">
      <c r="F93" s="17" t="str">
        <f t="shared" si="13"/>
        <v/>
      </c>
      <c r="G93" s="4"/>
      <c r="H93" s="2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22" t="e">
        <f t="shared" si="14"/>
        <v>#N/A</v>
      </c>
      <c r="X93" s="21" t="e">
        <f t="shared" si="15"/>
        <v>#N/A</v>
      </c>
      <c r="Y93" s="21" t="e">
        <f t="shared" si="16"/>
        <v>#N/A</v>
      </c>
      <c r="Z93" s="11" t="e">
        <f t="shared" si="17"/>
        <v>#N/A</v>
      </c>
      <c r="AA93" s="22" t="e">
        <f t="shared" si="18"/>
        <v>#N/A</v>
      </c>
      <c r="AB93" s="21" t="e">
        <f t="shared" si="19"/>
        <v>#N/A</v>
      </c>
      <c r="AC93" s="21" t="e">
        <f t="shared" si="20"/>
        <v>#N/A</v>
      </c>
      <c r="AD93" s="11" t="e">
        <f t="shared" si="21"/>
        <v>#N/A</v>
      </c>
      <c r="AE93" s="22" t="e">
        <f t="shared" si="22"/>
        <v>#N/A</v>
      </c>
      <c r="AF93" s="21" t="e">
        <f t="shared" si="23"/>
        <v>#N/A</v>
      </c>
      <c r="AG93" s="21" t="e">
        <f t="shared" si="24"/>
        <v>#N/A</v>
      </c>
      <c r="AH93" s="11" t="e">
        <f t="shared" si="25"/>
        <v>#N/A</v>
      </c>
      <c r="AI93">
        <v>2.5000000000000001E-2</v>
      </c>
      <c r="AJ93">
        <v>-2.5000000000000001E-2</v>
      </c>
      <c r="AK93">
        <v>1.5E-3</v>
      </c>
      <c r="AL93">
        <v>-1.5E-3</v>
      </c>
      <c r="AM93">
        <v>1.5E-3</v>
      </c>
      <c r="AN93">
        <v>-1.5E-3</v>
      </c>
      <c r="AO93" s="16">
        <v>2.5000000000000001E-2</v>
      </c>
      <c r="AP93" s="16">
        <v>-2.5000000000000001E-2</v>
      </c>
      <c r="AQ93">
        <v>1.4999999999999999E-2</v>
      </c>
      <c r="AR93">
        <v>-1.4999999999999999E-2</v>
      </c>
      <c r="AS93">
        <v>1E-3</v>
      </c>
      <c r="AT93">
        <v>-1E-3</v>
      </c>
      <c r="AU93">
        <v>1E-3</v>
      </c>
      <c r="AV93">
        <v>-1E-3</v>
      </c>
      <c r="AW93" s="16">
        <v>1.4999999999999999E-2</v>
      </c>
      <c r="AX93" s="16">
        <v>-1.4999999999999999E-2</v>
      </c>
    </row>
    <row r="94" spans="6:50">
      <c r="F94" s="17" t="str">
        <f t="shared" si="13"/>
        <v/>
      </c>
      <c r="G94" s="4"/>
      <c r="H94" s="2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22" t="e">
        <f t="shared" si="14"/>
        <v>#N/A</v>
      </c>
      <c r="X94" s="21" t="e">
        <f t="shared" si="15"/>
        <v>#N/A</v>
      </c>
      <c r="Y94" s="21" t="e">
        <f t="shared" si="16"/>
        <v>#N/A</v>
      </c>
      <c r="Z94" s="11" t="e">
        <f t="shared" si="17"/>
        <v>#N/A</v>
      </c>
      <c r="AA94" s="22" t="e">
        <f t="shared" si="18"/>
        <v>#N/A</v>
      </c>
      <c r="AB94" s="21" t="e">
        <f t="shared" si="19"/>
        <v>#N/A</v>
      </c>
      <c r="AC94" s="21" t="e">
        <f t="shared" si="20"/>
        <v>#N/A</v>
      </c>
      <c r="AD94" s="11" t="e">
        <f t="shared" si="21"/>
        <v>#N/A</v>
      </c>
      <c r="AE94" s="22" t="e">
        <f t="shared" si="22"/>
        <v>#N/A</v>
      </c>
      <c r="AF94" s="21" t="e">
        <f t="shared" si="23"/>
        <v>#N/A</v>
      </c>
      <c r="AG94" s="21" t="e">
        <f t="shared" si="24"/>
        <v>#N/A</v>
      </c>
      <c r="AH94" s="11" t="e">
        <f t="shared" si="25"/>
        <v>#N/A</v>
      </c>
      <c r="AI94">
        <v>2.5000000000000001E-2</v>
      </c>
      <c r="AJ94">
        <v>-2.5000000000000001E-2</v>
      </c>
      <c r="AK94">
        <v>1.5E-3</v>
      </c>
      <c r="AL94">
        <v>-1.5E-3</v>
      </c>
      <c r="AM94">
        <v>1.5E-3</v>
      </c>
      <c r="AN94">
        <v>-1.5E-3</v>
      </c>
      <c r="AO94" s="16">
        <v>2.5000000000000001E-2</v>
      </c>
      <c r="AP94" s="16">
        <v>-2.5000000000000001E-2</v>
      </c>
      <c r="AQ94">
        <v>1.4999999999999999E-2</v>
      </c>
      <c r="AR94">
        <v>-1.4999999999999999E-2</v>
      </c>
      <c r="AS94">
        <v>1E-3</v>
      </c>
      <c r="AT94">
        <v>-1E-3</v>
      </c>
      <c r="AU94">
        <v>1E-3</v>
      </c>
      <c r="AV94">
        <v>-1E-3</v>
      </c>
      <c r="AW94" s="16">
        <v>1.4999999999999999E-2</v>
      </c>
      <c r="AX94" s="16">
        <v>-1.4999999999999999E-2</v>
      </c>
    </row>
    <row r="95" spans="6:50">
      <c r="F95" s="17" t="str">
        <f t="shared" si="13"/>
        <v/>
      </c>
      <c r="G95" s="4"/>
      <c r="H95" s="2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22" t="e">
        <f t="shared" si="14"/>
        <v>#N/A</v>
      </c>
      <c r="X95" s="21" t="e">
        <f t="shared" si="15"/>
        <v>#N/A</v>
      </c>
      <c r="Y95" s="21" t="e">
        <f t="shared" si="16"/>
        <v>#N/A</v>
      </c>
      <c r="Z95" s="11" t="e">
        <f t="shared" si="17"/>
        <v>#N/A</v>
      </c>
      <c r="AA95" s="22" t="e">
        <f t="shared" si="18"/>
        <v>#N/A</v>
      </c>
      <c r="AB95" s="21" t="e">
        <f t="shared" si="19"/>
        <v>#N/A</v>
      </c>
      <c r="AC95" s="21" t="e">
        <f t="shared" si="20"/>
        <v>#N/A</v>
      </c>
      <c r="AD95" s="11" t="e">
        <f t="shared" si="21"/>
        <v>#N/A</v>
      </c>
      <c r="AE95" s="22" t="e">
        <f t="shared" si="22"/>
        <v>#N/A</v>
      </c>
      <c r="AF95" s="21" t="e">
        <f t="shared" si="23"/>
        <v>#N/A</v>
      </c>
      <c r="AG95" s="21" t="e">
        <f t="shared" si="24"/>
        <v>#N/A</v>
      </c>
      <c r="AH95" s="11" t="e">
        <f t="shared" si="25"/>
        <v>#N/A</v>
      </c>
      <c r="AI95">
        <v>2.5000000000000001E-2</v>
      </c>
      <c r="AJ95">
        <v>-2.5000000000000001E-2</v>
      </c>
      <c r="AK95">
        <v>1.5E-3</v>
      </c>
      <c r="AL95">
        <v>-1.5E-3</v>
      </c>
      <c r="AM95">
        <v>1.5E-3</v>
      </c>
      <c r="AN95">
        <v>-1.5E-3</v>
      </c>
      <c r="AO95" s="16">
        <v>2.5000000000000001E-2</v>
      </c>
      <c r="AP95" s="16">
        <v>-2.5000000000000001E-2</v>
      </c>
      <c r="AQ95">
        <v>1.4999999999999999E-2</v>
      </c>
      <c r="AR95">
        <v>-1.4999999999999999E-2</v>
      </c>
      <c r="AS95">
        <v>1E-3</v>
      </c>
      <c r="AT95">
        <v>-1E-3</v>
      </c>
      <c r="AU95">
        <v>1E-3</v>
      </c>
      <c r="AV95">
        <v>-1E-3</v>
      </c>
      <c r="AW95" s="16">
        <v>1.4999999999999999E-2</v>
      </c>
      <c r="AX95" s="16">
        <v>-1.4999999999999999E-2</v>
      </c>
    </row>
    <row r="96" spans="6:50">
      <c r="F96" s="17" t="str">
        <f t="shared" si="13"/>
        <v/>
      </c>
      <c r="G96" s="4"/>
      <c r="H96" s="2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22" t="e">
        <f t="shared" si="14"/>
        <v>#N/A</v>
      </c>
      <c r="X96" s="21" t="e">
        <f t="shared" si="15"/>
        <v>#N/A</v>
      </c>
      <c r="Y96" s="21" t="e">
        <f t="shared" si="16"/>
        <v>#N/A</v>
      </c>
      <c r="Z96" s="11" t="e">
        <f t="shared" si="17"/>
        <v>#N/A</v>
      </c>
      <c r="AA96" s="22" t="e">
        <f t="shared" si="18"/>
        <v>#N/A</v>
      </c>
      <c r="AB96" s="21" t="e">
        <f t="shared" si="19"/>
        <v>#N/A</v>
      </c>
      <c r="AC96" s="21" t="e">
        <f t="shared" si="20"/>
        <v>#N/A</v>
      </c>
      <c r="AD96" s="11" t="e">
        <f t="shared" si="21"/>
        <v>#N/A</v>
      </c>
      <c r="AE96" s="22" t="e">
        <f t="shared" si="22"/>
        <v>#N/A</v>
      </c>
      <c r="AF96" s="21" t="e">
        <f t="shared" si="23"/>
        <v>#N/A</v>
      </c>
      <c r="AG96" s="21" t="e">
        <f t="shared" si="24"/>
        <v>#N/A</v>
      </c>
      <c r="AH96" s="11" t="e">
        <f t="shared" si="25"/>
        <v>#N/A</v>
      </c>
      <c r="AI96">
        <v>2.5000000000000001E-2</v>
      </c>
      <c r="AJ96">
        <v>-2.5000000000000001E-2</v>
      </c>
      <c r="AK96">
        <v>1.5E-3</v>
      </c>
      <c r="AL96">
        <v>-1.5E-3</v>
      </c>
      <c r="AM96">
        <v>1.5E-3</v>
      </c>
      <c r="AN96">
        <v>-1.5E-3</v>
      </c>
      <c r="AO96" s="16">
        <v>2.5000000000000001E-2</v>
      </c>
      <c r="AP96" s="16">
        <v>-2.5000000000000001E-2</v>
      </c>
      <c r="AQ96">
        <v>1.4999999999999999E-2</v>
      </c>
      <c r="AR96">
        <v>-1.4999999999999999E-2</v>
      </c>
      <c r="AS96">
        <v>1E-3</v>
      </c>
      <c r="AT96">
        <v>-1E-3</v>
      </c>
      <c r="AU96">
        <v>1E-3</v>
      </c>
      <c r="AV96">
        <v>-1E-3</v>
      </c>
      <c r="AW96" s="16">
        <v>1.4999999999999999E-2</v>
      </c>
      <c r="AX96" s="16">
        <v>-1.4999999999999999E-2</v>
      </c>
    </row>
    <row r="97" spans="6:50">
      <c r="F97" s="17" t="str">
        <f t="shared" si="13"/>
        <v/>
      </c>
      <c r="G97" s="4"/>
      <c r="H97" s="2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22" t="e">
        <f t="shared" si="14"/>
        <v>#N/A</v>
      </c>
      <c r="X97" s="21" t="e">
        <f t="shared" si="15"/>
        <v>#N/A</v>
      </c>
      <c r="Y97" s="21" t="e">
        <f t="shared" si="16"/>
        <v>#N/A</v>
      </c>
      <c r="Z97" s="11" t="e">
        <f t="shared" si="17"/>
        <v>#N/A</v>
      </c>
      <c r="AA97" s="22" t="e">
        <f t="shared" si="18"/>
        <v>#N/A</v>
      </c>
      <c r="AB97" s="21" t="e">
        <f t="shared" si="19"/>
        <v>#N/A</v>
      </c>
      <c r="AC97" s="21" t="e">
        <f t="shared" si="20"/>
        <v>#N/A</v>
      </c>
      <c r="AD97" s="11" t="e">
        <f t="shared" si="21"/>
        <v>#N/A</v>
      </c>
      <c r="AE97" s="22" t="e">
        <f t="shared" si="22"/>
        <v>#N/A</v>
      </c>
      <c r="AF97" s="21" t="e">
        <f t="shared" si="23"/>
        <v>#N/A</v>
      </c>
      <c r="AG97" s="21" t="e">
        <f t="shared" si="24"/>
        <v>#N/A</v>
      </c>
      <c r="AH97" s="11" t="e">
        <f t="shared" si="25"/>
        <v>#N/A</v>
      </c>
      <c r="AI97">
        <v>2.5000000000000001E-2</v>
      </c>
      <c r="AJ97">
        <v>-2.5000000000000001E-2</v>
      </c>
      <c r="AK97">
        <v>1.5E-3</v>
      </c>
      <c r="AL97">
        <v>-1.5E-3</v>
      </c>
      <c r="AM97">
        <v>1.5E-3</v>
      </c>
      <c r="AN97">
        <v>-1.5E-3</v>
      </c>
      <c r="AO97" s="16">
        <v>2.5000000000000001E-2</v>
      </c>
      <c r="AP97" s="16">
        <v>-2.5000000000000001E-2</v>
      </c>
      <c r="AQ97">
        <v>1.4999999999999999E-2</v>
      </c>
      <c r="AR97">
        <v>-1.4999999999999999E-2</v>
      </c>
      <c r="AS97">
        <v>1E-3</v>
      </c>
      <c r="AT97">
        <v>-1E-3</v>
      </c>
      <c r="AU97">
        <v>1E-3</v>
      </c>
      <c r="AV97">
        <v>-1E-3</v>
      </c>
      <c r="AW97" s="16">
        <v>1.4999999999999999E-2</v>
      </c>
      <c r="AX97" s="16">
        <v>-1.4999999999999999E-2</v>
      </c>
    </row>
    <row r="98" spans="6:50">
      <c r="F98" s="17" t="str">
        <f t="shared" si="13"/>
        <v/>
      </c>
      <c r="G98" s="4"/>
      <c r="H98" s="2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22" t="e">
        <f t="shared" si="14"/>
        <v>#N/A</v>
      </c>
      <c r="X98" s="21" t="e">
        <f t="shared" si="15"/>
        <v>#N/A</v>
      </c>
      <c r="Y98" s="21" t="e">
        <f t="shared" si="16"/>
        <v>#N/A</v>
      </c>
      <c r="Z98" s="11" t="e">
        <f t="shared" si="17"/>
        <v>#N/A</v>
      </c>
      <c r="AA98" s="22" t="e">
        <f t="shared" si="18"/>
        <v>#N/A</v>
      </c>
      <c r="AB98" s="21" t="e">
        <f t="shared" si="19"/>
        <v>#N/A</v>
      </c>
      <c r="AC98" s="21" t="e">
        <f t="shared" si="20"/>
        <v>#N/A</v>
      </c>
      <c r="AD98" s="11" t="e">
        <f t="shared" si="21"/>
        <v>#N/A</v>
      </c>
      <c r="AE98" s="22" t="e">
        <f t="shared" si="22"/>
        <v>#N/A</v>
      </c>
      <c r="AF98" s="21" t="e">
        <f t="shared" si="23"/>
        <v>#N/A</v>
      </c>
      <c r="AG98" s="21" t="e">
        <f t="shared" si="24"/>
        <v>#N/A</v>
      </c>
      <c r="AH98" s="11" t="e">
        <f t="shared" si="25"/>
        <v>#N/A</v>
      </c>
      <c r="AI98">
        <v>2.5000000000000001E-2</v>
      </c>
      <c r="AJ98">
        <v>-2.5000000000000001E-2</v>
      </c>
      <c r="AK98">
        <v>1.5E-3</v>
      </c>
      <c r="AL98">
        <v>-1.5E-3</v>
      </c>
      <c r="AM98">
        <v>1.5E-3</v>
      </c>
      <c r="AN98">
        <v>-1.5E-3</v>
      </c>
      <c r="AO98" s="16">
        <v>2.5000000000000001E-2</v>
      </c>
      <c r="AP98" s="16">
        <v>-2.5000000000000001E-2</v>
      </c>
      <c r="AQ98">
        <v>1.4999999999999999E-2</v>
      </c>
      <c r="AR98">
        <v>-1.4999999999999999E-2</v>
      </c>
      <c r="AS98">
        <v>1E-3</v>
      </c>
      <c r="AT98">
        <v>-1E-3</v>
      </c>
      <c r="AU98">
        <v>1E-3</v>
      </c>
      <c r="AV98">
        <v>-1E-3</v>
      </c>
      <c r="AW98" s="16">
        <v>1.4999999999999999E-2</v>
      </c>
      <c r="AX98" s="16">
        <v>-1.4999999999999999E-2</v>
      </c>
    </row>
    <row r="99" spans="6:50">
      <c r="F99" s="17" t="str">
        <f t="shared" si="13"/>
        <v/>
      </c>
      <c r="G99" s="4"/>
      <c r="H99" s="2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22" t="e">
        <f t="shared" si="14"/>
        <v>#N/A</v>
      </c>
      <c r="X99" s="21" t="e">
        <f t="shared" si="15"/>
        <v>#N/A</v>
      </c>
      <c r="Y99" s="21" t="e">
        <f t="shared" si="16"/>
        <v>#N/A</v>
      </c>
      <c r="Z99" s="11" t="e">
        <f t="shared" si="17"/>
        <v>#N/A</v>
      </c>
      <c r="AA99" s="22" t="e">
        <f t="shared" si="18"/>
        <v>#N/A</v>
      </c>
      <c r="AB99" s="21" t="e">
        <f t="shared" si="19"/>
        <v>#N/A</v>
      </c>
      <c r="AC99" s="21" t="e">
        <f t="shared" si="20"/>
        <v>#N/A</v>
      </c>
      <c r="AD99" s="11" t="e">
        <f t="shared" si="21"/>
        <v>#N/A</v>
      </c>
      <c r="AE99" s="22" t="e">
        <f t="shared" si="22"/>
        <v>#N/A</v>
      </c>
      <c r="AF99" s="21" t="e">
        <f t="shared" si="23"/>
        <v>#N/A</v>
      </c>
      <c r="AG99" s="21" t="e">
        <f t="shared" si="24"/>
        <v>#N/A</v>
      </c>
      <c r="AH99" s="11" t="e">
        <f t="shared" si="25"/>
        <v>#N/A</v>
      </c>
      <c r="AI99">
        <v>2.5000000000000001E-2</v>
      </c>
      <c r="AJ99">
        <v>-2.5000000000000001E-2</v>
      </c>
      <c r="AK99">
        <v>1.5E-3</v>
      </c>
      <c r="AL99">
        <v>-1.5E-3</v>
      </c>
      <c r="AM99">
        <v>1.5E-3</v>
      </c>
      <c r="AN99">
        <v>-1.5E-3</v>
      </c>
      <c r="AO99" s="16">
        <v>2.5000000000000001E-2</v>
      </c>
      <c r="AP99" s="16">
        <v>-2.5000000000000001E-2</v>
      </c>
      <c r="AQ99">
        <v>1.4999999999999999E-2</v>
      </c>
      <c r="AR99">
        <v>-1.4999999999999999E-2</v>
      </c>
      <c r="AS99">
        <v>1E-3</v>
      </c>
      <c r="AT99">
        <v>-1E-3</v>
      </c>
      <c r="AU99">
        <v>1E-3</v>
      </c>
      <c r="AV99">
        <v>-1E-3</v>
      </c>
      <c r="AW99" s="16">
        <v>1.4999999999999999E-2</v>
      </c>
      <c r="AX99" s="16">
        <v>-1.4999999999999999E-2</v>
      </c>
    </row>
    <row r="100" spans="6:50">
      <c r="F100" s="17" t="str">
        <f t="shared" si="13"/>
        <v/>
      </c>
      <c r="G100" s="4"/>
      <c r="H100" s="2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22" t="e">
        <f t="shared" si="14"/>
        <v>#N/A</v>
      </c>
      <c r="X100" s="21" t="e">
        <f t="shared" si="15"/>
        <v>#N/A</v>
      </c>
      <c r="Y100" s="21" t="e">
        <f t="shared" si="16"/>
        <v>#N/A</v>
      </c>
      <c r="Z100" s="11" t="e">
        <f t="shared" si="17"/>
        <v>#N/A</v>
      </c>
      <c r="AA100" s="22" t="e">
        <f t="shared" si="18"/>
        <v>#N/A</v>
      </c>
      <c r="AB100" s="21" t="e">
        <f t="shared" si="19"/>
        <v>#N/A</v>
      </c>
      <c r="AC100" s="21" t="e">
        <f t="shared" si="20"/>
        <v>#N/A</v>
      </c>
      <c r="AD100" s="11" t="e">
        <f t="shared" si="21"/>
        <v>#N/A</v>
      </c>
      <c r="AE100" s="22" t="e">
        <f t="shared" si="22"/>
        <v>#N/A</v>
      </c>
      <c r="AF100" s="21" t="e">
        <f t="shared" si="23"/>
        <v>#N/A</v>
      </c>
      <c r="AG100" s="21" t="e">
        <f t="shared" si="24"/>
        <v>#N/A</v>
      </c>
      <c r="AH100" s="11" t="e">
        <f t="shared" si="25"/>
        <v>#N/A</v>
      </c>
      <c r="AI100">
        <v>2.5000000000000001E-2</v>
      </c>
      <c r="AJ100">
        <v>-2.5000000000000001E-2</v>
      </c>
      <c r="AK100">
        <v>1.5E-3</v>
      </c>
      <c r="AL100">
        <v>-1.5E-3</v>
      </c>
      <c r="AM100">
        <v>1.5E-3</v>
      </c>
      <c r="AN100">
        <v>-1.5E-3</v>
      </c>
      <c r="AO100" s="16">
        <v>2.5000000000000001E-2</v>
      </c>
      <c r="AP100" s="16">
        <v>-2.5000000000000001E-2</v>
      </c>
      <c r="AQ100">
        <v>1.4999999999999999E-2</v>
      </c>
      <c r="AR100">
        <v>-1.4999999999999999E-2</v>
      </c>
      <c r="AS100">
        <v>1E-3</v>
      </c>
      <c r="AT100">
        <v>-1E-3</v>
      </c>
      <c r="AU100">
        <v>1E-3</v>
      </c>
      <c r="AV100">
        <v>-1E-3</v>
      </c>
      <c r="AW100" s="16">
        <v>1.4999999999999999E-2</v>
      </c>
      <c r="AX100" s="16">
        <v>-1.4999999999999999E-2</v>
      </c>
    </row>
  </sheetData>
  <mergeCells count="6">
    <mergeCell ref="AE4:AH4"/>
    <mergeCell ref="H4:L4"/>
    <mergeCell ref="M4:Q4"/>
    <mergeCell ref="R4:V4"/>
    <mergeCell ref="W4:Z4"/>
    <mergeCell ref="AA4:AD4"/>
  </mergeCells>
  <phoneticPr fontId="1"/>
  <conditionalFormatting sqref="W6:AH100">
    <cfRule type="containsErrors" dxfId="6" priority="1">
      <formula>ISERROR(W6)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S100"/>
  <sheetViews>
    <sheetView showGridLines="0" topLeftCell="AI1" zoomScale="70" zoomScaleNormal="70" workbookViewId="0">
      <pane ySplit="5" topLeftCell="A6" activePane="bottomLeft" state="frozen"/>
      <selection pane="bottomLeft" activeCell="BA4" sqref="BA4:BI5"/>
    </sheetView>
  </sheetViews>
  <sheetFormatPr defaultRowHeight="13.5"/>
  <cols>
    <col min="1" max="5" width="9" style="18"/>
    <col min="6" max="6" width="16.125" style="18" bestFit="1" customWidth="1"/>
    <col min="7" max="7" width="20.625" style="19" bestFit="1" customWidth="1"/>
    <col min="8" max="8" width="11.25" style="26" customWidth="1"/>
    <col min="9" max="9" width="11.25" style="20" customWidth="1"/>
    <col min="10" max="10" width="9.75" style="20" customWidth="1"/>
    <col min="11" max="11" width="9.25" style="20" customWidth="1"/>
    <col min="12" max="13" width="9.75" style="20" customWidth="1"/>
    <col min="14" max="14" width="10.125" style="20" customWidth="1"/>
    <col min="15" max="15" width="10" style="20" customWidth="1"/>
    <col min="16" max="22" width="9" style="20"/>
    <col min="23" max="16384" width="9" style="18"/>
  </cols>
  <sheetData>
    <row r="1" spans="1:279" customFormat="1">
      <c r="G1" s="7"/>
      <c r="H1" s="23"/>
      <c r="K1" s="1"/>
      <c r="L1" s="1"/>
      <c r="M1" s="27"/>
      <c r="R1" s="8"/>
    </row>
    <row r="2" spans="1:279" customFormat="1">
      <c r="G2" s="10"/>
      <c r="H2" s="24"/>
      <c r="I2" s="18"/>
      <c r="J2" s="10"/>
      <c r="K2" s="1"/>
      <c r="L2" s="1"/>
      <c r="M2" s="27"/>
      <c r="R2" s="8"/>
    </row>
    <row r="3" spans="1:279" customFormat="1">
      <c r="G3" s="10"/>
      <c r="H3" s="24"/>
      <c r="I3" s="13">
        <v>3.1103700000000001</v>
      </c>
      <c r="J3" s="13">
        <v>0.29050100000000001</v>
      </c>
      <c r="K3" s="14">
        <v>0.28018300000000002</v>
      </c>
      <c r="L3" s="14">
        <v>27.681999999999999</v>
      </c>
      <c r="M3" s="27"/>
      <c r="N3" s="13">
        <v>3.1324200000000002</v>
      </c>
      <c r="O3" s="13">
        <v>0.28729700000000002</v>
      </c>
      <c r="P3" s="14">
        <v>0.27366200000000002</v>
      </c>
      <c r="Q3" s="14">
        <v>27.869</v>
      </c>
      <c r="R3" s="27"/>
      <c r="S3" s="13">
        <v>3.1106600000000002</v>
      </c>
      <c r="T3" s="13">
        <v>0.28251900000000002</v>
      </c>
      <c r="U3" s="14">
        <v>0.26605899999999999</v>
      </c>
      <c r="V3" s="14">
        <v>27.683</v>
      </c>
    </row>
    <row r="4" spans="1:279" customFormat="1">
      <c r="A4" t="s">
        <v>15</v>
      </c>
      <c r="G4" s="3"/>
      <c r="H4" s="34" t="s">
        <v>5</v>
      </c>
      <c r="I4" s="34"/>
      <c r="J4" s="34"/>
      <c r="K4" s="34"/>
      <c r="L4" s="34"/>
      <c r="M4" s="35" t="s">
        <v>6</v>
      </c>
      <c r="N4" s="36"/>
      <c r="O4" s="36"/>
      <c r="P4" s="36"/>
      <c r="Q4" s="37"/>
      <c r="R4" s="35" t="s">
        <v>7</v>
      </c>
      <c r="S4" s="36"/>
      <c r="T4" s="36"/>
      <c r="U4" s="36"/>
      <c r="V4" s="37"/>
      <c r="W4" s="34" t="s">
        <v>5</v>
      </c>
      <c r="X4" s="34"/>
      <c r="Y4" s="34"/>
      <c r="Z4" s="34"/>
      <c r="AA4" s="34" t="s">
        <v>6</v>
      </c>
      <c r="AB4" s="34"/>
      <c r="AC4" s="34"/>
      <c r="AD4" s="34"/>
      <c r="AE4" s="34" t="s">
        <v>7</v>
      </c>
      <c r="AF4" s="34"/>
      <c r="AG4" s="34"/>
      <c r="AH4" s="34"/>
      <c r="AI4" t="s">
        <v>12</v>
      </c>
      <c r="AJ4" t="s">
        <v>12</v>
      </c>
      <c r="AK4" t="s">
        <v>12</v>
      </c>
      <c r="AL4" t="s">
        <v>12</v>
      </c>
      <c r="AM4" t="s">
        <v>12</v>
      </c>
      <c r="AN4" t="s">
        <v>12</v>
      </c>
      <c r="AO4" t="s">
        <v>12</v>
      </c>
      <c r="AP4" t="s">
        <v>12</v>
      </c>
      <c r="AQ4" t="s">
        <v>13</v>
      </c>
      <c r="AR4" t="s">
        <v>13</v>
      </c>
      <c r="AS4" t="s">
        <v>13</v>
      </c>
      <c r="AT4" t="s">
        <v>13</v>
      </c>
      <c r="AU4" t="s">
        <v>13</v>
      </c>
      <c r="AV4" t="s">
        <v>13</v>
      </c>
      <c r="AW4" t="s">
        <v>13</v>
      </c>
      <c r="AX4" t="s">
        <v>13</v>
      </c>
      <c r="BA4" t="s">
        <v>51</v>
      </c>
      <c r="BF4" t="s">
        <v>52</v>
      </c>
    </row>
    <row r="5" spans="1:279" customFormat="1">
      <c r="A5" s="2"/>
      <c r="B5" s="2" t="s">
        <v>1</v>
      </c>
      <c r="C5" s="2" t="s">
        <v>2</v>
      </c>
      <c r="D5" s="2" t="s">
        <v>3</v>
      </c>
      <c r="E5" s="2" t="s">
        <v>4</v>
      </c>
      <c r="G5" s="2" t="s">
        <v>0</v>
      </c>
      <c r="H5" s="5" t="s">
        <v>14</v>
      </c>
      <c r="I5" s="2" t="s">
        <v>1</v>
      </c>
      <c r="J5" s="2" t="s">
        <v>2</v>
      </c>
      <c r="K5" s="2" t="s">
        <v>3</v>
      </c>
      <c r="L5" s="2" t="s">
        <v>4</v>
      </c>
      <c r="M5" s="5" t="s">
        <v>14</v>
      </c>
      <c r="N5" s="2" t="s">
        <v>1</v>
      </c>
      <c r="O5" s="2" t="s">
        <v>2</v>
      </c>
      <c r="P5" s="2" t="s">
        <v>3</v>
      </c>
      <c r="Q5" s="2" t="s">
        <v>4</v>
      </c>
      <c r="R5" s="5" t="s">
        <v>14</v>
      </c>
      <c r="S5" s="2" t="s">
        <v>1</v>
      </c>
      <c r="T5" s="2" t="s">
        <v>2</v>
      </c>
      <c r="U5" s="2" t="s">
        <v>3</v>
      </c>
      <c r="V5" s="2" t="s">
        <v>4</v>
      </c>
      <c r="W5" s="2" t="s">
        <v>1</v>
      </c>
      <c r="X5" s="2" t="s">
        <v>2</v>
      </c>
      <c r="Y5" s="2" t="s">
        <v>3</v>
      </c>
      <c r="Z5" s="2" t="s">
        <v>4</v>
      </c>
      <c r="AA5" s="2" t="s">
        <v>1</v>
      </c>
      <c r="AB5" s="2" t="s">
        <v>2</v>
      </c>
      <c r="AC5" s="2" t="s">
        <v>3</v>
      </c>
      <c r="AD5" s="2" t="s">
        <v>4</v>
      </c>
      <c r="AE5" s="2" t="s">
        <v>1</v>
      </c>
      <c r="AF5" s="2" t="s">
        <v>2</v>
      </c>
      <c r="AG5" s="2" t="s">
        <v>3</v>
      </c>
      <c r="AH5" s="2" t="s">
        <v>4</v>
      </c>
      <c r="AI5" s="15" t="s">
        <v>1</v>
      </c>
      <c r="AK5" t="s">
        <v>2</v>
      </c>
      <c r="AM5" t="s">
        <v>3</v>
      </c>
      <c r="AO5" t="s">
        <v>4</v>
      </c>
      <c r="AQ5" s="15" t="s">
        <v>1</v>
      </c>
      <c r="AS5" t="s">
        <v>2</v>
      </c>
      <c r="AU5" t="s">
        <v>3</v>
      </c>
      <c r="AW5" t="s">
        <v>4</v>
      </c>
      <c r="BA5" t="s">
        <v>47</v>
      </c>
      <c r="BB5" t="s">
        <v>48</v>
      </c>
      <c r="BC5" t="s">
        <v>49</v>
      </c>
      <c r="BD5" t="s">
        <v>50</v>
      </c>
      <c r="BF5" t="s">
        <v>47</v>
      </c>
      <c r="BG5" t="s">
        <v>48</v>
      </c>
      <c r="BH5" t="s">
        <v>49</v>
      </c>
      <c r="BI5" t="s">
        <v>50</v>
      </c>
    </row>
    <row r="6" spans="1:279" customFormat="1">
      <c r="A6" s="2">
        <v>1</v>
      </c>
      <c r="B6" s="2">
        <v>3.113</v>
      </c>
      <c r="C6" s="2">
        <v>0.28955999999999998</v>
      </c>
      <c r="D6" s="2">
        <v>0.28214</v>
      </c>
      <c r="E6" s="2">
        <v>26.94</v>
      </c>
      <c r="F6" s="17">
        <f>IF(G6="","",G6)</f>
        <v>44243.691134259258</v>
      </c>
      <c r="G6" s="9">
        <v>44243.691134259258</v>
      </c>
      <c r="H6" s="25">
        <v>1</v>
      </c>
      <c r="I6" s="12">
        <v>3.1120000000000001</v>
      </c>
      <c r="J6" s="5">
        <v>0.28915000000000002</v>
      </c>
      <c r="K6" s="5">
        <v>0.27887000000000001</v>
      </c>
      <c r="L6" s="5">
        <v>27.672000000000001</v>
      </c>
      <c r="M6" s="5">
        <v>2</v>
      </c>
      <c r="N6" s="5">
        <v>3.113</v>
      </c>
      <c r="O6" s="5">
        <v>0.28803000000000001</v>
      </c>
      <c r="P6" s="5">
        <v>0.27456000000000003</v>
      </c>
      <c r="Q6" s="5">
        <v>28.965</v>
      </c>
      <c r="R6" s="5">
        <v>3</v>
      </c>
      <c r="S6" s="5">
        <v>3.1110000000000002</v>
      </c>
      <c r="T6" s="5">
        <v>0.28436</v>
      </c>
      <c r="U6" s="5">
        <v>0.27106999999999998</v>
      </c>
      <c r="V6" s="5">
        <v>28.483000000000001</v>
      </c>
      <c r="W6" s="22">
        <f>IF(H6="",NA(),I6-VLOOKUP(H6,$A$6:$E$35,2,FALSE))</f>
        <v>-9.9999999999988987E-4</v>
      </c>
      <c r="X6" s="21">
        <f>IF(H6="",NA(),J6-VLOOKUP(H6,$A$6:$E$35,3,FALSE))</f>
        <v>-4.0999999999996595E-4</v>
      </c>
      <c r="Y6" s="21">
        <f>IF(H6="",NA(),K6-VLOOKUP(H6,$A$6:$E$35,4,FALSE))</f>
        <v>-3.2699999999999951E-3</v>
      </c>
      <c r="Z6" s="11">
        <f>IF(H6="",NA(),L6/VLOOKUP(H6,$A$6:$E$35,5,FALSE)-1)</f>
        <v>2.7171492204899783E-2</v>
      </c>
      <c r="AA6" s="22">
        <f>IF(M6="",NA(),N6-VLOOKUP(M6,$A$6:$E$35,2,FALSE))</f>
        <v>-2.0000000000002238E-3</v>
      </c>
      <c r="AB6" s="21">
        <f>IF(M6="",NA(),O6-VLOOKUP(M6,$A$6:$E$35,3,FALSE))</f>
        <v>-2.9000000000000137E-3</v>
      </c>
      <c r="AC6" s="21">
        <f>IF(M6="",NA(),P6-VLOOKUP(M6,$A$6:$E$35,4,FALSE))</f>
        <v>-6.0599999999999543E-3</v>
      </c>
      <c r="AD6" s="11">
        <f>IF(M6="",NA(),Q6/VLOOKUP(M6,$A$6:$E$35,5,FALSE)-1)</f>
        <v>5.0979680696661811E-2</v>
      </c>
      <c r="AE6" s="22">
        <f>IF(R6="",NA(),S6-VLOOKUP(R6,$A$6:$E$35,2,FALSE))</f>
        <v>-2.5999999999999801E-2</v>
      </c>
      <c r="AF6" s="21">
        <f>IF(R6="",NA(),T6-VLOOKUP(R6,$A$6:$E$35,3,FALSE))</f>
        <v>-5.1300000000000234E-3</v>
      </c>
      <c r="AG6" s="21">
        <f>IF(R6="",NA(),U6-VLOOKUP(R6,$A$6:$E$35,4,FALSE))</f>
        <v>-8.3300000000000041E-3</v>
      </c>
      <c r="AH6" s="11">
        <f>IF(R6="",NA(),V6/VLOOKUP(R6,$A$6:$E$35,5,FALSE)-1)</f>
        <v>5.1809453471196587E-2</v>
      </c>
      <c r="AI6">
        <v>2.5000000000000001E-2</v>
      </c>
      <c r="AJ6">
        <v>-2.5000000000000001E-2</v>
      </c>
      <c r="AK6">
        <v>1.5E-3</v>
      </c>
      <c r="AL6">
        <v>-1.5E-3</v>
      </c>
      <c r="AM6">
        <v>1.5E-3</v>
      </c>
      <c r="AN6">
        <v>-1.5E-3</v>
      </c>
      <c r="AO6" s="16">
        <v>2.5000000000000001E-2</v>
      </c>
      <c r="AP6" s="16">
        <v>-2.5000000000000001E-2</v>
      </c>
      <c r="AQ6">
        <v>1.4999999999999999E-2</v>
      </c>
      <c r="AR6">
        <v>-1.4999999999999999E-2</v>
      </c>
      <c r="AS6">
        <v>1E-3</v>
      </c>
      <c r="AT6">
        <v>-1E-3</v>
      </c>
      <c r="AU6">
        <v>1E-3</v>
      </c>
      <c r="AV6">
        <v>-1E-3</v>
      </c>
      <c r="AW6" s="16">
        <v>1.4999999999999999E-2</v>
      </c>
      <c r="AX6" s="16">
        <v>-1.4999999999999999E-2</v>
      </c>
    </row>
    <row r="7" spans="1:279" customFormat="1">
      <c r="A7" s="2">
        <v>2</v>
      </c>
      <c r="B7" s="2">
        <v>3.1150000000000002</v>
      </c>
      <c r="C7" s="2">
        <v>0.29093000000000002</v>
      </c>
      <c r="D7" s="2">
        <v>0.28061999999999998</v>
      </c>
      <c r="E7" s="2">
        <v>27.56</v>
      </c>
      <c r="F7" s="17">
        <f t="shared" ref="F7:F70" si="0">IF(G7="","",G7)</f>
        <v>44244.013738425929</v>
      </c>
      <c r="G7" s="9">
        <v>44244.013738425929</v>
      </c>
      <c r="H7" s="25">
        <v>1</v>
      </c>
      <c r="I7" s="5">
        <v>3.1120000000000001</v>
      </c>
      <c r="J7" s="5">
        <v>0.28927000000000003</v>
      </c>
      <c r="K7" s="5">
        <v>0.27883000000000002</v>
      </c>
      <c r="L7" s="5">
        <v>27.66</v>
      </c>
      <c r="M7" s="5">
        <v>2</v>
      </c>
      <c r="N7" s="5">
        <v>3.1120000000000001</v>
      </c>
      <c r="O7" s="5">
        <v>0.28808</v>
      </c>
      <c r="P7" s="5">
        <v>0.27445999999999998</v>
      </c>
      <c r="Q7" s="5">
        <v>28.966999999999999</v>
      </c>
      <c r="R7" s="5">
        <v>3</v>
      </c>
      <c r="S7" s="5">
        <v>3.1110000000000002</v>
      </c>
      <c r="T7" s="5">
        <v>0.28443000000000002</v>
      </c>
      <c r="U7" s="5">
        <v>0.27111000000000002</v>
      </c>
      <c r="V7" s="5">
        <v>28.491</v>
      </c>
      <c r="W7" s="22">
        <f t="shared" ref="W7:W70" si="1">IF(H7="",NA(),I7-VLOOKUP(H7,$A$6:$E$35,2,FALSE))</f>
        <v>-9.9999999999988987E-4</v>
      </c>
      <c r="X7" s="21">
        <f t="shared" ref="X7:X70" si="2">IF(H7="",NA(),J7-VLOOKUP(H7,$A$6:$E$35,3,FALSE))</f>
        <v>-2.8999999999995696E-4</v>
      </c>
      <c r="Y7" s="21">
        <f t="shared" ref="Y7:Y70" si="3">IF(H7="",NA(),K7-VLOOKUP(H7,$A$6:$E$35,4,FALSE))</f>
        <v>-3.3099999999999796E-3</v>
      </c>
      <c r="Z7" s="11">
        <f t="shared" ref="Z7:Z70" si="4">IF(H7="",NA(),L7/VLOOKUP(H7,$A$6:$E$35,5,FALSE)-1)</f>
        <v>2.6726057906458767E-2</v>
      </c>
      <c r="AA7" s="22">
        <f>IF(M7="",NA(),N7-VLOOKUP(M7,$A$6:$E$35,2,FALSE))</f>
        <v>-3.0000000000001137E-3</v>
      </c>
      <c r="AB7" s="21">
        <f>IF(M7="",NA(),O7-VLOOKUP(M7,$A$6:$E$35,3,FALSE))</f>
        <v>-2.8500000000000192E-3</v>
      </c>
      <c r="AC7" s="21">
        <f>IF(M7="",NA(),P7-VLOOKUP(M7,$A$6:$E$35,4,FALSE))</f>
        <v>-6.1599999999999988E-3</v>
      </c>
      <c r="AD7" s="11">
        <f>IF(M7="",NA(),Q7/VLOOKUP(M7,$A$6:$E$35,5,FALSE)-1)</f>
        <v>5.1052249637155267E-2</v>
      </c>
      <c r="AE7" s="22">
        <f t="shared" ref="AE7:AE70" si="5">IF(R7="",NA(),S7-VLOOKUP(R7,$A$6:$E$35,2,FALSE))</f>
        <v>-2.5999999999999801E-2</v>
      </c>
      <c r="AF7" s="21">
        <f t="shared" ref="AF7:AF70" si="6">IF(R7="",NA(),T7-VLOOKUP(R7,$A$6:$E$35,3,FALSE))</f>
        <v>-5.0600000000000089E-3</v>
      </c>
      <c r="AG7" s="21">
        <f t="shared" ref="AG7:AG70" si="7">IF(R7="",NA(),U7-VLOOKUP(R7,$A$6:$E$35,4,FALSE))</f>
        <v>-8.2899999999999641E-3</v>
      </c>
      <c r="AH7" s="11">
        <f t="shared" ref="AH7:AH70" si="8">IF(R7="",NA(),V7/VLOOKUP(R7,$A$6:$E$35,5,FALSE)-1)</f>
        <v>5.2104874446085692E-2</v>
      </c>
      <c r="AI7">
        <v>2.5000000000000001E-2</v>
      </c>
      <c r="AJ7">
        <v>-2.5000000000000001E-2</v>
      </c>
      <c r="AK7">
        <v>1.5E-3</v>
      </c>
      <c r="AL7">
        <v>-1.5E-3</v>
      </c>
      <c r="AM7">
        <v>1.5E-3</v>
      </c>
      <c r="AN7">
        <v>-1.5E-3</v>
      </c>
      <c r="AO7" s="16">
        <v>2.5000000000000001E-2</v>
      </c>
      <c r="AP7" s="16">
        <v>-2.5000000000000001E-2</v>
      </c>
      <c r="AQ7">
        <v>1.4999999999999999E-2</v>
      </c>
      <c r="AR7">
        <v>-1.4999999999999999E-2</v>
      </c>
      <c r="AS7">
        <v>1E-3</v>
      </c>
      <c r="AT7">
        <v>-1E-3</v>
      </c>
      <c r="AU7">
        <v>1E-3</v>
      </c>
      <c r="AV7">
        <v>-1E-3</v>
      </c>
      <c r="AW7" s="16">
        <v>1.4999999999999999E-2</v>
      </c>
      <c r="AX7" s="16">
        <v>-1.4999999999999999E-2</v>
      </c>
    </row>
    <row r="8" spans="1:279" customFormat="1">
      <c r="A8" s="2">
        <v>3</v>
      </c>
      <c r="B8" s="2">
        <v>3.137</v>
      </c>
      <c r="C8" s="2">
        <v>0.28949000000000003</v>
      </c>
      <c r="D8" s="2">
        <v>0.27939999999999998</v>
      </c>
      <c r="E8" s="2">
        <v>27.08</v>
      </c>
      <c r="F8" s="17">
        <f t="shared" si="0"/>
        <v>44244.741608796299</v>
      </c>
      <c r="G8" s="9">
        <v>44244.741608796299</v>
      </c>
      <c r="H8" s="25">
        <v>1</v>
      </c>
      <c r="I8" s="5">
        <v>3.1080000000000001</v>
      </c>
      <c r="J8" s="5">
        <v>0.28903000000000001</v>
      </c>
      <c r="K8" s="5">
        <v>0.27883000000000002</v>
      </c>
      <c r="L8" s="5">
        <v>27.638000000000002</v>
      </c>
      <c r="M8" s="5">
        <v>2</v>
      </c>
      <c r="N8" s="5">
        <v>3.1080000000000001</v>
      </c>
      <c r="O8" s="5">
        <v>0.28794999999999998</v>
      </c>
      <c r="P8" s="5">
        <v>0.27437</v>
      </c>
      <c r="Q8" s="5">
        <v>28.922999999999998</v>
      </c>
      <c r="R8" s="5">
        <v>3</v>
      </c>
      <c r="S8" s="5">
        <v>3.1070000000000002</v>
      </c>
      <c r="T8" s="5">
        <v>0.28436</v>
      </c>
      <c r="U8" s="5">
        <v>0.27104</v>
      </c>
      <c r="V8" s="5">
        <v>28.452999999999999</v>
      </c>
      <c r="W8" s="22">
        <f t="shared" si="1"/>
        <v>-4.9999999999998934E-3</v>
      </c>
      <c r="X8" s="21">
        <f t="shared" si="2"/>
        <v>-5.2999999999997494E-4</v>
      </c>
      <c r="Y8" s="21">
        <f t="shared" si="3"/>
        <v>-3.3099999999999796E-3</v>
      </c>
      <c r="Z8" s="11">
        <f t="shared" si="4"/>
        <v>2.5909428359317088E-2</v>
      </c>
      <c r="AA8" s="22">
        <f>IF(M8="",NA(),N8-VLOOKUP(M8,$A$6:$E$35,2,FALSE))</f>
        <v>-7.0000000000001172E-3</v>
      </c>
      <c r="AB8" s="21">
        <f>IF(M8="",NA(),O8-VLOOKUP(M8,$A$6:$E$35,3,FALSE))</f>
        <v>-2.9800000000000382E-3</v>
      </c>
      <c r="AC8" s="21">
        <f>IF(M8="",NA(),P8-VLOOKUP(M8,$A$6:$E$35,4,FALSE))</f>
        <v>-6.2499999999999778E-3</v>
      </c>
      <c r="AD8" s="11">
        <f>IF(M8="",NA(),Q8/VLOOKUP(M8,$A$6:$E$35,5,FALSE)-1)</f>
        <v>4.9455732946299014E-2</v>
      </c>
      <c r="AE8" s="22">
        <f t="shared" si="5"/>
        <v>-2.9999999999999805E-2</v>
      </c>
      <c r="AF8" s="21">
        <f t="shared" si="6"/>
        <v>-5.1300000000000234E-3</v>
      </c>
      <c r="AG8" s="21">
        <f t="shared" si="7"/>
        <v>-8.3599999999999786E-3</v>
      </c>
      <c r="AH8" s="11">
        <f t="shared" si="8"/>
        <v>5.0701624815362001E-2</v>
      </c>
      <c r="AI8">
        <v>2.5000000000000001E-2</v>
      </c>
      <c r="AJ8">
        <v>-2.5000000000000001E-2</v>
      </c>
      <c r="AK8">
        <v>1.5E-3</v>
      </c>
      <c r="AL8">
        <v>-1.5E-3</v>
      </c>
      <c r="AM8">
        <v>1.5E-3</v>
      </c>
      <c r="AN8">
        <v>-1.5E-3</v>
      </c>
      <c r="AO8" s="16">
        <v>2.5000000000000001E-2</v>
      </c>
      <c r="AP8" s="16">
        <v>-2.5000000000000001E-2</v>
      </c>
      <c r="AQ8">
        <v>1.4999999999999999E-2</v>
      </c>
      <c r="AR8">
        <v>-1.4999999999999999E-2</v>
      </c>
      <c r="AS8">
        <v>1E-3</v>
      </c>
      <c r="AT8">
        <v>-1E-3</v>
      </c>
      <c r="AU8">
        <v>1E-3</v>
      </c>
      <c r="AV8">
        <v>-1E-3</v>
      </c>
      <c r="AW8" s="16">
        <v>1.4999999999999999E-2</v>
      </c>
      <c r="AX8" s="16">
        <v>-1.4999999999999999E-2</v>
      </c>
      <c r="JS8">
        <v>12.849506578947368</v>
      </c>
    </row>
    <row r="9" spans="1:279" customFormat="1">
      <c r="A9" s="2">
        <v>4</v>
      </c>
      <c r="B9" s="2">
        <v>3.1059999999999999</v>
      </c>
      <c r="C9" s="2">
        <v>0.28891</v>
      </c>
      <c r="D9" s="2">
        <v>0.28048000000000001</v>
      </c>
      <c r="E9" s="2">
        <v>27.38</v>
      </c>
      <c r="F9" s="17">
        <f t="shared" si="0"/>
        <v>44245.194386574076</v>
      </c>
      <c r="G9" s="9">
        <v>44245.194386574076</v>
      </c>
      <c r="H9" s="25">
        <v>1</v>
      </c>
      <c r="I9" s="5">
        <v>3.1150000000000002</v>
      </c>
      <c r="J9" s="5">
        <v>0.28997000000000001</v>
      </c>
      <c r="K9" s="5">
        <v>0.27916999999999997</v>
      </c>
      <c r="L9" s="5">
        <v>27.69</v>
      </c>
      <c r="M9" s="5">
        <v>2</v>
      </c>
      <c r="N9" s="5">
        <v>3.11</v>
      </c>
      <c r="O9" s="5">
        <v>0.28789999999999999</v>
      </c>
      <c r="P9" s="5">
        <v>0.27427000000000001</v>
      </c>
      <c r="Q9" s="5">
        <v>28.99</v>
      </c>
      <c r="R9" s="5">
        <v>3</v>
      </c>
      <c r="S9" s="5">
        <v>3.109</v>
      </c>
      <c r="T9" s="5">
        <v>0.28450999999999999</v>
      </c>
      <c r="U9" s="5">
        <v>0.27117000000000002</v>
      </c>
      <c r="V9" s="5">
        <v>28.539000000000001</v>
      </c>
      <c r="W9" s="22">
        <f t="shared" si="1"/>
        <v>2.0000000000002238E-3</v>
      </c>
      <c r="X9" s="21">
        <f t="shared" si="2"/>
        <v>4.1000000000002146E-4</v>
      </c>
      <c r="Y9" s="21">
        <f t="shared" si="3"/>
        <v>-2.9700000000000282E-3</v>
      </c>
      <c r="Z9" s="11">
        <f t="shared" si="4"/>
        <v>2.7839643652561197E-2</v>
      </c>
      <c r="AA9" s="22">
        <f t="shared" ref="AA9:AA70" si="9">IF(M9="",NA(),N9-VLOOKUP(M9,$A$6:$E$35,2,FALSE))</f>
        <v>-5.0000000000003375E-3</v>
      </c>
      <c r="AB9" s="21">
        <f t="shared" ref="AB9:AB70" si="10">IF(M9="",NA(),O9-VLOOKUP(M9,$A$6:$E$35,3,FALSE))</f>
        <v>-3.0300000000000327E-3</v>
      </c>
      <c r="AC9" s="21">
        <f t="shared" ref="AC9:AC70" si="11">IF(M9="",NA(),P9-VLOOKUP(M9,$A$6:$E$35,4,FALSE))</f>
        <v>-6.3499999999999668E-3</v>
      </c>
      <c r="AD9" s="11">
        <f t="shared" ref="AD9:AD70" si="12">IF(M9="",NA(),Q9/VLOOKUP(M9,$A$6:$E$35,5,FALSE)-1)</f>
        <v>5.1886792452830122E-2</v>
      </c>
      <c r="AE9" s="22">
        <f t="shared" si="5"/>
        <v>-2.8000000000000025E-2</v>
      </c>
      <c r="AF9" s="21">
        <f t="shared" si="6"/>
        <v>-4.98000000000004E-3</v>
      </c>
      <c r="AG9" s="21">
        <f t="shared" si="7"/>
        <v>-8.2299999999999596E-3</v>
      </c>
      <c r="AH9" s="11">
        <f t="shared" si="8"/>
        <v>5.3877400295420985E-2</v>
      </c>
      <c r="AI9">
        <v>2.5000000000000001E-2</v>
      </c>
      <c r="AJ9">
        <v>-2.5000000000000001E-2</v>
      </c>
      <c r="AK9">
        <v>1.5E-3</v>
      </c>
      <c r="AL9">
        <v>-1.5E-3</v>
      </c>
      <c r="AM9">
        <v>1.5E-3</v>
      </c>
      <c r="AN9">
        <v>-1.5E-3</v>
      </c>
      <c r="AO9" s="16">
        <v>2.5000000000000001E-2</v>
      </c>
      <c r="AP9" s="16">
        <v>-2.5000000000000001E-2</v>
      </c>
      <c r="AQ9">
        <v>1.4999999999999999E-2</v>
      </c>
      <c r="AR9">
        <v>-1.4999999999999999E-2</v>
      </c>
      <c r="AS9">
        <v>1E-3</v>
      </c>
      <c r="AT9">
        <v>-1E-3</v>
      </c>
      <c r="AU9">
        <v>1E-3</v>
      </c>
      <c r="AV9">
        <v>-1E-3</v>
      </c>
      <c r="AW9" s="16">
        <v>1.4999999999999999E-2</v>
      </c>
      <c r="AX9" s="16">
        <v>-1.4999999999999999E-2</v>
      </c>
    </row>
    <row r="10" spans="1:279" customFormat="1">
      <c r="A10" s="2">
        <v>5</v>
      </c>
      <c r="B10" s="2">
        <v>3.113</v>
      </c>
      <c r="C10" s="2">
        <v>0.29035</v>
      </c>
      <c r="D10" s="2">
        <v>0.28194000000000002</v>
      </c>
      <c r="E10" s="2">
        <v>27.37</v>
      </c>
      <c r="F10" s="17">
        <f t="shared" si="0"/>
        <v>44245.556134259263</v>
      </c>
      <c r="G10" s="9">
        <v>44245.556134259263</v>
      </c>
      <c r="H10" s="25">
        <v>1</v>
      </c>
      <c r="I10" s="5">
        <v>3.1139999999999999</v>
      </c>
      <c r="J10" s="5">
        <v>0.29006999999999999</v>
      </c>
      <c r="K10" s="5">
        <v>0.27927000000000002</v>
      </c>
      <c r="L10" s="5">
        <v>27.637</v>
      </c>
      <c r="M10" s="5">
        <v>2</v>
      </c>
      <c r="N10" s="5">
        <v>3.11</v>
      </c>
      <c r="O10" s="5">
        <v>0.28802</v>
      </c>
      <c r="P10" s="5">
        <v>0.27428000000000002</v>
      </c>
      <c r="Q10" s="5">
        <v>28.968</v>
      </c>
      <c r="R10" s="5">
        <v>3</v>
      </c>
      <c r="S10" s="5">
        <v>3.1080000000000001</v>
      </c>
      <c r="T10" s="5">
        <v>0.28423999999999999</v>
      </c>
      <c r="U10" s="5">
        <v>0.27099000000000001</v>
      </c>
      <c r="V10" s="5">
        <v>28.512</v>
      </c>
      <c r="W10" s="22">
        <f t="shared" si="1"/>
        <v>9.9999999999988987E-4</v>
      </c>
      <c r="X10" s="21">
        <f t="shared" si="2"/>
        <v>5.1000000000001044E-4</v>
      </c>
      <c r="Y10" s="21">
        <f t="shared" si="3"/>
        <v>-2.8699999999999837E-3</v>
      </c>
      <c r="Z10" s="11">
        <f t="shared" si="4"/>
        <v>2.58723088344468E-2</v>
      </c>
      <c r="AA10" s="22">
        <f t="shared" si="9"/>
        <v>-5.0000000000003375E-3</v>
      </c>
      <c r="AB10" s="21">
        <f t="shared" si="10"/>
        <v>-2.9100000000000237E-3</v>
      </c>
      <c r="AC10" s="21">
        <f t="shared" si="11"/>
        <v>-6.3399999999999568E-3</v>
      </c>
      <c r="AD10" s="11">
        <f t="shared" si="12"/>
        <v>5.1088534107402106E-2</v>
      </c>
      <c r="AE10" s="22">
        <f t="shared" si="5"/>
        <v>-2.8999999999999915E-2</v>
      </c>
      <c r="AF10" s="21">
        <f t="shared" si="6"/>
        <v>-5.2500000000000324E-3</v>
      </c>
      <c r="AG10" s="21">
        <f t="shared" si="7"/>
        <v>-8.4099999999999731E-3</v>
      </c>
      <c r="AH10" s="11">
        <f t="shared" si="8"/>
        <v>5.2880354505169924E-2</v>
      </c>
      <c r="AI10">
        <v>2.5000000000000001E-2</v>
      </c>
      <c r="AJ10">
        <v>-2.5000000000000001E-2</v>
      </c>
      <c r="AK10">
        <v>1.5E-3</v>
      </c>
      <c r="AL10">
        <v>-1.5E-3</v>
      </c>
      <c r="AM10">
        <v>1.5E-3</v>
      </c>
      <c r="AN10">
        <v>-1.5E-3</v>
      </c>
      <c r="AO10" s="16">
        <v>2.5000000000000001E-2</v>
      </c>
      <c r="AP10" s="16">
        <v>-2.5000000000000001E-2</v>
      </c>
      <c r="AQ10">
        <v>1.4999999999999999E-2</v>
      </c>
      <c r="AR10">
        <v>-1.4999999999999999E-2</v>
      </c>
      <c r="AS10">
        <v>1E-3</v>
      </c>
      <c r="AT10">
        <v>-1E-3</v>
      </c>
      <c r="AU10">
        <v>1E-3</v>
      </c>
      <c r="AV10">
        <v>-1E-3</v>
      </c>
      <c r="AW10" s="16">
        <v>1.4999999999999999E-2</v>
      </c>
      <c r="AX10" s="16">
        <v>-1.4999999999999999E-2</v>
      </c>
      <c r="JQ10">
        <v>28.935185185185187</v>
      </c>
    </row>
    <row r="11" spans="1:279" customFormat="1">
      <c r="A11" s="2">
        <v>6</v>
      </c>
      <c r="B11" s="2">
        <v>3.1139999999999999</v>
      </c>
      <c r="C11" s="2">
        <v>0.29167999999999999</v>
      </c>
      <c r="D11" s="2">
        <v>0.28164</v>
      </c>
      <c r="E11" s="2">
        <v>27.67</v>
      </c>
      <c r="F11" s="17">
        <f t="shared" si="0"/>
        <v>44245.909016203703</v>
      </c>
      <c r="G11" s="9">
        <v>44245.909016203703</v>
      </c>
      <c r="H11" s="25">
        <v>1</v>
      </c>
      <c r="I11" s="5">
        <v>3.113</v>
      </c>
      <c r="J11" s="5">
        <v>0.28985</v>
      </c>
      <c r="K11" s="5">
        <v>0.27895999999999999</v>
      </c>
      <c r="L11" s="5">
        <v>27.6</v>
      </c>
      <c r="M11" s="5">
        <v>2</v>
      </c>
      <c r="N11" s="5">
        <v>3.1070000000000002</v>
      </c>
      <c r="O11" s="5">
        <v>0.28793999999999997</v>
      </c>
      <c r="P11" s="5">
        <v>0.27418999999999999</v>
      </c>
      <c r="Q11" s="5">
        <v>28.902000000000001</v>
      </c>
      <c r="R11" s="5">
        <v>3</v>
      </c>
      <c r="S11" s="5">
        <v>3.1059999999999999</v>
      </c>
      <c r="T11" s="5">
        <v>0.28427000000000002</v>
      </c>
      <c r="U11" s="5">
        <v>0.27084000000000003</v>
      </c>
      <c r="V11" s="5">
        <v>28.454999999999998</v>
      </c>
      <c r="W11" s="22">
        <f t="shared" si="1"/>
        <v>0</v>
      </c>
      <c r="X11" s="21">
        <f t="shared" si="2"/>
        <v>2.9000000000001247E-4</v>
      </c>
      <c r="Y11" s="21">
        <f t="shared" si="3"/>
        <v>-3.1800000000000161E-3</v>
      </c>
      <c r="Z11" s="11">
        <f t="shared" si="4"/>
        <v>2.4498886414253906E-2</v>
      </c>
      <c r="AA11" s="22">
        <f t="shared" si="9"/>
        <v>-8.0000000000000071E-3</v>
      </c>
      <c r="AB11" s="21">
        <f t="shared" si="10"/>
        <v>-2.9900000000000482E-3</v>
      </c>
      <c r="AC11" s="21">
        <f t="shared" si="11"/>
        <v>-6.4299999999999913E-3</v>
      </c>
      <c r="AD11" s="11">
        <f t="shared" si="12"/>
        <v>4.8693759071117615E-2</v>
      </c>
      <c r="AE11" s="22">
        <f t="shared" si="5"/>
        <v>-3.1000000000000139E-2</v>
      </c>
      <c r="AF11" s="21">
        <f t="shared" si="6"/>
        <v>-5.2200000000000024E-3</v>
      </c>
      <c r="AG11" s="21">
        <f t="shared" si="7"/>
        <v>-8.5599999999999565E-3</v>
      </c>
      <c r="AH11" s="11">
        <f t="shared" si="8"/>
        <v>5.0775480059084277E-2</v>
      </c>
      <c r="AI11">
        <v>2.5000000000000001E-2</v>
      </c>
      <c r="AJ11">
        <v>-2.5000000000000001E-2</v>
      </c>
      <c r="AK11">
        <v>1.5E-3</v>
      </c>
      <c r="AL11">
        <v>-1.5E-3</v>
      </c>
      <c r="AM11">
        <v>1.5E-3</v>
      </c>
      <c r="AN11">
        <v>-1.5E-3</v>
      </c>
      <c r="AO11" s="16">
        <v>2.5000000000000001E-2</v>
      </c>
      <c r="AP11" s="16">
        <v>-2.5000000000000001E-2</v>
      </c>
      <c r="AQ11">
        <v>1.4999999999999999E-2</v>
      </c>
      <c r="AR11">
        <v>-1.4999999999999999E-2</v>
      </c>
      <c r="AS11">
        <v>1E-3</v>
      </c>
      <c r="AT11">
        <v>-1E-3</v>
      </c>
      <c r="AU11">
        <v>1E-3</v>
      </c>
      <c r="AV11">
        <v>-1E-3</v>
      </c>
      <c r="AW11" s="16">
        <v>1.4999999999999999E-2</v>
      </c>
      <c r="AX11" s="16">
        <v>-1.4999999999999999E-2</v>
      </c>
      <c r="JR11">
        <v>25.699013157894736</v>
      </c>
    </row>
    <row r="12" spans="1:279" customFormat="1">
      <c r="A12" s="2">
        <v>7</v>
      </c>
      <c r="B12" s="2">
        <v>3.1070000000000002</v>
      </c>
      <c r="C12" s="2">
        <v>0.28928999999999999</v>
      </c>
      <c r="D12" s="2">
        <v>0.28055000000000002</v>
      </c>
      <c r="E12" s="2">
        <v>27.07</v>
      </c>
      <c r="F12" s="17">
        <f t="shared" si="0"/>
        <v>44246.76803240741</v>
      </c>
      <c r="G12" s="9">
        <v>44246.76803240741</v>
      </c>
      <c r="H12" s="25">
        <v>1</v>
      </c>
      <c r="I12" s="5">
        <v>3.1160000000000001</v>
      </c>
      <c r="J12" s="5">
        <v>0.28999999999999998</v>
      </c>
      <c r="K12" s="5">
        <v>0.27918999999999999</v>
      </c>
      <c r="L12" s="5">
        <v>27.565999999999999</v>
      </c>
      <c r="M12" s="5">
        <v>2</v>
      </c>
      <c r="N12" s="5">
        <v>3.109</v>
      </c>
      <c r="O12" s="5">
        <v>0.28792000000000001</v>
      </c>
      <c r="P12" s="5">
        <v>0.27432000000000001</v>
      </c>
      <c r="Q12" s="5">
        <v>28.818999999999999</v>
      </c>
      <c r="R12" s="5">
        <v>3</v>
      </c>
      <c r="S12" s="5">
        <v>3.11</v>
      </c>
      <c r="T12" s="5">
        <v>0.28433999999999998</v>
      </c>
      <c r="U12" s="5">
        <v>0.27093</v>
      </c>
      <c r="V12" s="5">
        <v>28.39</v>
      </c>
      <c r="W12" s="22">
        <f t="shared" si="1"/>
        <v>3.0000000000001137E-3</v>
      </c>
      <c r="X12" s="21">
        <f t="shared" si="2"/>
        <v>4.3999999999999595E-4</v>
      </c>
      <c r="Y12" s="21">
        <f t="shared" si="3"/>
        <v>-2.9500000000000082E-3</v>
      </c>
      <c r="Z12" s="11">
        <f t="shared" si="4"/>
        <v>2.3236822568670989E-2</v>
      </c>
      <c r="AA12" s="22">
        <f t="shared" si="9"/>
        <v>-6.0000000000002274E-3</v>
      </c>
      <c r="AB12" s="21">
        <f t="shared" si="10"/>
        <v>-3.0100000000000127E-3</v>
      </c>
      <c r="AC12" s="21">
        <f t="shared" si="11"/>
        <v>-6.2999999999999723E-3</v>
      </c>
      <c r="AD12" s="11">
        <f t="shared" si="12"/>
        <v>4.5682148040638637E-2</v>
      </c>
      <c r="AE12" s="22">
        <f t="shared" si="5"/>
        <v>-2.7000000000000135E-2</v>
      </c>
      <c r="AF12" s="21">
        <f t="shared" si="6"/>
        <v>-5.1500000000000434E-3</v>
      </c>
      <c r="AG12" s="21">
        <f t="shared" si="7"/>
        <v>-8.4699999999999775E-3</v>
      </c>
      <c r="AH12" s="11">
        <f t="shared" si="8"/>
        <v>4.8375184638109303E-2</v>
      </c>
      <c r="AI12">
        <v>2.5000000000000001E-2</v>
      </c>
      <c r="AJ12">
        <v>-2.5000000000000001E-2</v>
      </c>
      <c r="AK12">
        <v>1.5E-3</v>
      </c>
      <c r="AL12">
        <v>-1.5E-3</v>
      </c>
      <c r="AM12">
        <v>1.5E-3</v>
      </c>
      <c r="AN12">
        <v>-1.5E-3</v>
      </c>
      <c r="AO12" s="16">
        <v>2.5000000000000001E-2</v>
      </c>
      <c r="AP12" s="16">
        <v>-2.5000000000000001E-2</v>
      </c>
      <c r="AQ12">
        <v>1.4999999999999999E-2</v>
      </c>
      <c r="AR12">
        <v>-1.4999999999999999E-2</v>
      </c>
      <c r="AS12">
        <v>1E-3</v>
      </c>
      <c r="AT12">
        <v>-1E-3</v>
      </c>
      <c r="AU12">
        <v>1E-3</v>
      </c>
      <c r="AV12">
        <v>-1E-3</v>
      </c>
      <c r="AW12" s="16">
        <v>1.4999999999999999E-2</v>
      </c>
      <c r="AX12" s="16">
        <v>-1.4999999999999999E-2</v>
      </c>
      <c r="JP12">
        <v>25.699013157894736</v>
      </c>
      <c r="JR12">
        <v>12.849506578947368</v>
      </c>
      <c r="JS12">
        <v>12.849506578947368</v>
      </c>
    </row>
    <row r="13" spans="1:279" customFormat="1">
      <c r="A13" s="2">
        <v>8</v>
      </c>
      <c r="B13" s="2">
        <v>3.129</v>
      </c>
      <c r="C13" s="2">
        <v>0.28936000000000001</v>
      </c>
      <c r="D13" s="2">
        <v>0.27795999999999998</v>
      </c>
      <c r="E13" s="2">
        <v>27.87</v>
      </c>
      <c r="F13" s="17">
        <f t="shared" si="0"/>
        <v>44247.652361111112</v>
      </c>
      <c r="G13" s="9">
        <v>44247.652361111112</v>
      </c>
      <c r="H13" s="25">
        <v>1</v>
      </c>
      <c r="I13" s="5">
        <v>3.1110000000000002</v>
      </c>
      <c r="J13" s="2">
        <v>0.28988000000000003</v>
      </c>
      <c r="K13" s="5">
        <v>0.27916000000000002</v>
      </c>
      <c r="L13" s="5">
        <v>27.6</v>
      </c>
      <c r="M13" s="5">
        <v>2</v>
      </c>
      <c r="N13" s="5">
        <v>3.1070000000000002</v>
      </c>
      <c r="O13" s="2">
        <v>0.28804999999999997</v>
      </c>
      <c r="P13" s="5">
        <v>0.27444000000000002</v>
      </c>
      <c r="Q13" s="5">
        <v>28.922999999999998</v>
      </c>
      <c r="R13" s="5">
        <v>3</v>
      </c>
      <c r="S13" s="5">
        <v>3.105</v>
      </c>
      <c r="T13" s="2">
        <v>0.28437000000000001</v>
      </c>
      <c r="U13" s="5">
        <v>0.27104</v>
      </c>
      <c r="V13" s="5">
        <v>28.489000000000001</v>
      </c>
      <c r="W13" s="22">
        <f t="shared" si="1"/>
        <v>-1.9999999999997797E-3</v>
      </c>
      <c r="X13" s="21">
        <f t="shared" si="2"/>
        <v>3.2000000000004247E-4</v>
      </c>
      <c r="Y13" s="21">
        <f t="shared" si="3"/>
        <v>-2.9799999999999827E-3</v>
      </c>
      <c r="Z13" s="11">
        <f t="shared" si="4"/>
        <v>2.4498886414253906E-2</v>
      </c>
      <c r="AA13" s="22">
        <f t="shared" si="9"/>
        <v>-8.0000000000000071E-3</v>
      </c>
      <c r="AB13" s="21">
        <f t="shared" si="10"/>
        <v>-2.8800000000000492E-3</v>
      </c>
      <c r="AC13" s="21">
        <f t="shared" si="11"/>
        <v>-6.1799999999999633E-3</v>
      </c>
      <c r="AD13" s="11">
        <f t="shared" si="12"/>
        <v>4.9455732946299014E-2</v>
      </c>
      <c r="AE13" s="22">
        <f t="shared" si="5"/>
        <v>-3.2000000000000028E-2</v>
      </c>
      <c r="AF13" s="21">
        <f t="shared" si="6"/>
        <v>-5.1200000000000134E-3</v>
      </c>
      <c r="AG13" s="21">
        <f t="shared" si="7"/>
        <v>-8.3599999999999786E-3</v>
      </c>
      <c r="AH13" s="11">
        <f t="shared" si="8"/>
        <v>5.2031019202363415E-2</v>
      </c>
      <c r="AI13">
        <v>2.5000000000000001E-2</v>
      </c>
      <c r="AJ13">
        <v>-2.5000000000000001E-2</v>
      </c>
      <c r="AK13">
        <v>1.5E-3</v>
      </c>
      <c r="AL13">
        <v>-1.5E-3</v>
      </c>
      <c r="AM13">
        <v>1.5E-3</v>
      </c>
      <c r="AN13">
        <v>-1.5E-3</v>
      </c>
      <c r="AO13" s="16">
        <v>2.5000000000000001E-2</v>
      </c>
      <c r="AP13" s="16">
        <v>-2.5000000000000001E-2</v>
      </c>
      <c r="AQ13">
        <v>1.4999999999999999E-2</v>
      </c>
      <c r="AR13">
        <v>-1.4999999999999999E-2</v>
      </c>
      <c r="AS13">
        <v>1E-3</v>
      </c>
      <c r="AT13">
        <v>-1E-3</v>
      </c>
      <c r="AU13">
        <v>1E-3</v>
      </c>
      <c r="AV13">
        <v>-1E-3</v>
      </c>
      <c r="AW13" s="16">
        <v>1.4999999999999999E-2</v>
      </c>
      <c r="AX13" s="16">
        <v>-1.4999999999999999E-2</v>
      </c>
    </row>
    <row r="14" spans="1:279" customFormat="1">
      <c r="A14" s="2">
        <v>9</v>
      </c>
      <c r="B14" s="2">
        <v>3.1120000000000001</v>
      </c>
      <c r="C14" s="2">
        <v>0.29177999999999998</v>
      </c>
      <c r="D14" s="2">
        <v>0.28258</v>
      </c>
      <c r="E14" s="2">
        <v>27.85</v>
      </c>
      <c r="F14" s="17">
        <f t="shared" si="0"/>
        <v>44248.728819444441</v>
      </c>
      <c r="G14" s="9">
        <v>44248.728819444441</v>
      </c>
      <c r="H14" s="25">
        <v>1</v>
      </c>
      <c r="I14" s="5">
        <v>3.1150000000000002</v>
      </c>
      <c r="J14" s="5">
        <v>0.28993000000000002</v>
      </c>
      <c r="K14" s="5">
        <v>0.27922000000000002</v>
      </c>
      <c r="L14" s="5">
        <v>27.812000000000001</v>
      </c>
      <c r="M14" s="5">
        <v>2</v>
      </c>
      <c r="N14" s="5">
        <v>3.11</v>
      </c>
      <c r="O14" s="5">
        <v>0.28793999999999997</v>
      </c>
      <c r="P14" s="5">
        <v>0.27440999999999999</v>
      </c>
      <c r="Q14" s="5">
        <v>29.143000000000001</v>
      </c>
      <c r="R14" s="5">
        <v>3</v>
      </c>
      <c r="S14" s="5">
        <v>3.11</v>
      </c>
      <c r="T14" s="5">
        <v>0.28425</v>
      </c>
      <c r="U14" s="5">
        <v>0.27100999999999997</v>
      </c>
      <c r="V14" s="5">
        <v>28.67</v>
      </c>
      <c r="W14" s="22">
        <f t="shared" si="1"/>
        <v>2.0000000000002238E-3</v>
      </c>
      <c r="X14" s="21">
        <f t="shared" si="2"/>
        <v>3.7000000000003697E-4</v>
      </c>
      <c r="Y14" s="21">
        <f t="shared" si="3"/>
        <v>-2.9199999999999782E-3</v>
      </c>
      <c r="Z14" s="11">
        <f t="shared" si="4"/>
        <v>3.2368225686711272E-2</v>
      </c>
      <c r="AA14" s="22">
        <f t="shared" si="9"/>
        <v>-5.0000000000003375E-3</v>
      </c>
      <c r="AB14" s="21">
        <f t="shared" si="10"/>
        <v>-2.9900000000000482E-3</v>
      </c>
      <c r="AC14" s="21">
        <f t="shared" si="11"/>
        <v>-6.2099999999999933E-3</v>
      </c>
      <c r="AD14" s="11">
        <f t="shared" si="12"/>
        <v>5.7438316400580725E-2</v>
      </c>
      <c r="AE14" s="22">
        <f t="shared" si="5"/>
        <v>-2.7000000000000135E-2</v>
      </c>
      <c r="AF14" s="21">
        <f t="shared" si="6"/>
        <v>-5.2400000000000224E-3</v>
      </c>
      <c r="AG14" s="21">
        <f t="shared" si="7"/>
        <v>-8.3900000000000086E-3</v>
      </c>
      <c r="AH14" s="11">
        <f t="shared" si="8"/>
        <v>5.871491875923196E-2</v>
      </c>
      <c r="AI14">
        <v>2.5000000000000001E-2</v>
      </c>
      <c r="AJ14">
        <v>-2.5000000000000001E-2</v>
      </c>
      <c r="AK14">
        <v>1.5E-3</v>
      </c>
      <c r="AL14">
        <v>-1.5E-3</v>
      </c>
      <c r="AM14">
        <v>1.5E-3</v>
      </c>
      <c r="AN14">
        <v>-1.5E-3</v>
      </c>
      <c r="AO14" s="16">
        <v>2.5000000000000001E-2</v>
      </c>
      <c r="AP14" s="16">
        <v>-2.5000000000000001E-2</v>
      </c>
      <c r="AQ14">
        <v>1.4999999999999999E-2</v>
      </c>
      <c r="AR14">
        <v>-1.4999999999999999E-2</v>
      </c>
      <c r="AS14">
        <v>1E-3</v>
      </c>
      <c r="AT14">
        <v>-1E-3</v>
      </c>
      <c r="AU14">
        <v>1E-3</v>
      </c>
      <c r="AV14">
        <v>-1E-3</v>
      </c>
      <c r="AW14" s="16">
        <v>1.4999999999999999E-2</v>
      </c>
      <c r="AX14" s="16">
        <v>-1.4999999999999999E-2</v>
      </c>
    </row>
    <row r="15" spans="1:279" customFormat="1">
      <c r="A15" s="2">
        <v>10</v>
      </c>
      <c r="B15" s="2">
        <v>3.1110000000000002</v>
      </c>
      <c r="C15" s="2">
        <v>0.29020000000000001</v>
      </c>
      <c r="D15" s="2">
        <v>0.27967999999999998</v>
      </c>
      <c r="E15" s="2">
        <v>27.49</v>
      </c>
      <c r="F15" s="17">
        <f t="shared" si="0"/>
        <v>44249.69</v>
      </c>
      <c r="G15" s="9">
        <v>44249.69</v>
      </c>
      <c r="H15" s="25">
        <v>1</v>
      </c>
      <c r="I15" s="5">
        <v>3.113</v>
      </c>
      <c r="J15" s="5">
        <v>0.29004000000000002</v>
      </c>
      <c r="K15" s="5">
        <v>0.27927000000000002</v>
      </c>
      <c r="L15" s="5">
        <v>27.76</v>
      </c>
      <c r="M15" s="5">
        <v>2</v>
      </c>
      <c r="N15" s="5">
        <v>3.1080000000000001</v>
      </c>
      <c r="O15" s="5">
        <v>0.28802</v>
      </c>
      <c r="P15" s="5">
        <v>0.27439999999999998</v>
      </c>
      <c r="Q15" s="5">
        <v>29.097000000000001</v>
      </c>
      <c r="R15" s="5">
        <v>3</v>
      </c>
      <c r="S15" s="5">
        <v>3.1070000000000002</v>
      </c>
      <c r="T15" s="5">
        <v>0.28436</v>
      </c>
      <c r="U15" s="5">
        <v>0.27107999999999999</v>
      </c>
      <c r="V15" s="5">
        <v>28.609000000000002</v>
      </c>
      <c r="W15" s="22">
        <f t="shared" si="1"/>
        <v>0</v>
      </c>
      <c r="X15" s="21">
        <f t="shared" si="2"/>
        <v>4.8000000000003595E-4</v>
      </c>
      <c r="Y15" s="21">
        <f t="shared" si="3"/>
        <v>-2.8699999999999837E-3</v>
      </c>
      <c r="Z15" s="11">
        <f t="shared" si="4"/>
        <v>3.0438010393466941E-2</v>
      </c>
      <c r="AA15" s="22">
        <f t="shared" si="9"/>
        <v>-7.0000000000001172E-3</v>
      </c>
      <c r="AB15" s="21">
        <f t="shared" si="10"/>
        <v>-2.9100000000000237E-3</v>
      </c>
      <c r="AC15" s="21">
        <f t="shared" si="11"/>
        <v>-6.2200000000000033E-3</v>
      </c>
      <c r="AD15" s="11">
        <f t="shared" si="12"/>
        <v>5.5769230769230793E-2</v>
      </c>
      <c r="AE15" s="22">
        <f t="shared" si="5"/>
        <v>-2.9999999999999805E-2</v>
      </c>
      <c r="AF15" s="21">
        <f t="shared" si="6"/>
        <v>-5.1300000000000234E-3</v>
      </c>
      <c r="AG15" s="21">
        <f t="shared" si="7"/>
        <v>-8.3199999999999941E-3</v>
      </c>
      <c r="AH15" s="11">
        <f t="shared" si="8"/>
        <v>5.646233382570176E-2</v>
      </c>
      <c r="AI15">
        <v>2.5000000000000001E-2</v>
      </c>
      <c r="AJ15">
        <v>-2.5000000000000001E-2</v>
      </c>
      <c r="AK15">
        <v>1.5E-3</v>
      </c>
      <c r="AL15">
        <v>-1.5E-3</v>
      </c>
      <c r="AM15">
        <v>1.5E-3</v>
      </c>
      <c r="AN15">
        <v>-1.5E-3</v>
      </c>
      <c r="AO15" s="16">
        <v>2.5000000000000001E-2</v>
      </c>
      <c r="AP15" s="16">
        <v>-2.5000000000000001E-2</v>
      </c>
      <c r="AQ15">
        <v>1.4999999999999999E-2</v>
      </c>
      <c r="AR15">
        <v>-1.4999999999999999E-2</v>
      </c>
      <c r="AS15">
        <v>1E-3</v>
      </c>
      <c r="AT15">
        <v>-1E-3</v>
      </c>
      <c r="AU15">
        <v>1E-3</v>
      </c>
      <c r="AV15">
        <v>-1E-3</v>
      </c>
      <c r="AW15" s="16">
        <v>1.4999999999999999E-2</v>
      </c>
      <c r="AX15" s="16">
        <v>-1.4999999999999999E-2</v>
      </c>
      <c r="JS15">
        <v>30.502684236212787</v>
      </c>
    </row>
    <row r="16" spans="1:279" customFormat="1">
      <c r="A16" s="2">
        <v>11</v>
      </c>
      <c r="B16" s="2">
        <v>3.1179999999999999</v>
      </c>
      <c r="C16" s="2">
        <v>0.28660999999999998</v>
      </c>
      <c r="D16" s="2">
        <v>0.27249000000000001</v>
      </c>
      <c r="E16" s="2">
        <v>28.34</v>
      </c>
      <c r="F16" s="17">
        <f t="shared" si="0"/>
        <v>44250.685439814813</v>
      </c>
      <c r="G16" s="9">
        <v>44250.685439814813</v>
      </c>
      <c r="H16" s="25">
        <v>1</v>
      </c>
      <c r="I16" s="5">
        <v>3.109</v>
      </c>
      <c r="J16" s="5">
        <v>0.29005999999999998</v>
      </c>
      <c r="K16" s="5">
        <v>0.27929999999999999</v>
      </c>
      <c r="L16" s="5">
        <v>27.672000000000001</v>
      </c>
      <c r="M16" s="5">
        <v>2</v>
      </c>
      <c r="N16" s="5">
        <v>3.105</v>
      </c>
      <c r="O16" s="5">
        <v>0.28799999999999998</v>
      </c>
      <c r="P16" s="5">
        <v>0.27445999999999998</v>
      </c>
      <c r="Q16" s="5">
        <v>29.007999999999999</v>
      </c>
      <c r="R16" s="5">
        <v>3</v>
      </c>
      <c r="S16" s="5">
        <v>3.1040000000000001</v>
      </c>
      <c r="T16" s="5">
        <v>0.28433000000000003</v>
      </c>
      <c r="U16" s="5">
        <v>0.27117999999999998</v>
      </c>
      <c r="V16" s="5">
        <v>28.542000000000002</v>
      </c>
      <c r="W16" s="22">
        <f t="shared" si="1"/>
        <v>-4.0000000000000036E-3</v>
      </c>
      <c r="X16" s="21">
        <f t="shared" si="2"/>
        <v>5.0000000000000044E-4</v>
      </c>
      <c r="Y16" s="21">
        <f t="shared" si="3"/>
        <v>-2.8400000000000092E-3</v>
      </c>
      <c r="Z16" s="11">
        <f t="shared" si="4"/>
        <v>2.7171492204899783E-2</v>
      </c>
      <c r="AA16" s="22">
        <f t="shared" si="9"/>
        <v>-1.0000000000000231E-2</v>
      </c>
      <c r="AB16" s="21">
        <f t="shared" si="10"/>
        <v>-2.9300000000000437E-3</v>
      </c>
      <c r="AC16" s="21">
        <f t="shared" si="11"/>
        <v>-6.1599999999999988E-3</v>
      </c>
      <c r="AD16" s="11">
        <f t="shared" si="12"/>
        <v>5.2539912917271447E-2</v>
      </c>
      <c r="AE16" s="22">
        <f t="shared" si="5"/>
        <v>-3.2999999999999918E-2</v>
      </c>
      <c r="AF16" s="21">
        <f t="shared" si="6"/>
        <v>-5.1599999999999979E-3</v>
      </c>
      <c r="AG16" s="21">
        <f t="shared" si="7"/>
        <v>-8.2200000000000051E-3</v>
      </c>
      <c r="AH16" s="11">
        <f t="shared" si="8"/>
        <v>5.398818316100451E-2</v>
      </c>
      <c r="AI16">
        <v>2.5000000000000001E-2</v>
      </c>
      <c r="AJ16">
        <v>-2.5000000000000001E-2</v>
      </c>
      <c r="AK16">
        <v>1.5E-3</v>
      </c>
      <c r="AL16">
        <v>-1.5E-3</v>
      </c>
      <c r="AM16">
        <v>1.5E-3</v>
      </c>
      <c r="AN16">
        <v>-1.5E-3</v>
      </c>
      <c r="AO16" s="16">
        <v>2.5000000000000001E-2</v>
      </c>
      <c r="AP16" s="16">
        <v>-2.5000000000000001E-2</v>
      </c>
      <c r="AQ16">
        <v>1.4999999999999999E-2</v>
      </c>
      <c r="AR16">
        <v>-1.4999999999999999E-2</v>
      </c>
      <c r="AS16">
        <v>1E-3</v>
      </c>
      <c r="AT16">
        <v>-1E-3</v>
      </c>
      <c r="AU16">
        <v>1E-3</v>
      </c>
      <c r="AV16">
        <v>-1E-3</v>
      </c>
      <c r="AW16" s="16">
        <v>1.4999999999999999E-2</v>
      </c>
      <c r="AX16" s="16">
        <v>-1.4999999999999999E-2</v>
      </c>
      <c r="JP16">
        <v>30.502684236212787</v>
      </c>
      <c r="JQ16">
        <v>28.935185185185187</v>
      </c>
    </row>
    <row r="17" spans="1:279" customFormat="1">
      <c r="A17" s="2">
        <v>12</v>
      </c>
      <c r="B17" s="2">
        <v>3.1110000000000002</v>
      </c>
      <c r="C17" s="2">
        <v>0.28952</v>
      </c>
      <c r="D17" s="2">
        <v>0.27585999999999999</v>
      </c>
      <c r="E17" s="2">
        <v>28.72</v>
      </c>
      <c r="F17" s="17">
        <f t="shared" si="0"/>
        <v>44251.664942129632</v>
      </c>
      <c r="G17" s="9">
        <v>44251.664942129632</v>
      </c>
      <c r="H17" s="25">
        <v>1</v>
      </c>
      <c r="I17" s="5">
        <v>3.113</v>
      </c>
      <c r="J17" s="5">
        <v>0.29010000000000002</v>
      </c>
      <c r="K17" s="5">
        <v>0.27925</v>
      </c>
      <c r="L17" s="5">
        <v>27.645</v>
      </c>
      <c r="M17" s="5">
        <v>2</v>
      </c>
      <c r="N17" s="5">
        <v>3.109</v>
      </c>
      <c r="O17" s="5">
        <v>0.28789999999999999</v>
      </c>
      <c r="P17" s="5">
        <v>0.27427000000000001</v>
      </c>
      <c r="Q17" s="5">
        <v>28.969000000000001</v>
      </c>
      <c r="R17" s="5">
        <v>3</v>
      </c>
      <c r="S17" s="5">
        <v>3.1080000000000001</v>
      </c>
      <c r="T17" s="5">
        <v>0.28426000000000001</v>
      </c>
      <c r="U17" s="5">
        <v>0.27089999999999997</v>
      </c>
      <c r="V17" s="5">
        <v>28.518000000000001</v>
      </c>
      <c r="W17" s="22">
        <f t="shared" si="1"/>
        <v>0</v>
      </c>
      <c r="X17" s="21">
        <f t="shared" si="2"/>
        <v>5.4000000000004045E-4</v>
      </c>
      <c r="Y17" s="21">
        <f t="shared" si="3"/>
        <v>-2.8900000000000037E-3</v>
      </c>
      <c r="Z17" s="11">
        <f t="shared" si="4"/>
        <v>2.6169265033407552E-2</v>
      </c>
      <c r="AA17" s="22">
        <f t="shared" si="9"/>
        <v>-6.0000000000002274E-3</v>
      </c>
      <c r="AB17" s="21">
        <f t="shared" si="10"/>
        <v>-3.0300000000000327E-3</v>
      </c>
      <c r="AC17" s="21">
        <f t="shared" si="11"/>
        <v>-6.3499999999999668E-3</v>
      </c>
      <c r="AD17" s="11">
        <f t="shared" si="12"/>
        <v>5.1124818577648945E-2</v>
      </c>
      <c r="AE17" s="22">
        <f t="shared" si="5"/>
        <v>-2.8999999999999915E-2</v>
      </c>
      <c r="AF17" s="21">
        <f t="shared" si="6"/>
        <v>-5.2300000000000124E-3</v>
      </c>
      <c r="AG17" s="21">
        <f t="shared" si="7"/>
        <v>-8.5000000000000075E-3</v>
      </c>
      <c r="AH17" s="11">
        <f t="shared" si="8"/>
        <v>5.3101920236336975E-2</v>
      </c>
      <c r="AI17">
        <v>2.5000000000000001E-2</v>
      </c>
      <c r="AJ17">
        <v>-2.5000000000000001E-2</v>
      </c>
      <c r="AK17">
        <v>1.5E-3</v>
      </c>
      <c r="AL17">
        <v>-1.5E-3</v>
      </c>
      <c r="AM17">
        <v>1.5E-3</v>
      </c>
      <c r="AN17">
        <v>-1.5E-3</v>
      </c>
      <c r="AO17" s="16">
        <v>2.5000000000000001E-2</v>
      </c>
      <c r="AP17" s="16">
        <v>-2.5000000000000001E-2</v>
      </c>
      <c r="AQ17">
        <v>1.4999999999999999E-2</v>
      </c>
      <c r="AR17">
        <v>-1.4999999999999999E-2</v>
      </c>
      <c r="AS17">
        <v>1E-3</v>
      </c>
      <c r="AT17">
        <v>-1E-3</v>
      </c>
      <c r="AU17">
        <v>1E-3</v>
      </c>
      <c r="AV17">
        <v>-1E-3</v>
      </c>
      <c r="AW17" s="16">
        <v>1.4999999999999999E-2</v>
      </c>
      <c r="AX17" s="16">
        <v>-1.4999999999999999E-2</v>
      </c>
    </row>
    <row r="18" spans="1:279" customFormat="1">
      <c r="A18" s="2">
        <v>13</v>
      </c>
      <c r="B18" s="2">
        <v>3.113</v>
      </c>
      <c r="C18" s="2">
        <v>0.28610999999999998</v>
      </c>
      <c r="D18" s="2">
        <v>0.27067000000000002</v>
      </c>
      <c r="E18" s="2">
        <v>28.44</v>
      </c>
      <c r="F18" s="17">
        <f t="shared" si="0"/>
        <v>44252.635972222219</v>
      </c>
      <c r="G18" s="9">
        <v>44252.635972222219</v>
      </c>
      <c r="H18" s="25">
        <v>1</v>
      </c>
      <c r="I18" s="5">
        <v>3.113</v>
      </c>
      <c r="J18" s="5">
        <v>0.28999999999999998</v>
      </c>
      <c r="K18" s="5">
        <v>0.27916000000000002</v>
      </c>
      <c r="L18" s="5">
        <v>27.526</v>
      </c>
      <c r="M18" s="5">
        <v>2</v>
      </c>
      <c r="N18" s="5">
        <v>3.1080000000000001</v>
      </c>
      <c r="O18" s="5">
        <v>0.28798000000000001</v>
      </c>
      <c r="P18" s="5">
        <v>0.27443000000000001</v>
      </c>
      <c r="Q18" s="5">
        <v>29.03</v>
      </c>
      <c r="R18" s="5">
        <v>3</v>
      </c>
      <c r="S18" s="5">
        <v>3.1070000000000002</v>
      </c>
      <c r="T18" s="5">
        <v>0.28443000000000002</v>
      </c>
      <c r="U18" s="5">
        <v>0.27109</v>
      </c>
      <c r="V18" s="5">
        <v>28.550999999999998</v>
      </c>
      <c r="W18" s="22">
        <f t="shared" si="1"/>
        <v>0</v>
      </c>
      <c r="X18" s="21">
        <f t="shared" si="2"/>
        <v>4.3999999999999595E-4</v>
      </c>
      <c r="Y18" s="21">
        <f t="shared" si="3"/>
        <v>-2.9799999999999827E-3</v>
      </c>
      <c r="Z18" s="11">
        <f t="shared" si="4"/>
        <v>2.1752041573867897E-2</v>
      </c>
      <c r="AA18" s="22">
        <f t="shared" si="9"/>
        <v>-7.0000000000001172E-3</v>
      </c>
      <c r="AB18" s="21">
        <f t="shared" si="10"/>
        <v>-2.9500000000000082E-3</v>
      </c>
      <c r="AC18" s="21">
        <f t="shared" si="11"/>
        <v>-6.1899999999999733E-3</v>
      </c>
      <c r="AD18" s="11">
        <f t="shared" si="12"/>
        <v>5.3338171262699685E-2</v>
      </c>
      <c r="AE18" s="22">
        <f t="shared" si="5"/>
        <v>-2.9999999999999805E-2</v>
      </c>
      <c r="AF18" s="21">
        <f t="shared" si="6"/>
        <v>-5.0600000000000089E-3</v>
      </c>
      <c r="AG18" s="21">
        <f t="shared" si="7"/>
        <v>-8.3099999999999841E-3</v>
      </c>
      <c r="AH18" s="11">
        <f t="shared" si="8"/>
        <v>5.4320531757754864E-2</v>
      </c>
      <c r="AI18">
        <v>2.5000000000000001E-2</v>
      </c>
      <c r="AJ18">
        <v>-2.5000000000000001E-2</v>
      </c>
      <c r="AK18">
        <v>1.5E-3</v>
      </c>
      <c r="AL18">
        <v>-1.5E-3</v>
      </c>
      <c r="AM18">
        <v>1.5E-3</v>
      </c>
      <c r="AN18">
        <v>-1.5E-3</v>
      </c>
      <c r="AO18" s="16">
        <v>2.5000000000000001E-2</v>
      </c>
      <c r="AP18" s="16">
        <v>-2.5000000000000001E-2</v>
      </c>
      <c r="AQ18">
        <v>1.4999999999999999E-2</v>
      </c>
      <c r="AR18">
        <v>-1.4999999999999999E-2</v>
      </c>
      <c r="AS18">
        <v>1E-3</v>
      </c>
      <c r="AT18">
        <v>-1E-3</v>
      </c>
      <c r="AU18">
        <v>1E-3</v>
      </c>
      <c r="AV18">
        <v>-1E-3</v>
      </c>
      <c r="AW18" s="16">
        <v>1.4999999999999999E-2</v>
      </c>
      <c r="AX18" s="16">
        <v>-1.4999999999999999E-2</v>
      </c>
      <c r="JQ18">
        <v>24.187306501547987</v>
      </c>
      <c r="JR18">
        <v>27.64263600176913</v>
      </c>
      <c r="JS18">
        <v>24.187306501547987</v>
      </c>
    </row>
    <row r="19" spans="1:279" customFormat="1">
      <c r="A19" s="2">
        <v>14</v>
      </c>
      <c r="B19" s="2">
        <v>3.1139999999999999</v>
      </c>
      <c r="C19" s="2">
        <v>0.28849999999999998</v>
      </c>
      <c r="D19" s="2">
        <v>0.27400999999999998</v>
      </c>
      <c r="E19" s="2">
        <v>28.67</v>
      </c>
      <c r="F19" s="17">
        <f t="shared" si="0"/>
        <v>44252.675115740742</v>
      </c>
      <c r="G19" s="9">
        <v>44252.675115740742</v>
      </c>
      <c r="H19" s="25">
        <v>1</v>
      </c>
      <c r="I19" s="5">
        <v>3.1139999999999999</v>
      </c>
      <c r="J19" s="5">
        <v>0.29004999999999997</v>
      </c>
      <c r="K19" s="5">
        <v>0.27922000000000002</v>
      </c>
      <c r="L19" s="5">
        <v>27.728000000000002</v>
      </c>
      <c r="M19" s="5">
        <v>2</v>
      </c>
      <c r="N19" s="5">
        <v>3.109</v>
      </c>
      <c r="O19" s="5">
        <v>0.28788999999999998</v>
      </c>
      <c r="P19" s="5">
        <v>0.27413999999999999</v>
      </c>
      <c r="Q19" s="5">
        <v>28.981000000000002</v>
      </c>
      <c r="R19" s="5">
        <v>3</v>
      </c>
      <c r="S19" s="5">
        <v>3.1080000000000001</v>
      </c>
      <c r="T19" s="5">
        <v>0.28425</v>
      </c>
      <c r="U19" s="5">
        <v>0.27087</v>
      </c>
      <c r="V19" s="5">
        <v>28.571999999999999</v>
      </c>
      <c r="W19" s="22">
        <f t="shared" si="1"/>
        <v>9.9999999999988987E-4</v>
      </c>
      <c r="X19" s="21">
        <f t="shared" si="2"/>
        <v>4.8999999999999044E-4</v>
      </c>
      <c r="Y19" s="21">
        <f t="shared" si="3"/>
        <v>-2.9199999999999782E-3</v>
      </c>
      <c r="Z19" s="11">
        <f t="shared" si="4"/>
        <v>2.9250185597624379E-2</v>
      </c>
      <c r="AA19" s="22">
        <f t="shared" si="9"/>
        <v>-6.0000000000002274E-3</v>
      </c>
      <c r="AB19" s="21">
        <f t="shared" si="10"/>
        <v>-3.0400000000000427E-3</v>
      </c>
      <c r="AC19" s="21">
        <f t="shared" si="11"/>
        <v>-6.4799999999999858E-3</v>
      </c>
      <c r="AD19" s="11">
        <f t="shared" si="12"/>
        <v>5.1560232220609681E-2</v>
      </c>
      <c r="AE19" s="22">
        <f t="shared" si="5"/>
        <v>-2.8999999999999915E-2</v>
      </c>
      <c r="AF19" s="21">
        <f t="shared" si="6"/>
        <v>-5.2400000000000224E-3</v>
      </c>
      <c r="AG19" s="21">
        <f t="shared" si="7"/>
        <v>-8.529999999999982E-3</v>
      </c>
      <c r="AH19" s="11">
        <f t="shared" si="8"/>
        <v>5.5096011816839097E-2</v>
      </c>
      <c r="AI19">
        <v>2.5000000000000001E-2</v>
      </c>
      <c r="AJ19">
        <v>-2.5000000000000001E-2</v>
      </c>
      <c r="AK19">
        <v>1.5E-3</v>
      </c>
      <c r="AL19">
        <v>-1.5E-3</v>
      </c>
      <c r="AM19">
        <v>1.5E-3</v>
      </c>
      <c r="AN19">
        <v>-1.5E-3</v>
      </c>
      <c r="AO19" s="16">
        <v>2.5000000000000001E-2</v>
      </c>
      <c r="AP19" s="16">
        <v>-2.5000000000000001E-2</v>
      </c>
      <c r="AQ19">
        <v>1.4999999999999999E-2</v>
      </c>
      <c r="AR19">
        <v>-1.4999999999999999E-2</v>
      </c>
      <c r="AS19">
        <v>1E-3</v>
      </c>
      <c r="AT19">
        <v>-1E-3</v>
      </c>
      <c r="AU19">
        <v>1E-3</v>
      </c>
      <c r="AV19">
        <v>-1E-3</v>
      </c>
      <c r="AW19" s="16">
        <v>1.4999999999999999E-2</v>
      </c>
      <c r="AX19" s="16">
        <v>-1.4999999999999999E-2</v>
      </c>
    </row>
    <row r="20" spans="1:279" customFormat="1">
      <c r="A20" s="2">
        <v>15</v>
      </c>
      <c r="B20" s="2">
        <v>3.1190000000000002</v>
      </c>
      <c r="C20" s="2">
        <v>0.28587000000000001</v>
      </c>
      <c r="D20" s="2">
        <v>0.27098</v>
      </c>
      <c r="E20" s="2">
        <v>27.88</v>
      </c>
      <c r="F20" s="17">
        <f t="shared" si="0"/>
        <v>44253.654849537037</v>
      </c>
      <c r="G20" s="9">
        <v>44253.654849537037</v>
      </c>
      <c r="H20" s="25">
        <v>1</v>
      </c>
      <c r="I20" s="5">
        <v>3.1150000000000002</v>
      </c>
      <c r="J20" s="5">
        <v>0.28999000000000003</v>
      </c>
      <c r="K20" s="5">
        <v>0.27927999999999997</v>
      </c>
      <c r="L20" s="5">
        <v>27.805</v>
      </c>
      <c r="M20" s="5">
        <v>2</v>
      </c>
      <c r="N20" s="5">
        <v>3.11</v>
      </c>
      <c r="O20" s="5">
        <v>0.28804999999999997</v>
      </c>
      <c r="P20" s="5">
        <v>0.27440999999999999</v>
      </c>
      <c r="Q20" s="5">
        <v>29.129000000000001</v>
      </c>
      <c r="R20" s="5">
        <v>3</v>
      </c>
      <c r="S20" s="5">
        <v>3.1080000000000001</v>
      </c>
      <c r="T20" s="5">
        <v>0.28426000000000001</v>
      </c>
      <c r="U20" s="5">
        <v>0.27089000000000002</v>
      </c>
      <c r="V20" s="5">
        <v>28.670999999999999</v>
      </c>
      <c r="W20" s="22">
        <f t="shared" si="1"/>
        <v>2.0000000000002238E-3</v>
      </c>
      <c r="X20" s="21">
        <f t="shared" si="2"/>
        <v>4.3000000000004146E-4</v>
      </c>
      <c r="Y20" s="21">
        <f t="shared" si="3"/>
        <v>-2.8600000000000292E-3</v>
      </c>
      <c r="Z20" s="11">
        <f t="shared" si="4"/>
        <v>3.2108389012620586E-2</v>
      </c>
      <c r="AA20" s="22">
        <f t="shared" si="9"/>
        <v>-5.0000000000003375E-3</v>
      </c>
      <c r="AB20" s="21">
        <f t="shared" si="10"/>
        <v>-2.8800000000000492E-3</v>
      </c>
      <c r="AC20" s="21">
        <f t="shared" si="11"/>
        <v>-6.2099999999999933E-3</v>
      </c>
      <c r="AD20" s="11">
        <f t="shared" si="12"/>
        <v>5.6930333817126311E-2</v>
      </c>
      <c r="AE20" s="22">
        <f t="shared" si="5"/>
        <v>-2.8999999999999915E-2</v>
      </c>
      <c r="AF20" s="21">
        <f t="shared" si="6"/>
        <v>-5.2300000000000124E-3</v>
      </c>
      <c r="AG20" s="21">
        <f t="shared" si="7"/>
        <v>-8.509999999999962E-3</v>
      </c>
      <c r="AH20" s="11">
        <f t="shared" si="8"/>
        <v>5.8751846381093209E-2</v>
      </c>
      <c r="AI20">
        <v>2.5000000000000001E-2</v>
      </c>
      <c r="AJ20">
        <v>-2.5000000000000001E-2</v>
      </c>
      <c r="AK20">
        <v>1.5E-3</v>
      </c>
      <c r="AL20">
        <v>-1.5E-3</v>
      </c>
      <c r="AM20">
        <v>1.5E-3</v>
      </c>
      <c r="AN20">
        <v>-1.5E-3</v>
      </c>
      <c r="AO20" s="16">
        <v>2.5000000000000001E-2</v>
      </c>
      <c r="AP20" s="16">
        <v>-2.5000000000000001E-2</v>
      </c>
      <c r="AQ20">
        <v>1.4999999999999999E-2</v>
      </c>
      <c r="AR20">
        <v>-1.4999999999999999E-2</v>
      </c>
      <c r="AS20">
        <v>1E-3</v>
      </c>
      <c r="AT20">
        <v>-1E-3</v>
      </c>
      <c r="AU20">
        <v>1E-3</v>
      </c>
      <c r="AV20">
        <v>-1E-3</v>
      </c>
      <c r="AW20" s="16">
        <v>1.4999999999999999E-2</v>
      </c>
      <c r="AX20" s="16">
        <v>-1.4999999999999999E-2</v>
      </c>
      <c r="JP20">
        <v>27.64263600176913</v>
      </c>
      <c r="JQ20">
        <v>26.386152547143258</v>
      </c>
    </row>
    <row r="21" spans="1:279" customFormat="1">
      <c r="A21" s="2">
        <v>16</v>
      </c>
      <c r="B21" s="2">
        <v>3.1190000000000002</v>
      </c>
      <c r="C21" s="2">
        <v>0.28927999999999998</v>
      </c>
      <c r="D21" s="2">
        <v>0.27653</v>
      </c>
      <c r="E21" s="2">
        <v>28.54</v>
      </c>
      <c r="F21" s="17" t="str">
        <f t="shared" si="0"/>
        <v/>
      </c>
      <c r="G21" s="9"/>
      <c r="H21" s="25">
        <v>1</v>
      </c>
      <c r="I21" s="5"/>
      <c r="J21" s="5"/>
      <c r="K21" s="5"/>
      <c r="L21" s="5"/>
      <c r="M21" s="5">
        <v>2</v>
      </c>
      <c r="N21" s="5"/>
      <c r="O21" s="5"/>
      <c r="P21" s="5"/>
      <c r="Q21" s="5"/>
      <c r="R21" s="5">
        <v>3</v>
      </c>
      <c r="S21" s="5"/>
      <c r="T21" s="5"/>
      <c r="U21" s="5"/>
      <c r="V21" s="5"/>
      <c r="W21" s="22">
        <f t="shared" si="1"/>
        <v>-3.113</v>
      </c>
      <c r="X21" s="21">
        <f t="shared" si="2"/>
        <v>-0.28955999999999998</v>
      </c>
      <c r="Y21" s="21">
        <f t="shared" si="3"/>
        <v>-0.28214</v>
      </c>
      <c r="Z21" s="11">
        <f t="shared" si="4"/>
        <v>-1</v>
      </c>
      <c r="AA21" s="22">
        <f t="shared" si="9"/>
        <v>-3.1150000000000002</v>
      </c>
      <c r="AB21" s="21">
        <f t="shared" si="10"/>
        <v>-0.29093000000000002</v>
      </c>
      <c r="AC21" s="21">
        <f t="shared" si="11"/>
        <v>-0.28061999999999998</v>
      </c>
      <c r="AD21" s="11">
        <f t="shared" si="12"/>
        <v>-1</v>
      </c>
      <c r="AE21" s="22">
        <f t="shared" si="5"/>
        <v>-3.137</v>
      </c>
      <c r="AF21" s="21">
        <f t="shared" si="6"/>
        <v>-0.28949000000000003</v>
      </c>
      <c r="AG21" s="21">
        <f t="shared" si="7"/>
        <v>-0.27939999999999998</v>
      </c>
      <c r="AH21" s="11">
        <f t="shared" si="8"/>
        <v>-1</v>
      </c>
      <c r="AI21">
        <v>2.5000000000000001E-2</v>
      </c>
      <c r="AJ21">
        <v>-2.5000000000000001E-2</v>
      </c>
      <c r="AK21">
        <v>1.5E-3</v>
      </c>
      <c r="AL21">
        <v>-1.5E-3</v>
      </c>
      <c r="AM21">
        <v>1.5E-3</v>
      </c>
      <c r="AN21">
        <v>-1.5E-3</v>
      </c>
      <c r="AO21" s="16">
        <v>2.5000000000000001E-2</v>
      </c>
      <c r="AP21" s="16">
        <v>-2.5000000000000001E-2</v>
      </c>
      <c r="AQ21">
        <v>1.4999999999999999E-2</v>
      </c>
      <c r="AR21">
        <v>-1.4999999999999999E-2</v>
      </c>
      <c r="AS21">
        <v>1E-3</v>
      </c>
      <c r="AT21">
        <v>-1E-3</v>
      </c>
      <c r="AU21">
        <v>1E-3</v>
      </c>
      <c r="AV21">
        <v>-1E-3</v>
      </c>
      <c r="AW21" s="16">
        <v>1.4999999999999999E-2</v>
      </c>
      <c r="AX21" s="16">
        <v>-1.4999999999999999E-2</v>
      </c>
      <c r="JP21">
        <v>28.935185185185187</v>
      </c>
      <c r="JQ21">
        <v>28.935185185185187</v>
      </c>
    </row>
    <row r="22" spans="1:279" customFormat="1">
      <c r="A22" s="2">
        <v>17</v>
      </c>
      <c r="B22" s="2">
        <v>3.1179999999999999</v>
      </c>
      <c r="C22" s="2">
        <v>0.28658</v>
      </c>
      <c r="D22" s="2">
        <v>0.27185999999999999</v>
      </c>
      <c r="E22" s="2">
        <v>28.08</v>
      </c>
      <c r="F22" s="17" t="str">
        <f t="shared" si="0"/>
        <v/>
      </c>
      <c r="G22" s="9"/>
      <c r="H22" s="25">
        <v>1</v>
      </c>
      <c r="I22" s="5"/>
      <c r="J22" s="5"/>
      <c r="K22" s="5"/>
      <c r="L22" s="5"/>
      <c r="M22" s="5">
        <v>2</v>
      </c>
      <c r="N22" s="5"/>
      <c r="O22" s="5"/>
      <c r="P22" s="5"/>
      <c r="Q22" s="5"/>
      <c r="R22" s="5">
        <v>3</v>
      </c>
      <c r="S22" s="5"/>
      <c r="T22" s="5"/>
      <c r="U22" s="5"/>
      <c r="V22" s="5"/>
      <c r="W22" s="22">
        <f t="shared" si="1"/>
        <v>-3.113</v>
      </c>
      <c r="X22" s="21">
        <f t="shared" si="2"/>
        <v>-0.28955999999999998</v>
      </c>
      <c r="Y22" s="21">
        <f t="shared" si="3"/>
        <v>-0.28214</v>
      </c>
      <c r="Z22" s="11">
        <f t="shared" si="4"/>
        <v>-1</v>
      </c>
      <c r="AA22" s="22">
        <f t="shared" si="9"/>
        <v>-3.1150000000000002</v>
      </c>
      <c r="AB22" s="21">
        <f t="shared" si="10"/>
        <v>-0.29093000000000002</v>
      </c>
      <c r="AC22" s="21">
        <f t="shared" si="11"/>
        <v>-0.28061999999999998</v>
      </c>
      <c r="AD22" s="11">
        <f t="shared" si="12"/>
        <v>-1</v>
      </c>
      <c r="AE22" s="22">
        <f t="shared" si="5"/>
        <v>-3.137</v>
      </c>
      <c r="AF22" s="21">
        <f t="shared" si="6"/>
        <v>-0.28949000000000003</v>
      </c>
      <c r="AG22" s="21">
        <f t="shared" si="7"/>
        <v>-0.27939999999999998</v>
      </c>
      <c r="AH22" s="11">
        <f t="shared" si="8"/>
        <v>-1</v>
      </c>
      <c r="AI22">
        <v>2.5000000000000001E-2</v>
      </c>
      <c r="AJ22">
        <v>-2.5000000000000001E-2</v>
      </c>
      <c r="AK22">
        <v>1.5E-3</v>
      </c>
      <c r="AL22">
        <v>-1.5E-3</v>
      </c>
      <c r="AM22">
        <v>1.5E-3</v>
      </c>
      <c r="AN22">
        <v>-1.5E-3</v>
      </c>
      <c r="AO22" s="16">
        <v>2.5000000000000001E-2</v>
      </c>
      <c r="AP22" s="16">
        <v>-2.5000000000000001E-2</v>
      </c>
      <c r="AQ22">
        <v>1.4999999999999999E-2</v>
      </c>
      <c r="AR22">
        <v>-1.4999999999999999E-2</v>
      </c>
      <c r="AS22">
        <v>1E-3</v>
      </c>
      <c r="AT22">
        <v>-1E-3</v>
      </c>
      <c r="AU22">
        <v>1E-3</v>
      </c>
      <c r="AV22">
        <v>-1E-3</v>
      </c>
      <c r="AW22" s="16">
        <v>1.4999999999999999E-2</v>
      </c>
      <c r="AX22" s="16">
        <v>-1.4999999999999999E-2</v>
      </c>
    </row>
    <row r="23" spans="1:279" customFormat="1">
      <c r="A23" s="2">
        <v>18</v>
      </c>
      <c r="B23" s="2">
        <v>3.121</v>
      </c>
      <c r="C23" s="2">
        <v>0.28902</v>
      </c>
      <c r="D23" s="2">
        <v>0.27583999999999997</v>
      </c>
      <c r="E23" s="2">
        <v>28.6</v>
      </c>
      <c r="F23" s="17" t="str">
        <f t="shared" si="0"/>
        <v/>
      </c>
      <c r="G23" s="9"/>
      <c r="H23" s="25">
        <v>1</v>
      </c>
      <c r="I23" s="5"/>
      <c r="J23" s="5"/>
      <c r="K23" s="5"/>
      <c r="L23" s="5"/>
      <c r="M23" s="5">
        <v>2</v>
      </c>
      <c r="N23" s="5"/>
      <c r="O23" s="5"/>
      <c r="P23" s="5"/>
      <c r="Q23" s="5"/>
      <c r="R23" s="5">
        <v>3</v>
      </c>
      <c r="S23" s="5"/>
      <c r="T23" s="5"/>
      <c r="U23" s="5"/>
      <c r="V23" s="5"/>
      <c r="W23" s="22">
        <f t="shared" si="1"/>
        <v>-3.113</v>
      </c>
      <c r="X23" s="21">
        <f t="shared" si="2"/>
        <v>-0.28955999999999998</v>
      </c>
      <c r="Y23" s="21">
        <f t="shared" si="3"/>
        <v>-0.28214</v>
      </c>
      <c r="Z23" s="11">
        <f t="shared" si="4"/>
        <v>-1</v>
      </c>
      <c r="AA23" s="22">
        <f t="shared" si="9"/>
        <v>-3.1150000000000002</v>
      </c>
      <c r="AB23" s="21">
        <f t="shared" si="10"/>
        <v>-0.29093000000000002</v>
      </c>
      <c r="AC23" s="21">
        <f t="shared" si="11"/>
        <v>-0.28061999999999998</v>
      </c>
      <c r="AD23" s="11">
        <f t="shared" si="12"/>
        <v>-1</v>
      </c>
      <c r="AE23" s="22">
        <f t="shared" si="5"/>
        <v>-3.137</v>
      </c>
      <c r="AF23" s="21">
        <f t="shared" si="6"/>
        <v>-0.28949000000000003</v>
      </c>
      <c r="AG23" s="21">
        <f t="shared" si="7"/>
        <v>-0.27939999999999998</v>
      </c>
      <c r="AH23" s="11">
        <f t="shared" si="8"/>
        <v>-1</v>
      </c>
      <c r="AI23">
        <v>2.5000000000000001E-2</v>
      </c>
      <c r="AJ23">
        <v>-2.5000000000000001E-2</v>
      </c>
      <c r="AK23">
        <v>1.5E-3</v>
      </c>
      <c r="AL23">
        <v>-1.5E-3</v>
      </c>
      <c r="AM23">
        <v>1.5E-3</v>
      </c>
      <c r="AN23">
        <v>-1.5E-3</v>
      </c>
      <c r="AO23" s="16">
        <v>2.5000000000000001E-2</v>
      </c>
      <c r="AP23" s="16">
        <v>-2.5000000000000001E-2</v>
      </c>
      <c r="AQ23">
        <v>1.4999999999999999E-2</v>
      </c>
      <c r="AR23">
        <v>-1.4999999999999999E-2</v>
      </c>
      <c r="AS23">
        <v>1E-3</v>
      </c>
      <c r="AT23">
        <v>-1E-3</v>
      </c>
      <c r="AU23">
        <v>1E-3</v>
      </c>
      <c r="AV23">
        <v>-1E-3</v>
      </c>
      <c r="AW23" s="16">
        <v>1.4999999999999999E-2</v>
      </c>
      <c r="AX23" s="16">
        <v>-1.4999999999999999E-2</v>
      </c>
    </row>
    <row r="24" spans="1:279" customFormat="1">
      <c r="A24" s="2">
        <v>19</v>
      </c>
      <c r="B24" s="2">
        <v>3.121</v>
      </c>
      <c r="C24" s="2">
        <v>0.28721000000000002</v>
      </c>
      <c r="D24" s="2">
        <v>0.27334999999999998</v>
      </c>
      <c r="E24" s="2">
        <v>28.21</v>
      </c>
      <c r="F24" s="17" t="str">
        <f t="shared" si="0"/>
        <v/>
      </c>
      <c r="G24" s="9"/>
      <c r="H24" s="25">
        <v>1</v>
      </c>
      <c r="I24" s="5"/>
      <c r="J24" s="5"/>
      <c r="K24" s="5"/>
      <c r="L24" s="5"/>
      <c r="M24" s="5">
        <v>2</v>
      </c>
      <c r="N24" s="5"/>
      <c r="O24" s="5"/>
      <c r="P24" s="5"/>
      <c r="Q24" s="5"/>
      <c r="R24" s="5">
        <v>3</v>
      </c>
      <c r="S24" s="5"/>
      <c r="T24" s="5"/>
      <c r="U24" s="5"/>
      <c r="V24" s="5"/>
      <c r="W24" s="22">
        <f t="shared" si="1"/>
        <v>-3.113</v>
      </c>
      <c r="X24" s="21">
        <f t="shared" si="2"/>
        <v>-0.28955999999999998</v>
      </c>
      <c r="Y24" s="21">
        <f t="shared" si="3"/>
        <v>-0.28214</v>
      </c>
      <c r="Z24" s="11">
        <f t="shared" si="4"/>
        <v>-1</v>
      </c>
      <c r="AA24" s="22">
        <f t="shared" si="9"/>
        <v>-3.1150000000000002</v>
      </c>
      <c r="AB24" s="21">
        <f t="shared" si="10"/>
        <v>-0.29093000000000002</v>
      </c>
      <c r="AC24" s="21">
        <f t="shared" si="11"/>
        <v>-0.28061999999999998</v>
      </c>
      <c r="AD24" s="11">
        <f t="shared" si="12"/>
        <v>-1</v>
      </c>
      <c r="AE24" s="22">
        <f t="shared" si="5"/>
        <v>-3.137</v>
      </c>
      <c r="AF24" s="21">
        <f t="shared" si="6"/>
        <v>-0.28949000000000003</v>
      </c>
      <c r="AG24" s="21">
        <f t="shared" si="7"/>
        <v>-0.27939999999999998</v>
      </c>
      <c r="AH24" s="11">
        <f t="shared" si="8"/>
        <v>-1</v>
      </c>
      <c r="AI24">
        <v>2.5000000000000001E-2</v>
      </c>
      <c r="AJ24">
        <v>-2.5000000000000001E-2</v>
      </c>
      <c r="AK24">
        <v>1.5E-3</v>
      </c>
      <c r="AL24">
        <v>-1.5E-3</v>
      </c>
      <c r="AM24">
        <v>1.5E-3</v>
      </c>
      <c r="AN24">
        <v>-1.5E-3</v>
      </c>
      <c r="AO24" s="16">
        <v>2.5000000000000001E-2</v>
      </c>
      <c r="AP24" s="16">
        <v>-2.5000000000000001E-2</v>
      </c>
      <c r="AQ24">
        <v>1.4999999999999999E-2</v>
      </c>
      <c r="AR24">
        <v>-1.4999999999999999E-2</v>
      </c>
      <c r="AS24">
        <v>1E-3</v>
      </c>
      <c r="AT24">
        <v>-1E-3</v>
      </c>
      <c r="AU24">
        <v>1E-3</v>
      </c>
      <c r="AV24">
        <v>-1E-3</v>
      </c>
      <c r="AW24" s="16">
        <v>1.4999999999999999E-2</v>
      </c>
      <c r="AX24" s="16">
        <v>-1.4999999999999999E-2</v>
      </c>
    </row>
    <row r="25" spans="1:279" customFormat="1">
      <c r="A25" s="2">
        <v>20</v>
      </c>
      <c r="B25" s="2">
        <v>3.12</v>
      </c>
      <c r="C25" s="2">
        <v>0.28645999999999999</v>
      </c>
      <c r="D25" s="2">
        <v>0.27035999999999999</v>
      </c>
      <c r="E25" s="2">
        <v>28.19</v>
      </c>
      <c r="F25" s="17" t="str">
        <f t="shared" si="0"/>
        <v/>
      </c>
      <c r="G25" s="9"/>
      <c r="H25" s="25">
        <v>1</v>
      </c>
      <c r="I25" s="5"/>
      <c r="J25" s="5"/>
      <c r="K25" s="5"/>
      <c r="L25" s="5"/>
      <c r="M25" s="5">
        <v>2</v>
      </c>
      <c r="N25" s="5"/>
      <c r="O25" s="5"/>
      <c r="P25" s="5"/>
      <c r="Q25" s="5"/>
      <c r="R25" s="5">
        <v>3</v>
      </c>
      <c r="S25" s="5"/>
      <c r="T25" s="5"/>
      <c r="U25" s="5"/>
      <c r="V25" s="5"/>
      <c r="W25" s="22">
        <f t="shared" si="1"/>
        <v>-3.113</v>
      </c>
      <c r="X25" s="21">
        <f t="shared" si="2"/>
        <v>-0.28955999999999998</v>
      </c>
      <c r="Y25" s="21">
        <f t="shared" si="3"/>
        <v>-0.28214</v>
      </c>
      <c r="Z25" s="11">
        <f t="shared" si="4"/>
        <v>-1</v>
      </c>
      <c r="AA25" s="22">
        <f t="shared" si="9"/>
        <v>-3.1150000000000002</v>
      </c>
      <c r="AB25" s="21">
        <f t="shared" si="10"/>
        <v>-0.29093000000000002</v>
      </c>
      <c r="AC25" s="21">
        <f t="shared" si="11"/>
        <v>-0.28061999999999998</v>
      </c>
      <c r="AD25" s="11">
        <f t="shared" si="12"/>
        <v>-1</v>
      </c>
      <c r="AE25" s="22">
        <f t="shared" si="5"/>
        <v>-3.137</v>
      </c>
      <c r="AF25" s="21">
        <f t="shared" si="6"/>
        <v>-0.28949000000000003</v>
      </c>
      <c r="AG25" s="21">
        <f t="shared" si="7"/>
        <v>-0.27939999999999998</v>
      </c>
      <c r="AH25" s="11">
        <f t="shared" si="8"/>
        <v>-1</v>
      </c>
      <c r="AI25">
        <v>2.5000000000000001E-2</v>
      </c>
      <c r="AJ25">
        <v>-2.5000000000000001E-2</v>
      </c>
      <c r="AK25">
        <v>1.5E-3</v>
      </c>
      <c r="AL25">
        <v>-1.5E-3</v>
      </c>
      <c r="AM25">
        <v>1.5E-3</v>
      </c>
      <c r="AN25">
        <v>-1.5E-3</v>
      </c>
      <c r="AO25" s="16">
        <v>2.5000000000000001E-2</v>
      </c>
      <c r="AP25" s="16">
        <v>-2.5000000000000001E-2</v>
      </c>
      <c r="AQ25">
        <v>1.4999999999999999E-2</v>
      </c>
      <c r="AR25">
        <v>-1.4999999999999999E-2</v>
      </c>
      <c r="AS25">
        <v>1E-3</v>
      </c>
      <c r="AT25">
        <v>-1E-3</v>
      </c>
      <c r="AU25">
        <v>1E-3</v>
      </c>
      <c r="AV25">
        <v>-1E-3</v>
      </c>
      <c r="AW25" s="16">
        <v>1.4999999999999999E-2</v>
      </c>
      <c r="AX25" s="16">
        <v>-1.4999999999999999E-2</v>
      </c>
    </row>
    <row r="26" spans="1:279" customFormat="1">
      <c r="A26" s="2">
        <v>21</v>
      </c>
      <c r="B26" s="2">
        <v>3.1259999999999999</v>
      </c>
      <c r="C26" s="2">
        <v>0.28303</v>
      </c>
      <c r="D26" s="2">
        <v>0.26646999999999998</v>
      </c>
      <c r="E26" s="2">
        <v>27.94</v>
      </c>
      <c r="F26" s="17" t="str">
        <f t="shared" si="0"/>
        <v/>
      </c>
      <c r="G26" s="9"/>
      <c r="H26" s="25">
        <v>1</v>
      </c>
      <c r="I26" s="5"/>
      <c r="J26" s="5"/>
      <c r="K26" s="5"/>
      <c r="L26" s="5"/>
      <c r="M26" s="5">
        <v>2</v>
      </c>
      <c r="N26" s="5"/>
      <c r="O26" s="5"/>
      <c r="P26" s="5"/>
      <c r="Q26" s="5"/>
      <c r="R26" s="5">
        <v>3</v>
      </c>
      <c r="S26" s="5"/>
      <c r="T26" s="5"/>
      <c r="U26" s="5"/>
      <c r="V26" s="5"/>
      <c r="W26" s="22">
        <f t="shared" si="1"/>
        <v>-3.113</v>
      </c>
      <c r="X26" s="21">
        <f t="shared" si="2"/>
        <v>-0.28955999999999998</v>
      </c>
      <c r="Y26" s="21">
        <f t="shared" si="3"/>
        <v>-0.28214</v>
      </c>
      <c r="Z26" s="11">
        <f t="shared" si="4"/>
        <v>-1</v>
      </c>
      <c r="AA26" s="22">
        <f t="shared" si="9"/>
        <v>-3.1150000000000002</v>
      </c>
      <c r="AB26" s="21">
        <f t="shared" si="10"/>
        <v>-0.29093000000000002</v>
      </c>
      <c r="AC26" s="21">
        <f t="shared" si="11"/>
        <v>-0.28061999999999998</v>
      </c>
      <c r="AD26" s="11">
        <f t="shared" si="12"/>
        <v>-1</v>
      </c>
      <c r="AE26" s="22">
        <f t="shared" si="5"/>
        <v>-3.137</v>
      </c>
      <c r="AF26" s="21">
        <f t="shared" si="6"/>
        <v>-0.28949000000000003</v>
      </c>
      <c r="AG26" s="21">
        <f t="shared" si="7"/>
        <v>-0.27939999999999998</v>
      </c>
      <c r="AH26" s="11">
        <f t="shared" si="8"/>
        <v>-1</v>
      </c>
      <c r="AI26">
        <v>2.5000000000000001E-2</v>
      </c>
      <c r="AJ26">
        <v>-2.5000000000000001E-2</v>
      </c>
      <c r="AK26">
        <v>1.5E-3</v>
      </c>
      <c r="AL26">
        <v>-1.5E-3</v>
      </c>
      <c r="AM26">
        <v>1.5E-3</v>
      </c>
      <c r="AN26">
        <v>-1.5E-3</v>
      </c>
      <c r="AO26" s="16">
        <v>2.5000000000000001E-2</v>
      </c>
      <c r="AP26" s="16">
        <v>-2.5000000000000001E-2</v>
      </c>
      <c r="AQ26">
        <v>1.4999999999999999E-2</v>
      </c>
      <c r="AR26">
        <v>-1.4999999999999999E-2</v>
      </c>
      <c r="AS26">
        <v>1E-3</v>
      </c>
      <c r="AT26">
        <v>-1E-3</v>
      </c>
      <c r="AU26">
        <v>1E-3</v>
      </c>
      <c r="AV26">
        <v>-1E-3</v>
      </c>
      <c r="AW26" s="16">
        <v>1.4999999999999999E-2</v>
      </c>
      <c r="AX26" s="16">
        <v>-1.4999999999999999E-2</v>
      </c>
    </row>
    <row r="27" spans="1:279" customFormat="1">
      <c r="A27" s="2">
        <v>22</v>
      </c>
      <c r="B27" s="2">
        <v>3.117</v>
      </c>
      <c r="C27" s="2">
        <v>0.28138000000000002</v>
      </c>
      <c r="D27" s="2">
        <v>0.26371</v>
      </c>
      <c r="E27" s="2">
        <v>27.9</v>
      </c>
      <c r="F27" s="17" t="str">
        <f t="shared" si="0"/>
        <v/>
      </c>
      <c r="G27" s="9"/>
      <c r="H27" s="25">
        <v>1</v>
      </c>
      <c r="I27" s="5"/>
      <c r="J27" s="5"/>
      <c r="K27" s="5"/>
      <c r="L27" s="5"/>
      <c r="M27" s="5">
        <v>2</v>
      </c>
      <c r="N27" s="5"/>
      <c r="O27" s="5"/>
      <c r="P27" s="5"/>
      <c r="Q27" s="5"/>
      <c r="R27" s="5">
        <v>3</v>
      </c>
      <c r="S27" s="5"/>
      <c r="T27" s="5"/>
      <c r="U27" s="5"/>
      <c r="V27" s="5"/>
      <c r="W27" s="22">
        <f t="shared" si="1"/>
        <v>-3.113</v>
      </c>
      <c r="X27" s="21">
        <f t="shared" si="2"/>
        <v>-0.28955999999999998</v>
      </c>
      <c r="Y27" s="21">
        <f t="shared" si="3"/>
        <v>-0.28214</v>
      </c>
      <c r="Z27" s="11">
        <f t="shared" si="4"/>
        <v>-1</v>
      </c>
      <c r="AA27" s="22">
        <f t="shared" si="9"/>
        <v>-3.1150000000000002</v>
      </c>
      <c r="AB27" s="21">
        <f t="shared" si="10"/>
        <v>-0.29093000000000002</v>
      </c>
      <c r="AC27" s="21">
        <f t="shared" si="11"/>
        <v>-0.28061999999999998</v>
      </c>
      <c r="AD27" s="11">
        <f t="shared" si="12"/>
        <v>-1</v>
      </c>
      <c r="AE27" s="22">
        <f t="shared" si="5"/>
        <v>-3.137</v>
      </c>
      <c r="AF27" s="21">
        <f t="shared" si="6"/>
        <v>-0.28949000000000003</v>
      </c>
      <c r="AG27" s="21">
        <f t="shared" si="7"/>
        <v>-0.27939999999999998</v>
      </c>
      <c r="AH27" s="11">
        <f t="shared" si="8"/>
        <v>-1</v>
      </c>
      <c r="AI27">
        <v>2.5000000000000001E-2</v>
      </c>
      <c r="AJ27">
        <v>-2.5000000000000001E-2</v>
      </c>
      <c r="AK27">
        <v>1.5E-3</v>
      </c>
      <c r="AL27">
        <v>-1.5E-3</v>
      </c>
      <c r="AM27">
        <v>1.5E-3</v>
      </c>
      <c r="AN27">
        <v>-1.5E-3</v>
      </c>
      <c r="AO27" s="16">
        <v>2.5000000000000001E-2</v>
      </c>
      <c r="AP27" s="16">
        <v>-2.5000000000000001E-2</v>
      </c>
      <c r="AQ27">
        <v>1.4999999999999999E-2</v>
      </c>
      <c r="AR27">
        <v>-1.4999999999999999E-2</v>
      </c>
      <c r="AS27">
        <v>1E-3</v>
      </c>
      <c r="AT27">
        <v>-1E-3</v>
      </c>
      <c r="AU27">
        <v>1E-3</v>
      </c>
      <c r="AV27">
        <v>-1E-3</v>
      </c>
      <c r="AW27" s="16">
        <v>1.4999999999999999E-2</v>
      </c>
      <c r="AX27" s="16">
        <v>-1.4999999999999999E-2</v>
      </c>
    </row>
    <row r="28" spans="1:279" customFormat="1">
      <c r="A28" s="2">
        <v>23</v>
      </c>
      <c r="B28" s="2">
        <v>3.1160000000000001</v>
      </c>
      <c r="C28" s="2">
        <v>0.28238000000000002</v>
      </c>
      <c r="D28" s="2">
        <v>0.26517000000000002</v>
      </c>
      <c r="E28" s="2">
        <v>28.01</v>
      </c>
      <c r="F28" s="17" t="str">
        <f t="shared" si="0"/>
        <v/>
      </c>
      <c r="G28" s="9"/>
      <c r="H28" s="25">
        <v>1</v>
      </c>
      <c r="I28" s="5"/>
      <c r="J28" s="5"/>
      <c r="K28" s="5"/>
      <c r="L28" s="5"/>
      <c r="M28" s="5">
        <v>2</v>
      </c>
      <c r="N28" s="5"/>
      <c r="O28" s="5"/>
      <c r="P28" s="5"/>
      <c r="Q28" s="5"/>
      <c r="R28" s="5">
        <v>3</v>
      </c>
      <c r="S28" s="5"/>
      <c r="T28" s="5"/>
      <c r="U28" s="5"/>
      <c r="V28" s="5"/>
      <c r="W28" s="22">
        <f t="shared" si="1"/>
        <v>-3.113</v>
      </c>
      <c r="X28" s="21">
        <f t="shared" si="2"/>
        <v>-0.28955999999999998</v>
      </c>
      <c r="Y28" s="21">
        <f t="shared" si="3"/>
        <v>-0.28214</v>
      </c>
      <c r="Z28" s="11">
        <f t="shared" si="4"/>
        <v>-1</v>
      </c>
      <c r="AA28" s="22">
        <f t="shared" si="9"/>
        <v>-3.1150000000000002</v>
      </c>
      <c r="AB28" s="21">
        <f t="shared" si="10"/>
        <v>-0.29093000000000002</v>
      </c>
      <c r="AC28" s="21">
        <f t="shared" si="11"/>
        <v>-0.28061999999999998</v>
      </c>
      <c r="AD28" s="11">
        <f t="shared" si="12"/>
        <v>-1</v>
      </c>
      <c r="AE28" s="22">
        <f t="shared" si="5"/>
        <v>-3.137</v>
      </c>
      <c r="AF28" s="21">
        <f t="shared" si="6"/>
        <v>-0.28949000000000003</v>
      </c>
      <c r="AG28" s="21">
        <f t="shared" si="7"/>
        <v>-0.27939999999999998</v>
      </c>
      <c r="AH28" s="11">
        <f t="shared" si="8"/>
        <v>-1</v>
      </c>
      <c r="AI28">
        <v>2.5000000000000001E-2</v>
      </c>
      <c r="AJ28">
        <v>-2.5000000000000001E-2</v>
      </c>
      <c r="AK28">
        <v>1.5E-3</v>
      </c>
      <c r="AL28">
        <v>-1.5E-3</v>
      </c>
      <c r="AM28">
        <v>1.5E-3</v>
      </c>
      <c r="AN28">
        <v>-1.5E-3</v>
      </c>
      <c r="AO28" s="16">
        <v>2.5000000000000001E-2</v>
      </c>
      <c r="AP28" s="16">
        <v>-2.5000000000000001E-2</v>
      </c>
      <c r="AQ28">
        <v>1.4999999999999999E-2</v>
      </c>
      <c r="AR28">
        <v>-1.4999999999999999E-2</v>
      </c>
      <c r="AS28">
        <v>1E-3</v>
      </c>
      <c r="AT28">
        <v>-1E-3</v>
      </c>
      <c r="AU28">
        <v>1E-3</v>
      </c>
      <c r="AV28">
        <v>-1E-3</v>
      </c>
      <c r="AW28" s="16">
        <v>1.4999999999999999E-2</v>
      </c>
      <c r="AX28" s="16">
        <v>-1.4999999999999999E-2</v>
      </c>
    </row>
    <row r="29" spans="1:279" customFormat="1">
      <c r="A29" s="2">
        <v>24</v>
      </c>
      <c r="B29" s="2">
        <v>3.1179999999999999</v>
      </c>
      <c r="C29" s="2">
        <v>0.28328999999999999</v>
      </c>
      <c r="D29" s="2">
        <v>0.26704</v>
      </c>
      <c r="E29" s="2">
        <v>27.8</v>
      </c>
      <c r="F29" s="17" t="str">
        <f t="shared" si="0"/>
        <v/>
      </c>
      <c r="G29" s="9"/>
      <c r="H29" s="25">
        <v>1</v>
      </c>
      <c r="I29" s="5"/>
      <c r="J29" s="5"/>
      <c r="K29" s="5"/>
      <c r="L29" s="5"/>
      <c r="M29" s="5">
        <v>2</v>
      </c>
      <c r="N29" s="5"/>
      <c r="O29" s="5"/>
      <c r="P29" s="5"/>
      <c r="Q29" s="5"/>
      <c r="R29" s="5">
        <v>3</v>
      </c>
      <c r="S29" s="5"/>
      <c r="T29" s="5"/>
      <c r="U29" s="5"/>
      <c r="V29" s="5"/>
      <c r="W29" s="22">
        <f t="shared" si="1"/>
        <v>-3.113</v>
      </c>
      <c r="X29" s="21">
        <f t="shared" si="2"/>
        <v>-0.28955999999999998</v>
      </c>
      <c r="Y29" s="21">
        <f t="shared" si="3"/>
        <v>-0.28214</v>
      </c>
      <c r="Z29" s="11">
        <f t="shared" si="4"/>
        <v>-1</v>
      </c>
      <c r="AA29" s="22">
        <f t="shared" si="9"/>
        <v>-3.1150000000000002</v>
      </c>
      <c r="AB29" s="21">
        <f t="shared" si="10"/>
        <v>-0.29093000000000002</v>
      </c>
      <c r="AC29" s="21">
        <f t="shared" si="11"/>
        <v>-0.28061999999999998</v>
      </c>
      <c r="AD29" s="11">
        <f t="shared" si="12"/>
        <v>-1</v>
      </c>
      <c r="AE29" s="22">
        <f t="shared" si="5"/>
        <v>-3.137</v>
      </c>
      <c r="AF29" s="21">
        <f t="shared" si="6"/>
        <v>-0.28949000000000003</v>
      </c>
      <c r="AG29" s="21">
        <f t="shared" si="7"/>
        <v>-0.27939999999999998</v>
      </c>
      <c r="AH29" s="11">
        <f t="shared" si="8"/>
        <v>-1</v>
      </c>
      <c r="AI29">
        <v>2.5000000000000001E-2</v>
      </c>
      <c r="AJ29">
        <v>-2.5000000000000001E-2</v>
      </c>
      <c r="AK29">
        <v>1.5E-3</v>
      </c>
      <c r="AL29">
        <v>-1.5E-3</v>
      </c>
      <c r="AM29">
        <v>1.5E-3</v>
      </c>
      <c r="AN29">
        <v>-1.5E-3</v>
      </c>
      <c r="AO29" s="16">
        <v>2.5000000000000001E-2</v>
      </c>
      <c r="AP29" s="16">
        <v>-2.5000000000000001E-2</v>
      </c>
      <c r="AQ29">
        <v>1.4999999999999999E-2</v>
      </c>
      <c r="AR29">
        <v>-1.4999999999999999E-2</v>
      </c>
      <c r="AS29">
        <v>1E-3</v>
      </c>
      <c r="AT29">
        <v>-1E-3</v>
      </c>
      <c r="AU29">
        <v>1E-3</v>
      </c>
      <c r="AV29">
        <v>-1E-3</v>
      </c>
      <c r="AW29" s="16">
        <v>1.4999999999999999E-2</v>
      </c>
      <c r="AX29" s="16">
        <v>-1.4999999999999999E-2</v>
      </c>
    </row>
    <row r="30" spans="1:279" customFormat="1">
      <c r="A30" s="2">
        <v>25</v>
      </c>
      <c r="B30" s="2">
        <v>3.1230000000000002</v>
      </c>
      <c r="C30" s="2">
        <v>0.28216999999999998</v>
      </c>
      <c r="D30" s="2">
        <v>0.26518000000000003</v>
      </c>
      <c r="E30" s="2">
        <v>27.98</v>
      </c>
      <c r="F30" s="17" t="str">
        <f t="shared" si="0"/>
        <v/>
      </c>
      <c r="G30" s="9"/>
      <c r="H30" s="25">
        <v>1</v>
      </c>
      <c r="I30" s="5"/>
      <c r="J30" s="5"/>
      <c r="K30" s="5"/>
      <c r="L30" s="5"/>
      <c r="M30" s="5">
        <v>2</v>
      </c>
      <c r="N30" s="5"/>
      <c r="O30" s="5"/>
      <c r="P30" s="5"/>
      <c r="Q30" s="5"/>
      <c r="R30" s="5">
        <v>3</v>
      </c>
      <c r="S30" s="5"/>
      <c r="T30" s="5"/>
      <c r="U30" s="5"/>
      <c r="V30" s="5"/>
      <c r="W30" s="22">
        <f t="shared" si="1"/>
        <v>-3.113</v>
      </c>
      <c r="X30" s="21">
        <f t="shared" si="2"/>
        <v>-0.28955999999999998</v>
      </c>
      <c r="Y30" s="21">
        <f t="shared" si="3"/>
        <v>-0.28214</v>
      </c>
      <c r="Z30" s="11">
        <f t="shared" si="4"/>
        <v>-1</v>
      </c>
      <c r="AA30" s="22">
        <f t="shared" si="9"/>
        <v>-3.1150000000000002</v>
      </c>
      <c r="AB30" s="21">
        <f t="shared" si="10"/>
        <v>-0.29093000000000002</v>
      </c>
      <c r="AC30" s="21">
        <f t="shared" si="11"/>
        <v>-0.28061999999999998</v>
      </c>
      <c r="AD30" s="11">
        <f t="shared" si="12"/>
        <v>-1</v>
      </c>
      <c r="AE30" s="22">
        <f t="shared" si="5"/>
        <v>-3.137</v>
      </c>
      <c r="AF30" s="21">
        <f t="shared" si="6"/>
        <v>-0.28949000000000003</v>
      </c>
      <c r="AG30" s="21">
        <f t="shared" si="7"/>
        <v>-0.27939999999999998</v>
      </c>
      <c r="AH30" s="11">
        <f t="shared" si="8"/>
        <v>-1</v>
      </c>
      <c r="AI30">
        <v>2.5000000000000001E-2</v>
      </c>
      <c r="AJ30">
        <v>-2.5000000000000001E-2</v>
      </c>
      <c r="AK30">
        <v>1.5E-3</v>
      </c>
      <c r="AL30">
        <v>-1.5E-3</v>
      </c>
      <c r="AM30">
        <v>1.5E-3</v>
      </c>
      <c r="AN30">
        <v>-1.5E-3</v>
      </c>
      <c r="AO30" s="16">
        <v>2.5000000000000001E-2</v>
      </c>
      <c r="AP30" s="16">
        <v>-2.5000000000000001E-2</v>
      </c>
      <c r="AQ30">
        <v>1.4999999999999999E-2</v>
      </c>
      <c r="AR30">
        <v>-1.4999999999999999E-2</v>
      </c>
      <c r="AS30">
        <v>1E-3</v>
      </c>
      <c r="AT30">
        <v>-1E-3</v>
      </c>
      <c r="AU30">
        <v>1E-3</v>
      </c>
      <c r="AV30">
        <v>-1E-3</v>
      </c>
      <c r="AW30" s="16">
        <v>1.4999999999999999E-2</v>
      </c>
      <c r="AX30" s="16">
        <v>-1.4999999999999999E-2</v>
      </c>
    </row>
    <row r="31" spans="1:279" customFormat="1">
      <c r="A31" s="2">
        <v>26</v>
      </c>
      <c r="B31" s="2">
        <v>3.11</v>
      </c>
      <c r="C31" s="2">
        <v>0.28345999999999999</v>
      </c>
      <c r="D31" s="2">
        <v>0.26833000000000001</v>
      </c>
      <c r="E31" s="2">
        <v>27.89</v>
      </c>
      <c r="F31" s="17" t="str">
        <f t="shared" si="0"/>
        <v/>
      </c>
      <c r="G31" s="9"/>
      <c r="H31" s="25">
        <v>1</v>
      </c>
      <c r="I31" s="5"/>
      <c r="J31" s="5"/>
      <c r="K31" s="5"/>
      <c r="L31" s="5"/>
      <c r="M31" s="5">
        <v>2</v>
      </c>
      <c r="N31" s="5"/>
      <c r="O31" s="5"/>
      <c r="P31" s="5"/>
      <c r="Q31" s="5"/>
      <c r="R31" s="5">
        <v>3</v>
      </c>
      <c r="S31" s="5"/>
      <c r="T31" s="5"/>
      <c r="U31" s="5"/>
      <c r="V31" s="5"/>
      <c r="W31" s="22">
        <f t="shared" si="1"/>
        <v>-3.113</v>
      </c>
      <c r="X31" s="21">
        <f t="shared" si="2"/>
        <v>-0.28955999999999998</v>
      </c>
      <c r="Y31" s="21">
        <f t="shared" si="3"/>
        <v>-0.28214</v>
      </c>
      <c r="Z31" s="11">
        <f t="shared" si="4"/>
        <v>-1</v>
      </c>
      <c r="AA31" s="22">
        <f t="shared" si="9"/>
        <v>-3.1150000000000002</v>
      </c>
      <c r="AB31" s="21">
        <f t="shared" si="10"/>
        <v>-0.29093000000000002</v>
      </c>
      <c r="AC31" s="21">
        <f t="shared" si="11"/>
        <v>-0.28061999999999998</v>
      </c>
      <c r="AD31" s="11">
        <f t="shared" si="12"/>
        <v>-1</v>
      </c>
      <c r="AE31" s="22">
        <f t="shared" si="5"/>
        <v>-3.137</v>
      </c>
      <c r="AF31" s="21">
        <f t="shared" si="6"/>
        <v>-0.28949000000000003</v>
      </c>
      <c r="AG31" s="21">
        <f t="shared" si="7"/>
        <v>-0.27939999999999998</v>
      </c>
      <c r="AH31" s="11">
        <f t="shared" si="8"/>
        <v>-1</v>
      </c>
      <c r="AI31">
        <v>2.5000000000000001E-2</v>
      </c>
      <c r="AJ31">
        <v>-2.5000000000000001E-2</v>
      </c>
      <c r="AK31">
        <v>1.5E-3</v>
      </c>
      <c r="AL31">
        <v>-1.5E-3</v>
      </c>
      <c r="AM31">
        <v>1.5E-3</v>
      </c>
      <c r="AN31">
        <v>-1.5E-3</v>
      </c>
      <c r="AO31" s="16">
        <v>2.5000000000000001E-2</v>
      </c>
      <c r="AP31" s="16">
        <v>-2.5000000000000001E-2</v>
      </c>
      <c r="AQ31">
        <v>1.4999999999999999E-2</v>
      </c>
      <c r="AR31">
        <v>-1.4999999999999999E-2</v>
      </c>
      <c r="AS31">
        <v>1E-3</v>
      </c>
      <c r="AT31">
        <v>-1E-3</v>
      </c>
      <c r="AU31">
        <v>1E-3</v>
      </c>
      <c r="AV31">
        <v>-1E-3</v>
      </c>
      <c r="AW31" s="16">
        <v>1.4999999999999999E-2</v>
      </c>
      <c r="AX31" s="16">
        <v>-1.4999999999999999E-2</v>
      </c>
    </row>
    <row r="32" spans="1:279" customFormat="1">
      <c r="A32" s="2">
        <v>27</v>
      </c>
      <c r="B32" s="2">
        <v>3.1110000000000002</v>
      </c>
      <c r="C32" s="2">
        <v>0.28401999999999999</v>
      </c>
      <c r="D32" s="2">
        <v>0.27034999999999998</v>
      </c>
      <c r="E32" s="2">
        <v>28.02</v>
      </c>
      <c r="F32" s="17" t="str">
        <f t="shared" si="0"/>
        <v/>
      </c>
      <c r="G32" s="9"/>
      <c r="H32" s="25">
        <v>1</v>
      </c>
      <c r="I32" s="5"/>
      <c r="J32" s="5"/>
      <c r="K32" s="5"/>
      <c r="L32" s="5"/>
      <c r="M32" s="5">
        <v>2</v>
      </c>
      <c r="N32" s="5"/>
      <c r="O32" s="5"/>
      <c r="P32" s="5"/>
      <c r="Q32" s="5"/>
      <c r="R32" s="5">
        <v>3</v>
      </c>
      <c r="S32" s="5"/>
      <c r="T32" s="5"/>
      <c r="U32" s="5"/>
      <c r="V32" s="5"/>
      <c r="W32" s="22">
        <f t="shared" si="1"/>
        <v>-3.113</v>
      </c>
      <c r="X32" s="21">
        <f t="shared" si="2"/>
        <v>-0.28955999999999998</v>
      </c>
      <c r="Y32" s="21">
        <f t="shared" si="3"/>
        <v>-0.28214</v>
      </c>
      <c r="Z32" s="11">
        <f t="shared" si="4"/>
        <v>-1</v>
      </c>
      <c r="AA32" s="22">
        <f t="shared" si="9"/>
        <v>-3.1150000000000002</v>
      </c>
      <c r="AB32" s="21">
        <f t="shared" si="10"/>
        <v>-0.29093000000000002</v>
      </c>
      <c r="AC32" s="21">
        <f t="shared" si="11"/>
        <v>-0.28061999999999998</v>
      </c>
      <c r="AD32" s="11">
        <f t="shared" si="12"/>
        <v>-1</v>
      </c>
      <c r="AE32" s="22">
        <f t="shared" si="5"/>
        <v>-3.137</v>
      </c>
      <c r="AF32" s="21">
        <f t="shared" si="6"/>
        <v>-0.28949000000000003</v>
      </c>
      <c r="AG32" s="21">
        <f t="shared" si="7"/>
        <v>-0.27939999999999998</v>
      </c>
      <c r="AH32" s="11">
        <f t="shared" si="8"/>
        <v>-1</v>
      </c>
      <c r="AI32">
        <v>2.5000000000000001E-2</v>
      </c>
      <c r="AJ32">
        <v>-2.5000000000000001E-2</v>
      </c>
      <c r="AK32">
        <v>1.5E-3</v>
      </c>
      <c r="AL32">
        <v>-1.5E-3</v>
      </c>
      <c r="AM32">
        <v>1.5E-3</v>
      </c>
      <c r="AN32">
        <v>-1.5E-3</v>
      </c>
      <c r="AO32" s="16">
        <v>2.5000000000000001E-2</v>
      </c>
      <c r="AP32" s="16">
        <v>-2.5000000000000001E-2</v>
      </c>
      <c r="AQ32">
        <v>1.4999999999999999E-2</v>
      </c>
      <c r="AR32">
        <v>-1.4999999999999999E-2</v>
      </c>
      <c r="AS32">
        <v>1E-3</v>
      </c>
      <c r="AT32">
        <v>-1E-3</v>
      </c>
      <c r="AU32">
        <v>1E-3</v>
      </c>
      <c r="AV32">
        <v>-1E-3</v>
      </c>
      <c r="AW32" s="16">
        <v>1.4999999999999999E-2</v>
      </c>
      <c r="AX32" s="16">
        <v>-1.4999999999999999E-2</v>
      </c>
    </row>
    <row r="33" spans="1:279" customFormat="1">
      <c r="A33" s="2">
        <v>28</v>
      </c>
      <c r="B33" s="2">
        <v>3.1110000000000002</v>
      </c>
      <c r="C33" s="2">
        <v>0.28258</v>
      </c>
      <c r="D33" s="2">
        <v>0.26682</v>
      </c>
      <c r="E33" s="2">
        <v>28.12</v>
      </c>
      <c r="F33" s="17" t="str">
        <f t="shared" si="0"/>
        <v/>
      </c>
      <c r="G33" s="9"/>
      <c r="H33" s="25">
        <v>1</v>
      </c>
      <c r="I33" s="5"/>
      <c r="J33" s="5"/>
      <c r="K33" s="5"/>
      <c r="L33" s="5"/>
      <c r="M33" s="5">
        <v>2</v>
      </c>
      <c r="N33" s="5"/>
      <c r="O33" s="5"/>
      <c r="P33" s="5"/>
      <c r="Q33" s="5"/>
      <c r="R33" s="5">
        <v>3</v>
      </c>
      <c r="S33" s="5"/>
      <c r="T33" s="5"/>
      <c r="U33" s="5"/>
      <c r="V33" s="5"/>
      <c r="W33" s="22">
        <f t="shared" si="1"/>
        <v>-3.113</v>
      </c>
      <c r="X33" s="21">
        <f t="shared" si="2"/>
        <v>-0.28955999999999998</v>
      </c>
      <c r="Y33" s="21">
        <f t="shared" si="3"/>
        <v>-0.28214</v>
      </c>
      <c r="Z33" s="11">
        <f t="shared" si="4"/>
        <v>-1</v>
      </c>
      <c r="AA33" s="22">
        <f t="shared" si="9"/>
        <v>-3.1150000000000002</v>
      </c>
      <c r="AB33" s="21">
        <f t="shared" si="10"/>
        <v>-0.29093000000000002</v>
      </c>
      <c r="AC33" s="21">
        <f t="shared" si="11"/>
        <v>-0.28061999999999998</v>
      </c>
      <c r="AD33" s="11">
        <f t="shared" si="12"/>
        <v>-1</v>
      </c>
      <c r="AE33" s="22">
        <f t="shared" si="5"/>
        <v>-3.137</v>
      </c>
      <c r="AF33" s="21">
        <f t="shared" si="6"/>
        <v>-0.28949000000000003</v>
      </c>
      <c r="AG33" s="21">
        <f t="shared" si="7"/>
        <v>-0.27939999999999998</v>
      </c>
      <c r="AH33" s="11">
        <f t="shared" si="8"/>
        <v>-1</v>
      </c>
      <c r="AI33">
        <v>2.5000000000000001E-2</v>
      </c>
      <c r="AJ33">
        <v>-2.5000000000000001E-2</v>
      </c>
      <c r="AK33">
        <v>1.5E-3</v>
      </c>
      <c r="AL33">
        <v>-1.5E-3</v>
      </c>
      <c r="AM33">
        <v>1.5E-3</v>
      </c>
      <c r="AN33">
        <v>-1.5E-3</v>
      </c>
      <c r="AO33" s="16">
        <v>2.5000000000000001E-2</v>
      </c>
      <c r="AP33" s="16">
        <v>-2.5000000000000001E-2</v>
      </c>
      <c r="AQ33">
        <v>1.4999999999999999E-2</v>
      </c>
      <c r="AR33">
        <v>-1.4999999999999999E-2</v>
      </c>
      <c r="AS33">
        <v>1E-3</v>
      </c>
      <c r="AT33">
        <v>-1E-3</v>
      </c>
      <c r="AU33">
        <v>1E-3</v>
      </c>
      <c r="AV33">
        <v>-1E-3</v>
      </c>
      <c r="AW33" s="16">
        <v>1.4999999999999999E-2</v>
      </c>
      <c r="AX33" s="16">
        <v>-1.4999999999999999E-2</v>
      </c>
      <c r="JR33">
        <v>12.849506578947368</v>
      </c>
    </row>
    <row r="34" spans="1:279" customFormat="1">
      <c r="A34" s="2">
        <v>29</v>
      </c>
      <c r="B34" s="2">
        <v>3.109</v>
      </c>
      <c r="C34" s="2">
        <v>0.28355000000000002</v>
      </c>
      <c r="D34" s="2">
        <v>0.26949000000000001</v>
      </c>
      <c r="E34" s="2">
        <v>28.1</v>
      </c>
      <c r="F34" s="17" t="str">
        <f t="shared" si="0"/>
        <v/>
      </c>
      <c r="G34" s="9"/>
      <c r="H34" s="25">
        <v>1</v>
      </c>
      <c r="I34" s="5"/>
      <c r="J34" s="5"/>
      <c r="K34" s="5"/>
      <c r="L34" s="5"/>
      <c r="M34" s="5">
        <v>2</v>
      </c>
      <c r="N34" s="5"/>
      <c r="O34" s="5"/>
      <c r="P34" s="5"/>
      <c r="Q34" s="5"/>
      <c r="R34" s="5">
        <v>3</v>
      </c>
      <c r="S34" s="5"/>
      <c r="T34" s="5"/>
      <c r="U34" s="5"/>
      <c r="V34" s="5"/>
      <c r="W34" s="22">
        <f t="shared" si="1"/>
        <v>-3.113</v>
      </c>
      <c r="X34" s="21">
        <f t="shared" si="2"/>
        <v>-0.28955999999999998</v>
      </c>
      <c r="Y34" s="21">
        <f t="shared" si="3"/>
        <v>-0.28214</v>
      </c>
      <c r="Z34" s="11">
        <f t="shared" si="4"/>
        <v>-1</v>
      </c>
      <c r="AA34" s="22">
        <f t="shared" si="9"/>
        <v>-3.1150000000000002</v>
      </c>
      <c r="AB34" s="21">
        <f t="shared" si="10"/>
        <v>-0.29093000000000002</v>
      </c>
      <c r="AC34" s="21">
        <f t="shared" si="11"/>
        <v>-0.28061999999999998</v>
      </c>
      <c r="AD34" s="11">
        <f t="shared" si="12"/>
        <v>-1</v>
      </c>
      <c r="AE34" s="22">
        <f t="shared" si="5"/>
        <v>-3.137</v>
      </c>
      <c r="AF34" s="21">
        <f t="shared" si="6"/>
        <v>-0.28949000000000003</v>
      </c>
      <c r="AG34" s="21">
        <f t="shared" si="7"/>
        <v>-0.27939999999999998</v>
      </c>
      <c r="AH34" s="11">
        <f t="shared" si="8"/>
        <v>-1</v>
      </c>
      <c r="AI34">
        <v>2.5000000000000001E-2</v>
      </c>
      <c r="AJ34">
        <v>-2.5000000000000001E-2</v>
      </c>
      <c r="AK34">
        <v>1.5E-3</v>
      </c>
      <c r="AL34">
        <v>-1.5E-3</v>
      </c>
      <c r="AM34">
        <v>1.5E-3</v>
      </c>
      <c r="AN34">
        <v>-1.5E-3</v>
      </c>
      <c r="AO34" s="16">
        <v>2.5000000000000001E-2</v>
      </c>
      <c r="AP34" s="16">
        <v>-2.5000000000000001E-2</v>
      </c>
      <c r="AQ34">
        <v>1.4999999999999999E-2</v>
      </c>
      <c r="AR34">
        <v>-1.4999999999999999E-2</v>
      </c>
      <c r="AS34">
        <v>1E-3</v>
      </c>
      <c r="AT34">
        <v>-1E-3</v>
      </c>
      <c r="AU34">
        <v>1E-3</v>
      </c>
      <c r="AV34">
        <v>-1E-3</v>
      </c>
      <c r="AW34" s="16">
        <v>1.4999999999999999E-2</v>
      </c>
      <c r="AX34" s="16">
        <v>-1.4999999999999999E-2</v>
      </c>
      <c r="JR34">
        <v>12.849506578947368</v>
      </c>
      <c r="JS34">
        <v>12.849506578947368</v>
      </c>
    </row>
    <row r="35" spans="1:279" customFormat="1">
      <c r="A35" s="2">
        <v>30</v>
      </c>
      <c r="B35" s="2">
        <v>3.1120000000000001</v>
      </c>
      <c r="C35" s="2">
        <v>0.28297</v>
      </c>
      <c r="D35" s="2">
        <v>0.26766000000000001</v>
      </c>
      <c r="E35" s="2">
        <v>28</v>
      </c>
      <c r="F35" s="17" t="str">
        <f t="shared" si="0"/>
        <v/>
      </c>
      <c r="G35" s="9"/>
      <c r="H35" s="25">
        <v>1</v>
      </c>
      <c r="I35" s="5"/>
      <c r="J35" s="5"/>
      <c r="K35" s="5"/>
      <c r="L35" s="5"/>
      <c r="M35" s="5">
        <v>2</v>
      </c>
      <c r="N35" s="5"/>
      <c r="O35" s="5"/>
      <c r="P35" s="5"/>
      <c r="Q35" s="5"/>
      <c r="R35" s="5">
        <v>3</v>
      </c>
      <c r="S35" s="5"/>
      <c r="T35" s="5"/>
      <c r="U35" s="5"/>
      <c r="V35" s="5"/>
      <c r="W35" s="22">
        <f t="shared" si="1"/>
        <v>-3.113</v>
      </c>
      <c r="X35" s="21">
        <f t="shared" si="2"/>
        <v>-0.28955999999999998</v>
      </c>
      <c r="Y35" s="21">
        <f t="shared" si="3"/>
        <v>-0.28214</v>
      </c>
      <c r="Z35" s="11">
        <f t="shared" si="4"/>
        <v>-1</v>
      </c>
      <c r="AA35" s="22">
        <f t="shared" si="9"/>
        <v>-3.1150000000000002</v>
      </c>
      <c r="AB35" s="21">
        <f t="shared" si="10"/>
        <v>-0.29093000000000002</v>
      </c>
      <c r="AC35" s="21">
        <f t="shared" si="11"/>
        <v>-0.28061999999999998</v>
      </c>
      <c r="AD35" s="11">
        <f t="shared" si="12"/>
        <v>-1</v>
      </c>
      <c r="AE35" s="22">
        <f t="shared" si="5"/>
        <v>-3.137</v>
      </c>
      <c r="AF35" s="21">
        <f t="shared" si="6"/>
        <v>-0.28949000000000003</v>
      </c>
      <c r="AG35" s="21">
        <f t="shared" si="7"/>
        <v>-0.27939999999999998</v>
      </c>
      <c r="AH35" s="11">
        <f t="shared" si="8"/>
        <v>-1</v>
      </c>
      <c r="AI35">
        <v>2.5000000000000001E-2</v>
      </c>
      <c r="AJ35">
        <v>-2.5000000000000001E-2</v>
      </c>
      <c r="AK35">
        <v>1.5E-3</v>
      </c>
      <c r="AL35">
        <v>-1.5E-3</v>
      </c>
      <c r="AM35">
        <v>1.5E-3</v>
      </c>
      <c r="AN35">
        <v>-1.5E-3</v>
      </c>
      <c r="AO35" s="16">
        <v>2.5000000000000001E-2</v>
      </c>
      <c r="AP35" s="16">
        <v>-2.5000000000000001E-2</v>
      </c>
      <c r="AQ35">
        <v>1.4999999999999999E-2</v>
      </c>
      <c r="AR35">
        <v>-1.4999999999999999E-2</v>
      </c>
      <c r="AS35">
        <v>1E-3</v>
      </c>
      <c r="AT35">
        <v>-1E-3</v>
      </c>
      <c r="AU35">
        <v>1E-3</v>
      </c>
      <c r="AV35">
        <v>-1E-3</v>
      </c>
      <c r="AW35" s="16">
        <v>1.4999999999999999E-2</v>
      </c>
      <c r="AX35" s="16">
        <v>-1.4999999999999999E-2</v>
      </c>
    </row>
    <row r="36" spans="1:279" customFormat="1">
      <c r="F36" s="17" t="str">
        <f t="shared" si="0"/>
        <v/>
      </c>
      <c r="G36" s="9"/>
      <c r="H36" s="25">
        <v>1</v>
      </c>
      <c r="I36" s="5"/>
      <c r="J36" s="5"/>
      <c r="K36" s="5"/>
      <c r="L36" s="5"/>
      <c r="M36" s="5">
        <v>2</v>
      </c>
      <c r="N36" s="5"/>
      <c r="O36" s="5"/>
      <c r="P36" s="5"/>
      <c r="Q36" s="5"/>
      <c r="R36" s="5">
        <v>3</v>
      </c>
      <c r="S36" s="5"/>
      <c r="T36" s="5"/>
      <c r="U36" s="5"/>
      <c r="V36" s="5"/>
      <c r="W36" s="22">
        <f t="shared" si="1"/>
        <v>-3.113</v>
      </c>
      <c r="X36" s="21">
        <f t="shared" si="2"/>
        <v>-0.28955999999999998</v>
      </c>
      <c r="Y36" s="21">
        <f t="shared" si="3"/>
        <v>-0.28214</v>
      </c>
      <c r="Z36" s="11">
        <f t="shared" si="4"/>
        <v>-1</v>
      </c>
      <c r="AA36" s="22">
        <f t="shared" si="9"/>
        <v>-3.1150000000000002</v>
      </c>
      <c r="AB36" s="21">
        <f t="shared" si="10"/>
        <v>-0.29093000000000002</v>
      </c>
      <c r="AC36" s="21">
        <f t="shared" si="11"/>
        <v>-0.28061999999999998</v>
      </c>
      <c r="AD36" s="11">
        <f t="shared" si="12"/>
        <v>-1</v>
      </c>
      <c r="AE36" s="22">
        <f t="shared" si="5"/>
        <v>-3.137</v>
      </c>
      <c r="AF36" s="21">
        <f t="shared" si="6"/>
        <v>-0.28949000000000003</v>
      </c>
      <c r="AG36" s="21">
        <f t="shared" si="7"/>
        <v>-0.27939999999999998</v>
      </c>
      <c r="AH36" s="11">
        <f t="shared" si="8"/>
        <v>-1</v>
      </c>
      <c r="AI36">
        <v>2.5000000000000001E-2</v>
      </c>
      <c r="AJ36">
        <v>-2.5000000000000001E-2</v>
      </c>
      <c r="AK36">
        <v>1.5E-3</v>
      </c>
      <c r="AL36">
        <v>-1.5E-3</v>
      </c>
      <c r="AM36">
        <v>1.5E-3</v>
      </c>
      <c r="AN36">
        <v>-1.5E-3</v>
      </c>
      <c r="AO36" s="16">
        <v>2.5000000000000001E-2</v>
      </c>
      <c r="AP36" s="16">
        <v>-2.5000000000000001E-2</v>
      </c>
      <c r="AQ36">
        <v>1.4999999999999999E-2</v>
      </c>
      <c r="AR36">
        <v>-1.4999999999999999E-2</v>
      </c>
      <c r="AS36">
        <v>1E-3</v>
      </c>
      <c r="AT36">
        <v>-1E-3</v>
      </c>
      <c r="AU36">
        <v>1E-3</v>
      </c>
      <c r="AV36">
        <v>-1E-3</v>
      </c>
      <c r="AW36" s="16">
        <v>1.4999999999999999E-2</v>
      </c>
      <c r="AX36" s="16">
        <v>-1.4999999999999999E-2</v>
      </c>
    </row>
    <row r="37" spans="1:279" customFormat="1">
      <c r="F37" s="17" t="str">
        <f t="shared" si="0"/>
        <v/>
      </c>
      <c r="G37" s="9"/>
      <c r="H37" s="25">
        <v>1</v>
      </c>
      <c r="I37" s="5"/>
      <c r="J37" s="5"/>
      <c r="K37" s="5"/>
      <c r="L37" s="5"/>
      <c r="M37" s="5">
        <v>2</v>
      </c>
      <c r="N37" s="5"/>
      <c r="O37" s="5"/>
      <c r="P37" s="5"/>
      <c r="Q37" s="5"/>
      <c r="R37" s="5">
        <v>3</v>
      </c>
      <c r="S37" s="5"/>
      <c r="T37" s="5"/>
      <c r="U37" s="5"/>
      <c r="V37" s="5"/>
      <c r="W37" s="22">
        <f t="shared" si="1"/>
        <v>-3.113</v>
      </c>
      <c r="X37" s="21">
        <f t="shared" si="2"/>
        <v>-0.28955999999999998</v>
      </c>
      <c r="Y37" s="21">
        <f t="shared" si="3"/>
        <v>-0.28214</v>
      </c>
      <c r="Z37" s="11">
        <f t="shared" si="4"/>
        <v>-1</v>
      </c>
      <c r="AA37" s="22">
        <f t="shared" si="9"/>
        <v>-3.1150000000000002</v>
      </c>
      <c r="AB37" s="21">
        <f t="shared" si="10"/>
        <v>-0.29093000000000002</v>
      </c>
      <c r="AC37" s="21">
        <f t="shared" si="11"/>
        <v>-0.28061999999999998</v>
      </c>
      <c r="AD37" s="11">
        <f t="shared" si="12"/>
        <v>-1</v>
      </c>
      <c r="AE37" s="22">
        <f t="shared" si="5"/>
        <v>-3.137</v>
      </c>
      <c r="AF37" s="21">
        <f t="shared" si="6"/>
        <v>-0.28949000000000003</v>
      </c>
      <c r="AG37" s="21">
        <f t="shared" si="7"/>
        <v>-0.27939999999999998</v>
      </c>
      <c r="AH37" s="11">
        <f t="shared" si="8"/>
        <v>-1</v>
      </c>
      <c r="AI37">
        <v>2.5000000000000001E-2</v>
      </c>
      <c r="AJ37">
        <v>-2.5000000000000001E-2</v>
      </c>
      <c r="AK37">
        <v>1.5E-3</v>
      </c>
      <c r="AL37">
        <v>-1.5E-3</v>
      </c>
      <c r="AM37">
        <v>1.5E-3</v>
      </c>
      <c r="AN37">
        <v>-1.5E-3</v>
      </c>
      <c r="AO37" s="16">
        <v>2.5000000000000001E-2</v>
      </c>
      <c r="AP37" s="16">
        <v>-2.5000000000000001E-2</v>
      </c>
      <c r="AQ37">
        <v>1.4999999999999999E-2</v>
      </c>
      <c r="AR37">
        <v>-1.4999999999999999E-2</v>
      </c>
      <c r="AS37">
        <v>1E-3</v>
      </c>
      <c r="AT37">
        <v>-1E-3</v>
      </c>
      <c r="AU37">
        <v>1E-3</v>
      </c>
      <c r="AV37">
        <v>-1E-3</v>
      </c>
      <c r="AW37" s="16">
        <v>1.4999999999999999E-2</v>
      </c>
      <c r="AX37" s="16">
        <v>-1.4999999999999999E-2</v>
      </c>
    </row>
    <row r="38" spans="1:279" customFormat="1">
      <c r="F38" s="17" t="str">
        <f t="shared" si="0"/>
        <v/>
      </c>
      <c r="G38" s="9"/>
      <c r="H38" s="25">
        <v>1</v>
      </c>
      <c r="I38" s="5"/>
      <c r="J38" s="5"/>
      <c r="K38" s="5"/>
      <c r="L38" s="5"/>
      <c r="M38" s="5">
        <v>2</v>
      </c>
      <c r="N38" s="5"/>
      <c r="O38" s="5"/>
      <c r="P38" s="5"/>
      <c r="Q38" s="5"/>
      <c r="R38" s="5">
        <v>3</v>
      </c>
      <c r="S38" s="5"/>
      <c r="T38" s="5"/>
      <c r="U38" s="5"/>
      <c r="V38" s="5"/>
      <c r="W38" s="22">
        <f t="shared" si="1"/>
        <v>-3.113</v>
      </c>
      <c r="X38" s="21">
        <f t="shared" si="2"/>
        <v>-0.28955999999999998</v>
      </c>
      <c r="Y38" s="21">
        <f t="shared" si="3"/>
        <v>-0.28214</v>
      </c>
      <c r="Z38" s="11">
        <f t="shared" si="4"/>
        <v>-1</v>
      </c>
      <c r="AA38" s="22">
        <f t="shared" si="9"/>
        <v>-3.1150000000000002</v>
      </c>
      <c r="AB38" s="21">
        <f t="shared" si="10"/>
        <v>-0.29093000000000002</v>
      </c>
      <c r="AC38" s="21">
        <f t="shared" si="11"/>
        <v>-0.28061999999999998</v>
      </c>
      <c r="AD38" s="11">
        <f t="shared" si="12"/>
        <v>-1</v>
      </c>
      <c r="AE38" s="22">
        <f t="shared" si="5"/>
        <v>-3.137</v>
      </c>
      <c r="AF38" s="21">
        <f t="shared" si="6"/>
        <v>-0.28949000000000003</v>
      </c>
      <c r="AG38" s="21">
        <f t="shared" si="7"/>
        <v>-0.27939999999999998</v>
      </c>
      <c r="AH38" s="11">
        <f t="shared" si="8"/>
        <v>-1</v>
      </c>
      <c r="AI38">
        <v>2.5000000000000001E-2</v>
      </c>
      <c r="AJ38">
        <v>-2.5000000000000001E-2</v>
      </c>
      <c r="AK38">
        <v>1.5E-3</v>
      </c>
      <c r="AL38">
        <v>-1.5E-3</v>
      </c>
      <c r="AM38">
        <v>1.5E-3</v>
      </c>
      <c r="AN38">
        <v>-1.5E-3</v>
      </c>
      <c r="AO38" s="16">
        <v>2.5000000000000001E-2</v>
      </c>
      <c r="AP38" s="16">
        <v>-2.5000000000000001E-2</v>
      </c>
      <c r="AQ38">
        <v>1.4999999999999999E-2</v>
      </c>
      <c r="AR38">
        <v>-1.4999999999999999E-2</v>
      </c>
      <c r="AS38">
        <v>1E-3</v>
      </c>
      <c r="AT38">
        <v>-1E-3</v>
      </c>
      <c r="AU38">
        <v>1E-3</v>
      </c>
      <c r="AV38">
        <v>-1E-3</v>
      </c>
      <c r="AW38" s="16">
        <v>1.4999999999999999E-2</v>
      </c>
      <c r="AX38" s="16">
        <v>-1.4999999999999999E-2</v>
      </c>
    </row>
    <row r="39" spans="1:279" customFormat="1">
      <c r="F39" s="17" t="str">
        <f t="shared" si="0"/>
        <v/>
      </c>
      <c r="G39" s="9"/>
      <c r="H39" s="25">
        <v>1</v>
      </c>
      <c r="I39" s="5"/>
      <c r="J39" s="5"/>
      <c r="K39" s="5"/>
      <c r="L39" s="5"/>
      <c r="M39" s="5">
        <v>2</v>
      </c>
      <c r="N39" s="5"/>
      <c r="O39" s="5"/>
      <c r="P39" s="5"/>
      <c r="Q39" s="5"/>
      <c r="R39" s="5">
        <v>3</v>
      </c>
      <c r="S39" s="5"/>
      <c r="T39" s="5"/>
      <c r="U39" s="5"/>
      <c r="V39" s="5"/>
      <c r="W39" s="22">
        <f t="shared" si="1"/>
        <v>-3.113</v>
      </c>
      <c r="X39" s="21">
        <f t="shared" si="2"/>
        <v>-0.28955999999999998</v>
      </c>
      <c r="Y39" s="21">
        <f t="shared" si="3"/>
        <v>-0.28214</v>
      </c>
      <c r="Z39" s="11">
        <f t="shared" si="4"/>
        <v>-1</v>
      </c>
      <c r="AA39" s="22">
        <f t="shared" si="9"/>
        <v>-3.1150000000000002</v>
      </c>
      <c r="AB39" s="21">
        <f t="shared" si="10"/>
        <v>-0.29093000000000002</v>
      </c>
      <c r="AC39" s="21">
        <f t="shared" si="11"/>
        <v>-0.28061999999999998</v>
      </c>
      <c r="AD39" s="11">
        <f t="shared" si="12"/>
        <v>-1</v>
      </c>
      <c r="AE39" s="22">
        <f t="shared" si="5"/>
        <v>-3.137</v>
      </c>
      <c r="AF39" s="21">
        <f t="shared" si="6"/>
        <v>-0.28949000000000003</v>
      </c>
      <c r="AG39" s="21">
        <f t="shared" si="7"/>
        <v>-0.27939999999999998</v>
      </c>
      <c r="AH39" s="11">
        <f t="shared" si="8"/>
        <v>-1</v>
      </c>
      <c r="AI39">
        <v>2.5000000000000001E-2</v>
      </c>
      <c r="AJ39">
        <v>-2.5000000000000001E-2</v>
      </c>
      <c r="AK39">
        <v>1.5E-3</v>
      </c>
      <c r="AL39">
        <v>-1.5E-3</v>
      </c>
      <c r="AM39">
        <v>1.5E-3</v>
      </c>
      <c r="AN39">
        <v>-1.5E-3</v>
      </c>
      <c r="AO39" s="16">
        <v>2.5000000000000001E-2</v>
      </c>
      <c r="AP39" s="16">
        <v>-2.5000000000000001E-2</v>
      </c>
      <c r="AQ39">
        <v>1.4999999999999999E-2</v>
      </c>
      <c r="AR39">
        <v>-1.4999999999999999E-2</v>
      </c>
      <c r="AS39">
        <v>1E-3</v>
      </c>
      <c r="AT39">
        <v>-1E-3</v>
      </c>
      <c r="AU39">
        <v>1E-3</v>
      </c>
      <c r="AV39">
        <v>-1E-3</v>
      </c>
      <c r="AW39" s="16">
        <v>1.4999999999999999E-2</v>
      </c>
      <c r="AX39" s="16">
        <v>-1.4999999999999999E-2</v>
      </c>
    </row>
    <row r="40" spans="1:279" customFormat="1">
      <c r="F40" s="17" t="str">
        <f t="shared" si="0"/>
        <v/>
      </c>
      <c r="G40" s="9"/>
      <c r="H40" s="25">
        <v>1</v>
      </c>
      <c r="I40" s="5"/>
      <c r="J40" s="5"/>
      <c r="K40" s="5"/>
      <c r="L40" s="5"/>
      <c r="M40" s="5">
        <v>2</v>
      </c>
      <c r="N40" s="5"/>
      <c r="O40" s="5"/>
      <c r="P40" s="5"/>
      <c r="Q40" s="5"/>
      <c r="R40" s="5">
        <v>3</v>
      </c>
      <c r="S40" s="5"/>
      <c r="T40" s="5"/>
      <c r="U40" s="5"/>
      <c r="V40" s="5"/>
      <c r="W40" s="22">
        <f t="shared" si="1"/>
        <v>-3.113</v>
      </c>
      <c r="X40" s="21">
        <f t="shared" si="2"/>
        <v>-0.28955999999999998</v>
      </c>
      <c r="Y40" s="21">
        <f t="shared" si="3"/>
        <v>-0.28214</v>
      </c>
      <c r="Z40" s="11">
        <f t="shared" si="4"/>
        <v>-1</v>
      </c>
      <c r="AA40" s="22">
        <f t="shared" si="9"/>
        <v>-3.1150000000000002</v>
      </c>
      <c r="AB40" s="21">
        <f t="shared" si="10"/>
        <v>-0.29093000000000002</v>
      </c>
      <c r="AC40" s="21">
        <f t="shared" si="11"/>
        <v>-0.28061999999999998</v>
      </c>
      <c r="AD40" s="11">
        <f t="shared" si="12"/>
        <v>-1</v>
      </c>
      <c r="AE40" s="22">
        <f t="shared" si="5"/>
        <v>-3.137</v>
      </c>
      <c r="AF40" s="21">
        <f t="shared" si="6"/>
        <v>-0.28949000000000003</v>
      </c>
      <c r="AG40" s="21">
        <f t="shared" si="7"/>
        <v>-0.27939999999999998</v>
      </c>
      <c r="AH40" s="11">
        <f t="shared" si="8"/>
        <v>-1</v>
      </c>
      <c r="AI40">
        <v>2.5000000000000001E-2</v>
      </c>
      <c r="AJ40">
        <v>-2.5000000000000001E-2</v>
      </c>
      <c r="AK40">
        <v>1.5E-3</v>
      </c>
      <c r="AL40">
        <v>-1.5E-3</v>
      </c>
      <c r="AM40">
        <v>1.5E-3</v>
      </c>
      <c r="AN40">
        <v>-1.5E-3</v>
      </c>
      <c r="AO40" s="16">
        <v>2.5000000000000001E-2</v>
      </c>
      <c r="AP40" s="16">
        <v>-2.5000000000000001E-2</v>
      </c>
      <c r="AQ40">
        <v>1.4999999999999999E-2</v>
      </c>
      <c r="AR40">
        <v>-1.4999999999999999E-2</v>
      </c>
      <c r="AS40">
        <v>1E-3</v>
      </c>
      <c r="AT40">
        <v>-1E-3</v>
      </c>
      <c r="AU40">
        <v>1E-3</v>
      </c>
      <c r="AV40">
        <v>-1E-3</v>
      </c>
      <c r="AW40" s="16">
        <v>1.4999999999999999E-2</v>
      </c>
      <c r="AX40" s="16">
        <v>-1.4999999999999999E-2</v>
      </c>
    </row>
    <row r="41" spans="1:279" customFormat="1">
      <c r="F41" s="17" t="str">
        <f t="shared" si="0"/>
        <v/>
      </c>
      <c r="G41" s="9"/>
      <c r="H41" s="25">
        <v>1</v>
      </c>
      <c r="I41" s="5"/>
      <c r="J41" s="5"/>
      <c r="K41" s="5"/>
      <c r="L41" s="5"/>
      <c r="M41" s="5">
        <v>2</v>
      </c>
      <c r="N41" s="5"/>
      <c r="O41" s="5"/>
      <c r="P41" s="5"/>
      <c r="Q41" s="5"/>
      <c r="R41" s="5">
        <v>3</v>
      </c>
      <c r="S41" s="5"/>
      <c r="T41" s="5"/>
      <c r="U41" s="5"/>
      <c r="V41" s="5"/>
      <c r="W41" s="22">
        <f t="shared" si="1"/>
        <v>-3.113</v>
      </c>
      <c r="X41" s="21">
        <f t="shared" si="2"/>
        <v>-0.28955999999999998</v>
      </c>
      <c r="Y41" s="21">
        <f t="shared" si="3"/>
        <v>-0.28214</v>
      </c>
      <c r="Z41" s="11">
        <f t="shared" si="4"/>
        <v>-1</v>
      </c>
      <c r="AA41" s="22">
        <f t="shared" si="9"/>
        <v>-3.1150000000000002</v>
      </c>
      <c r="AB41" s="21">
        <f t="shared" si="10"/>
        <v>-0.29093000000000002</v>
      </c>
      <c r="AC41" s="21">
        <f t="shared" si="11"/>
        <v>-0.28061999999999998</v>
      </c>
      <c r="AD41" s="11">
        <f t="shared" si="12"/>
        <v>-1</v>
      </c>
      <c r="AE41" s="22">
        <f t="shared" si="5"/>
        <v>-3.137</v>
      </c>
      <c r="AF41" s="21">
        <f t="shared" si="6"/>
        <v>-0.28949000000000003</v>
      </c>
      <c r="AG41" s="21">
        <f t="shared" si="7"/>
        <v>-0.27939999999999998</v>
      </c>
      <c r="AH41" s="11">
        <f t="shared" si="8"/>
        <v>-1</v>
      </c>
      <c r="AI41">
        <v>2.5000000000000001E-2</v>
      </c>
      <c r="AJ41">
        <v>-2.5000000000000001E-2</v>
      </c>
      <c r="AK41">
        <v>1.5E-3</v>
      </c>
      <c r="AL41">
        <v>-1.5E-3</v>
      </c>
      <c r="AM41">
        <v>1.5E-3</v>
      </c>
      <c r="AN41">
        <v>-1.5E-3</v>
      </c>
      <c r="AO41" s="16">
        <v>2.5000000000000001E-2</v>
      </c>
      <c r="AP41" s="16">
        <v>-2.5000000000000001E-2</v>
      </c>
      <c r="AQ41">
        <v>1.4999999999999999E-2</v>
      </c>
      <c r="AR41">
        <v>-1.4999999999999999E-2</v>
      </c>
      <c r="AS41">
        <v>1E-3</v>
      </c>
      <c r="AT41">
        <v>-1E-3</v>
      </c>
      <c r="AU41">
        <v>1E-3</v>
      </c>
      <c r="AV41">
        <v>-1E-3</v>
      </c>
      <c r="AW41" s="16">
        <v>1.4999999999999999E-2</v>
      </c>
      <c r="AX41" s="16">
        <v>-1.4999999999999999E-2</v>
      </c>
    </row>
    <row r="42" spans="1:279" customFormat="1">
      <c r="F42" s="17" t="str">
        <f t="shared" si="0"/>
        <v/>
      </c>
      <c r="G42" s="9"/>
      <c r="H42" s="2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22" t="e">
        <f t="shared" si="1"/>
        <v>#N/A</v>
      </c>
      <c r="X42" s="21" t="e">
        <f t="shared" si="2"/>
        <v>#N/A</v>
      </c>
      <c r="Y42" s="21" t="e">
        <f t="shared" si="3"/>
        <v>#N/A</v>
      </c>
      <c r="Z42" s="11" t="e">
        <f t="shared" si="4"/>
        <v>#N/A</v>
      </c>
      <c r="AA42" s="22" t="e">
        <f t="shared" si="9"/>
        <v>#N/A</v>
      </c>
      <c r="AB42" s="21" t="e">
        <f t="shared" si="10"/>
        <v>#N/A</v>
      </c>
      <c r="AC42" s="21" t="e">
        <f t="shared" si="11"/>
        <v>#N/A</v>
      </c>
      <c r="AD42" s="11" t="e">
        <f t="shared" si="12"/>
        <v>#N/A</v>
      </c>
      <c r="AE42" s="22" t="e">
        <f t="shared" si="5"/>
        <v>#N/A</v>
      </c>
      <c r="AF42" s="21" t="e">
        <f t="shared" si="6"/>
        <v>#N/A</v>
      </c>
      <c r="AG42" s="21" t="e">
        <f t="shared" si="7"/>
        <v>#N/A</v>
      </c>
      <c r="AH42" s="11" t="e">
        <f t="shared" si="8"/>
        <v>#N/A</v>
      </c>
      <c r="AI42">
        <v>2.5000000000000001E-2</v>
      </c>
      <c r="AJ42">
        <v>-2.5000000000000001E-2</v>
      </c>
      <c r="AK42">
        <v>1.5E-3</v>
      </c>
      <c r="AL42">
        <v>-1.5E-3</v>
      </c>
      <c r="AM42">
        <v>1.5E-3</v>
      </c>
      <c r="AN42">
        <v>-1.5E-3</v>
      </c>
      <c r="AO42" s="16">
        <v>2.5000000000000001E-2</v>
      </c>
      <c r="AP42" s="16">
        <v>-2.5000000000000001E-2</v>
      </c>
      <c r="AQ42">
        <v>1.4999999999999999E-2</v>
      </c>
      <c r="AR42">
        <v>-1.4999999999999999E-2</v>
      </c>
      <c r="AS42">
        <v>1E-3</v>
      </c>
      <c r="AT42">
        <v>-1E-3</v>
      </c>
      <c r="AU42">
        <v>1E-3</v>
      </c>
      <c r="AV42">
        <v>-1E-3</v>
      </c>
      <c r="AW42" s="16">
        <v>1.4999999999999999E-2</v>
      </c>
      <c r="AX42" s="16">
        <v>-1.4999999999999999E-2</v>
      </c>
    </row>
    <row r="43" spans="1:279" customFormat="1">
      <c r="F43" s="17" t="str">
        <f t="shared" si="0"/>
        <v/>
      </c>
      <c r="G43" s="9"/>
      <c r="H43" s="2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22" t="e">
        <f t="shared" si="1"/>
        <v>#N/A</v>
      </c>
      <c r="X43" s="21" t="e">
        <f t="shared" si="2"/>
        <v>#N/A</v>
      </c>
      <c r="Y43" s="21" t="e">
        <f t="shared" si="3"/>
        <v>#N/A</v>
      </c>
      <c r="Z43" s="11" t="e">
        <f t="shared" si="4"/>
        <v>#N/A</v>
      </c>
      <c r="AA43" s="22" t="e">
        <f t="shared" si="9"/>
        <v>#N/A</v>
      </c>
      <c r="AB43" s="21" t="e">
        <f t="shared" si="10"/>
        <v>#N/A</v>
      </c>
      <c r="AC43" s="21" t="e">
        <f t="shared" si="11"/>
        <v>#N/A</v>
      </c>
      <c r="AD43" s="11" t="e">
        <f t="shared" si="12"/>
        <v>#N/A</v>
      </c>
      <c r="AE43" s="22" t="e">
        <f t="shared" si="5"/>
        <v>#N/A</v>
      </c>
      <c r="AF43" s="21" t="e">
        <f t="shared" si="6"/>
        <v>#N/A</v>
      </c>
      <c r="AG43" s="21" t="e">
        <f t="shared" si="7"/>
        <v>#N/A</v>
      </c>
      <c r="AH43" s="11" t="e">
        <f t="shared" si="8"/>
        <v>#N/A</v>
      </c>
      <c r="AI43">
        <v>2.5000000000000001E-2</v>
      </c>
      <c r="AJ43">
        <v>-2.5000000000000001E-2</v>
      </c>
      <c r="AK43">
        <v>1.5E-3</v>
      </c>
      <c r="AL43">
        <v>-1.5E-3</v>
      </c>
      <c r="AM43">
        <v>1.5E-3</v>
      </c>
      <c r="AN43">
        <v>-1.5E-3</v>
      </c>
      <c r="AO43" s="16">
        <v>2.5000000000000001E-2</v>
      </c>
      <c r="AP43" s="16">
        <v>-2.5000000000000001E-2</v>
      </c>
      <c r="AQ43">
        <v>1.4999999999999999E-2</v>
      </c>
      <c r="AR43">
        <v>-1.4999999999999999E-2</v>
      </c>
      <c r="AS43">
        <v>1E-3</v>
      </c>
      <c r="AT43">
        <v>-1E-3</v>
      </c>
      <c r="AU43">
        <v>1E-3</v>
      </c>
      <c r="AV43">
        <v>-1E-3</v>
      </c>
      <c r="AW43" s="16">
        <v>1.4999999999999999E-2</v>
      </c>
      <c r="AX43" s="16">
        <v>-1.4999999999999999E-2</v>
      </c>
    </row>
    <row r="44" spans="1:279" customFormat="1">
      <c r="F44" s="17" t="str">
        <f t="shared" si="0"/>
        <v/>
      </c>
      <c r="G44" s="9"/>
      <c r="H44" s="2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22" t="e">
        <f t="shared" si="1"/>
        <v>#N/A</v>
      </c>
      <c r="X44" s="21" t="e">
        <f t="shared" si="2"/>
        <v>#N/A</v>
      </c>
      <c r="Y44" s="21" t="e">
        <f t="shared" si="3"/>
        <v>#N/A</v>
      </c>
      <c r="Z44" s="11" t="e">
        <f t="shared" si="4"/>
        <v>#N/A</v>
      </c>
      <c r="AA44" s="22" t="e">
        <f t="shared" si="9"/>
        <v>#N/A</v>
      </c>
      <c r="AB44" s="21" t="e">
        <f t="shared" si="10"/>
        <v>#N/A</v>
      </c>
      <c r="AC44" s="21" t="e">
        <f t="shared" si="11"/>
        <v>#N/A</v>
      </c>
      <c r="AD44" s="11" t="e">
        <f t="shared" si="12"/>
        <v>#N/A</v>
      </c>
      <c r="AE44" s="22" t="e">
        <f t="shared" si="5"/>
        <v>#N/A</v>
      </c>
      <c r="AF44" s="21" t="e">
        <f t="shared" si="6"/>
        <v>#N/A</v>
      </c>
      <c r="AG44" s="21" t="e">
        <f t="shared" si="7"/>
        <v>#N/A</v>
      </c>
      <c r="AH44" s="11" t="e">
        <f t="shared" si="8"/>
        <v>#N/A</v>
      </c>
      <c r="AI44">
        <v>2.5000000000000001E-2</v>
      </c>
      <c r="AJ44">
        <v>-2.5000000000000001E-2</v>
      </c>
      <c r="AK44">
        <v>1.5E-3</v>
      </c>
      <c r="AL44">
        <v>-1.5E-3</v>
      </c>
      <c r="AM44">
        <v>1.5E-3</v>
      </c>
      <c r="AN44">
        <v>-1.5E-3</v>
      </c>
      <c r="AO44" s="16">
        <v>2.5000000000000001E-2</v>
      </c>
      <c r="AP44" s="16">
        <v>-2.5000000000000001E-2</v>
      </c>
      <c r="AQ44">
        <v>1.4999999999999999E-2</v>
      </c>
      <c r="AR44">
        <v>-1.4999999999999999E-2</v>
      </c>
      <c r="AS44">
        <v>1E-3</v>
      </c>
      <c r="AT44">
        <v>-1E-3</v>
      </c>
      <c r="AU44">
        <v>1E-3</v>
      </c>
      <c r="AV44">
        <v>-1E-3</v>
      </c>
      <c r="AW44" s="16">
        <v>1.4999999999999999E-2</v>
      </c>
      <c r="AX44" s="16">
        <v>-1.4999999999999999E-2</v>
      </c>
    </row>
    <row r="45" spans="1:279" customFormat="1">
      <c r="F45" s="17" t="str">
        <f t="shared" si="0"/>
        <v/>
      </c>
      <c r="G45" s="9"/>
      <c r="H45" s="2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22" t="e">
        <f t="shared" si="1"/>
        <v>#N/A</v>
      </c>
      <c r="X45" s="21" t="e">
        <f t="shared" si="2"/>
        <v>#N/A</v>
      </c>
      <c r="Y45" s="21" t="e">
        <f t="shared" si="3"/>
        <v>#N/A</v>
      </c>
      <c r="Z45" s="11" t="e">
        <f t="shared" si="4"/>
        <v>#N/A</v>
      </c>
      <c r="AA45" s="22" t="e">
        <f t="shared" si="9"/>
        <v>#N/A</v>
      </c>
      <c r="AB45" s="21" t="e">
        <f t="shared" si="10"/>
        <v>#N/A</v>
      </c>
      <c r="AC45" s="21" t="e">
        <f t="shared" si="11"/>
        <v>#N/A</v>
      </c>
      <c r="AD45" s="11" t="e">
        <f t="shared" si="12"/>
        <v>#N/A</v>
      </c>
      <c r="AE45" s="22" t="e">
        <f t="shared" si="5"/>
        <v>#N/A</v>
      </c>
      <c r="AF45" s="21" t="e">
        <f t="shared" si="6"/>
        <v>#N/A</v>
      </c>
      <c r="AG45" s="21" t="e">
        <f t="shared" si="7"/>
        <v>#N/A</v>
      </c>
      <c r="AH45" s="11" t="e">
        <f t="shared" si="8"/>
        <v>#N/A</v>
      </c>
      <c r="AI45">
        <v>2.5000000000000001E-2</v>
      </c>
      <c r="AJ45">
        <v>-2.5000000000000001E-2</v>
      </c>
      <c r="AK45">
        <v>1.5E-3</v>
      </c>
      <c r="AL45">
        <v>-1.5E-3</v>
      </c>
      <c r="AM45">
        <v>1.5E-3</v>
      </c>
      <c r="AN45">
        <v>-1.5E-3</v>
      </c>
      <c r="AO45" s="16">
        <v>2.5000000000000001E-2</v>
      </c>
      <c r="AP45" s="16">
        <v>-2.5000000000000001E-2</v>
      </c>
      <c r="AQ45">
        <v>1.4999999999999999E-2</v>
      </c>
      <c r="AR45">
        <v>-1.4999999999999999E-2</v>
      </c>
      <c r="AS45">
        <v>1E-3</v>
      </c>
      <c r="AT45">
        <v>-1E-3</v>
      </c>
      <c r="AU45">
        <v>1E-3</v>
      </c>
      <c r="AV45">
        <v>-1E-3</v>
      </c>
      <c r="AW45" s="16">
        <v>1.4999999999999999E-2</v>
      </c>
      <c r="AX45" s="16">
        <v>-1.4999999999999999E-2</v>
      </c>
    </row>
    <row r="46" spans="1:279" customFormat="1">
      <c r="F46" s="17" t="str">
        <f t="shared" si="0"/>
        <v/>
      </c>
      <c r="G46" s="9"/>
      <c r="H46" s="2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22" t="e">
        <f t="shared" si="1"/>
        <v>#N/A</v>
      </c>
      <c r="X46" s="21" t="e">
        <f t="shared" si="2"/>
        <v>#N/A</v>
      </c>
      <c r="Y46" s="21" t="e">
        <f t="shared" si="3"/>
        <v>#N/A</v>
      </c>
      <c r="Z46" s="11" t="e">
        <f t="shared" si="4"/>
        <v>#N/A</v>
      </c>
      <c r="AA46" s="22" t="e">
        <f t="shared" si="9"/>
        <v>#N/A</v>
      </c>
      <c r="AB46" s="21" t="e">
        <f t="shared" si="10"/>
        <v>#N/A</v>
      </c>
      <c r="AC46" s="21" t="e">
        <f t="shared" si="11"/>
        <v>#N/A</v>
      </c>
      <c r="AD46" s="11" t="e">
        <f t="shared" si="12"/>
        <v>#N/A</v>
      </c>
      <c r="AE46" s="22" t="e">
        <f t="shared" si="5"/>
        <v>#N/A</v>
      </c>
      <c r="AF46" s="21" t="e">
        <f t="shared" si="6"/>
        <v>#N/A</v>
      </c>
      <c r="AG46" s="21" t="e">
        <f t="shared" si="7"/>
        <v>#N/A</v>
      </c>
      <c r="AH46" s="11" t="e">
        <f t="shared" si="8"/>
        <v>#N/A</v>
      </c>
      <c r="AI46">
        <v>2.5000000000000001E-2</v>
      </c>
      <c r="AJ46">
        <v>-2.5000000000000001E-2</v>
      </c>
      <c r="AK46">
        <v>1.5E-3</v>
      </c>
      <c r="AL46">
        <v>-1.5E-3</v>
      </c>
      <c r="AM46">
        <v>1.5E-3</v>
      </c>
      <c r="AN46">
        <v>-1.5E-3</v>
      </c>
      <c r="AO46" s="16">
        <v>2.5000000000000001E-2</v>
      </c>
      <c r="AP46" s="16">
        <v>-2.5000000000000001E-2</v>
      </c>
      <c r="AQ46">
        <v>1.4999999999999999E-2</v>
      </c>
      <c r="AR46">
        <v>-1.4999999999999999E-2</v>
      </c>
      <c r="AS46">
        <v>1E-3</v>
      </c>
      <c r="AT46">
        <v>-1E-3</v>
      </c>
      <c r="AU46">
        <v>1E-3</v>
      </c>
      <c r="AV46">
        <v>-1E-3</v>
      </c>
      <c r="AW46" s="16">
        <v>1.4999999999999999E-2</v>
      </c>
      <c r="AX46" s="16">
        <v>-1.4999999999999999E-2</v>
      </c>
      <c r="JR46">
        <v>12.849506578947368</v>
      </c>
      <c r="JS46">
        <v>25.699013157894736</v>
      </c>
    </row>
    <row r="47" spans="1:279" customFormat="1">
      <c r="F47" s="17" t="str">
        <f t="shared" si="0"/>
        <v/>
      </c>
      <c r="G47" s="9"/>
      <c r="H47" s="2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22" t="e">
        <f t="shared" si="1"/>
        <v>#N/A</v>
      </c>
      <c r="X47" s="21" t="e">
        <f t="shared" si="2"/>
        <v>#N/A</v>
      </c>
      <c r="Y47" s="21" t="e">
        <f t="shared" si="3"/>
        <v>#N/A</v>
      </c>
      <c r="Z47" s="11" t="e">
        <f t="shared" si="4"/>
        <v>#N/A</v>
      </c>
      <c r="AA47" s="22" t="e">
        <f t="shared" si="9"/>
        <v>#N/A</v>
      </c>
      <c r="AB47" s="21" t="e">
        <f t="shared" si="10"/>
        <v>#N/A</v>
      </c>
      <c r="AC47" s="21" t="e">
        <f t="shared" si="11"/>
        <v>#N/A</v>
      </c>
      <c r="AD47" s="11" t="e">
        <f t="shared" si="12"/>
        <v>#N/A</v>
      </c>
      <c r="AE47" s="22" t="e">
        <f t="shared" si="5"/>
        <v>#N/A</v>
      </c>
      <c r="AF47" s="21" t="e">
        <f t="shared" si="6"/>
        <v>#N/A</v>
      </c>
      <c r="AG47" s="21" t="e">
        <f t="shared" si="7"/>
        <v>#N/A</v>
      </c>
      <c r="AH47" s="11" t="e">
        <f t="shared" si="8"/>
        <v>#N/A</v>
      </c>
      <c r="AI47">
        <v>2.5000000000000001E-2</v>
      </c>
      <c r="AJ47">
        <v>-2.5000000000000001E-2</v>
      </c>
      <c r="AK47">
        <v>1.5E-3</v>
      </c>
      <c r="AL47">
        <v>-1.5E-3</v>
      </c>
      <c r="AM47">
        <v>1.5E-3</v>
      </c>
      <c r="AN47">
        <v>-1.5E-3</v>
      </c>
      <c r="AO47" s="16">
        <v>2.5000000000000001E-2</v>
      </c>
      <c r="AP47" s="16">
        <v>-2.5000000000000001E-2</v>
      </c>
      <c r="AQ47">
        <v>1.4999999999999999E-2</v>
      </c>
      <c r="AR47">
        <v>-1.4999999999999999E-2</v>
      </c>
      <c r="AS47">
        <v>1E-3</v>
      </c>
      <c r="AT47">
        <v>-1E-3</v>
      </c>
      <c r="AU47">
        <v>1E-3</v>
      </c>
      <c r="AV47">
        <v>-1E-3</v>
      </c>
      <c r="AW47" s="16">
        <v>1.4999999999999999E-2</v>
      </c>
      <c r="AX47" s="16">
        <v>-1.4999999999999999E-2</v>
      </c>
    </row>
    <row r="48" spans="1:279" customFormat="1">
      <c r="F48" s="17" t="str">
        <f t="shared" si="0"/>
        <v/>
      </c>
      <c r="G48" s="9"/>
      <c r="H48" s="2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22" t="e">
        <f t="shared" si="1"/>
        <v>#N/A</v>
      </c>
      <c r="X48" s="21" t="e">
        <f t="shared" si="2"/>
        <v>#N/A</v>
      </c>
      <c r="Y48" s="21" t="e">
        <f t="shared" si="3"/>
        <v>#N/A</v>
      </c>
      <c r="Z48" s="11" t="e">
        <f t="shared" si="4"/>
        <v>#N/A</v>
      </c>
      <c r="AA48" s="22" t="e">
        <f t="shared" si="9"/>
        <v>#N/A</v>
      </c>
      <c r="AB48" s="21" t="e">
        <f t="shared" si="10"/>
        <v>#N/A</v>
      </c>
      <c r="AC48" s="21" t="e">
        <f t="shared" si="11"/>
        <v>#N/A</v>
      </c>
      <c r="AD48" s="11" t="e">
        <f t="shared" si="12"/>
        <v>#N/A</v>
      </c>
      <c r="AE48" s="22" t="e">
        <f t="shared" si="5"/>
        <v>#N/A</v>
      </c>
      <c r="AF48" s="21" t="e">
        <f t="shared" si="6"/>
        <v>#N/A</v>
      </c>
      <c r="AG48" s="21" t="e">
        <f t="shared" si="7"/>
        <v>#N/A</v>
      </c>
      <c r="AH48" s="11" t="e">
        <f t="shared" si="8"/>
        <v>#N/A</v>
      </c>
      <c r="AI48">
        <v>2.5000000000000001E-2</v>
      </c>
      <c r="AJ48">
        <v>-2.5000000000000001E-2</v>
      </c>
      <c r="AK48">
        <v>1.5E-3</v>
      </c>
      <c r="AL48">
        <v>-1.5E-3</v>
      </c>
      <c r="AM48">
        <v>1.5E-3</v>
      </c>
      <c r="AN48">
        <v>-1.5E-3</v>
      </c>
      <c r="AO48" s="16">
        <v>2.5000000000000001E-2</v>
      </c>
      <c r="AP48" s="16">
        <v>-2.5000000000000001E-2</v>
      </c>
      <c r="AQ48">
        <v>1.4999999999999999E-2</v>
      </c>
      <c r="AR48">
        <v>-1.4999999999999999E-2</v>
      </c>
      <c r="AS48">
        <v>1E-3</v>
      </c>
      <c r="AT48">
        <v>-1E-3</v>
      </c>
      <c r="AU48">
        <v>1E-3</v>
      </c>
      <c r="AV48">
        <v>-1E-3</v>
      </c>
      <c r="AW48" s="16">
        <v>1.4999999999999999E-2</v>
      </c>
      <c r="AX48" s="16">
        <v>-1.4999999999999999E-2</v>
      </c>
      <c r="JQ48">
        <v>12.849506578947368</v>
      </c>
      <c r="JR48">
        <v>12.849506578947368</v>
      </c>
      <c r="JS48">
        <v>12.849506578947368</v>
      </c>
    </row>
    <row r="49" spans="6:279" customFormat="1">
      <c r="F49" s="17" t="str">
        <f t="shared" si="0"/>
        <v/>
      </c>
      <c r="G49" s="9"/>
      <c r="H49" s="2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22" t="e">
        <f t="shared" si="1"/>
        <v>#N/A</v>
      </c>
      <c r="X49" s="21" t="e">
        <f t="shared" si="2"/>
        <v>#N/A</v>
      </c>
      <c r="Y49" s="21" t="e">
        <f t="shared" si="3"/>
        <v>#N/A</v>
      </c>
      <c r="Z49" s="11" t="e">
        <f t="shared" si="4"/>
        <v>#N/A</v>
      </c>
      <c r="AA49" s="22" t="e">
        <f t="shared" si="9"/>
        <v>#N/A</v>
      </c>
      <c r="AB49" s="21" t="e">
        <f t="shared" si="10"/>
        <v>#N/A</v>
      </c>
      <c r="AC49" s="21" t="e">
        <f t="shared" si="11"/>
        <v>#N/A</v>
      </c>
      <c r="AD49" s="11" t="e">
        <f t="shared" si="12"/>
        <v>#N/A</v>
      </c>
      <c r="AE49" s="22" t="e">
        <f t="shared" si="5"/>
        <v>#N/A</v>
      </c>
      <c r="AF49" s="21" t="e">
        <f t="shared" si="6"/>
        <v>#N/A</v>
      </c>
      <c r="AG49" s="21" t="e">
        <f t="shared" si="7"/>
        <v>#N/A</v>
      </c>
      <c r="AH49" s="11" t="e">
        <f t="shared" si="8"/>
        <v>#N/A</v>
      </c>
      <c r="AI49">
        <v>2.5000000000000001E-2</v>
      </c>
      <c r="AJ49">
        <v>-2.5000000000000001E-2</v>
      </c>
      <c r="AK49">
        <v>1.5E-3</v>
      </c>
      <c r="AL49">
        <v>-1.5E-3</v>
      </c>
      <c r="AM49">
        <v>1.5E-3</v>
      </c>
      <c r="AN49">
        <v>-1.5E-3</v>
      </c>
      <c r="AO49" s="16">
        <v>2.5000000000000001E-2</v>
      </c>
      <c r="AP49" s="16">
        <v>-2.5000000000000001E-2</v>
      </c>
      <c r="AQ49">
        <v>1.4999999999999999E-2</v>
      </c>
      <c r="AR49">
        <v>-1.4999999999999999E-2</v>
      </c>
      <c r="AS49">
        <v>1E-3</v>
      </c>
      <c r="AT49">
        <v>-1E-3</v>
      </c>
      <c r="AU49">
        <v>1E-3</v>
      </c>
      <c r="AV49">
        <v>-1E-3</v>
      </c>
      <c r="AW49" s="16">
        <v>1.4999999999999999E-2</v>
      </c>
      <c r="AX49" s="16">
        <v>-1.4999999999999999E-2</v>
      </c>
    </row>
    <row r="50" spans="6:279" customFormat="1">
      <c r="F50" s="17" t="str">
        <f t="shared" si="0"/>
        <v/>
      </c>
      <c r="G50" s="9"/>
      <c r="H50" s="2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22" t="e">
        <f t="shared" si="1"/>
        <v>#N/A</v>
      </c>
      <c r="X50" s="21" t="e">
        <f t="shared" si="2"/>
        <v>#N/A</v>
      </c>
      <c r="Y50" s="21" t="e">
        <f t="shared" si="3"/>
        <v>#N/A</v>
      </c>
      <c r="Z50" s="11" t="e">
        <f t="shared" si="4"/>
        <v>#N/A</v>
      </c>
      <c r="AA50" s="22" t="e">
        <f t="shared" si="9"/>
        <v>#N/A</v>
      </c>
      <c r="AB50" s="21" t="e">
        <f t="shared" si="10"/>
        <v>#N/A</v>
      </c>
      <c r="AC50" s="21" t="e">
        <f t="shared" si="11"/>
        <v>#N/A</v>
      </c>
      <c r="AD50" s="11" t="e">
        <f t="shared" si="12"/>
        <v>#N/A</v>
      </c>
      <c r="AE50" s="22" t="e">
        <f t="shared" si="5"/>
        <v>#N/A</v>
      </c>
      <c r="AF50" s="21" t="e">
        <f t="shared" si="6"/>
        <v>#N/A</v>
      </c>
      <c r="AG50" s="21" t="e">
        <f t="shared" si="7"/>
        <v>#N/A</v>
      </c>
      <c r="AH50" s="11" t="e">
        <f t="shared" si="8"/>
        <v>#N/A</v>
      </c>
      <c r="AI50">
        <v>2.5000000000000001E-2</v>
      </c>
      <c r="AJ50">
        <v>-2.5000000000000001E-2</v>
      </c>
      <c r="AK50">
        <v>1.5E-3</v>
      </c>
      <c r="AL50">
        <v>-1.5E-3</v>
      </c>
      <c r="AM50">
        <v>1.5E-3</v>
      </c>
      <c r="AN50">
        <v>-1.5E-3</v>
      </c>
      <c r="AO50" s="16">
        <v>2.5000000000000001E-2</v>
      </c>
      <c r="AP50" s="16">
        <v>-2.5000000000000001E-2</v>
      </c>
      <c r="AQ50">
        <v>1.4999999999999999E-2</v>
      </c>
      <c r="AR50">
        <v>-1.4999999999999999E-2</v>
      </c>
      <c r="AS50">
        <v>1E-3</v>
      </c>
      <c r="AT50">
        <v>-1E-3</v>
      </c>
      <c r="AU50">
        <v>1E-3</v>
      </c>
      <c r="AV50">
        <v>-1E-3</v>
      </c>
      <c r="AW50" s="16">
        <v>1.4999999999999999E-2</v>
      </c>
      <c r="AX50" s="16">
        <v>-1.4999999999999999E-2</v>
      </c>
    </row>
    <row r="51" spans="6:279" customFormat="1">
      <c r="F51" s="17" t="str">
        <f t="shared" si="0"/>
        <v/>
      </c>
      <c r="G51" s="9"/>
      <c r="H51" s="2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22" t="e">
        <f t="shared" si="1"/>
        <v>#N/A</v>
      </c>
      <c r="X51" s="21" t="e">
        <f t="shared" si="2"/>
        <v>#N/A</v>
      </c>
      <c r="Y51" s="21" t="e">
        <f t="shared" si="3"/>
        <v>#N/A</v>
      </c>
      <c r="Z51" s="11" t="e">
        <f t="shared" si="4"/>
        <v>#N/A</v>
      </c>
      <c r="AA51" s="22" t="e">
        <f t="shared" si="9"/>
        <v>#N/A</v>
      </c>
      <c r="AB51" s="21" t="e">
        <f t="shared" si="10"/>
        <v>#N/A</v>
      </c>
      <c r="AC51" s="21" t="e">
        <f t="shared" si="11"/>
        <v>#N/A</v>
      </c>
      <c r="AD51" s="11" t="e">
        <f t="shared" si="12"/>
        <v>#N/A</v>
      </c>
      <c r="AE51" s="22" t="e">
        <f t="shared" si="5"/>
        <v>#N/A</v>
      </c>
      <c r="AF51" s="21" t="e">
        <f t="shared" si="6"/>
        <v>#N/A</v>
      </c>
      <c r="AG51" s="21" t="e">
        <f t="shared" si="7"/>
        <v>#N/A</v>
      </c>
      <c r="AH51" s="11" t="e">
        <f t="shared" si="8"/>
        <v>#N/A</v>
      </c>
      <c r="AI51">
        <v>2.5000000000000001E-2</v>
      </c>
      <c r="AJ51">
        <v>-2.5000000000000001E-2</v>
      </c>
      <c r="AK51">
        <v>1.5E-3</v>
      </c>
      <c r="AL51">
        <v>-1.5E-3</v>
      </c>
      <c r="AM51">
        <v>1.5E-3</v>
      </c>
      <c r="AN51">
        <v>-1.5E-3</v>
      </c>
      <c r="AO51" s="16">
        <v>2.5000000000000001E-2</v>
      </c>
      <c r="AP51" s="16">
        <v>-2.5000000000000001E-2</v>
      </c>
      <c r="AQ51">
        <v>1.4999999999999999E-2</v>
      </c>
      <c r="AR51">
        <v>-1.4999999999999999E-2</v>
      </c>
      <c r="AS51">
        <v>1E-3</v>
      </c>
      <c r="AT51">
        <v>-1E-3</v>
      </c>
      <c r="AU51">
        <v>1E-3</v>
      </c>
      <c r="AV51">
        <v>-1E-3</v>
      </c>
      <c r="AW51" s="16">
        <v>1.4999999999999999E-2</v>
      </c>
      <c r="AX51" s="16">
        <v>-1.4999999999999999E-2</v>
      </c>
    </row>
    <row r="52" spans="6:279" customFormat="1">
      <c r="F52" s="17" t="str">
        <f t="shared" si="0"/>
        <v/>
      </c>
      <c r="G52" s="9"/>
      <c r="H52" s="2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22" t="e">
        <f t="shared" si="1"/>
        <v>#N/A</v>
      </c>
      <c r="X52" s="21" t="e">
        <f t="shared" si="2"/>
        <v>#N/A</v>
      </c>
      <c r="Y52" s="21" t="e">
        <f t="shared" si="3"/>
        <v>#N/A</v>
      </c>
      <c r="Z52" s="11" t="e">
        <f t="shared" si="4"/>
        <v>#N/A</v>
      </c>
      <c r="AA52" s="22" t="e">
        <f t="shared" si="9"/>
        <v>#N/A</v>
      </c>
      <c r="AB52" s="21" t="e">
        <f t="shared" si="10"/>
        <v>#N/A</v>
      </c>
      <c r="AC52" s="21" t="e">
        <f t="shared" si="11"/>
        <v>#N/A</v>
      </c>
      <c r="AD52" s="11" t="e">
        <f t="shared" si="12"/>
        <v>#N/A</v>
      </c>
      <c r="AE52" s="22" t="e">
        <f t="shared" si="5"/>
        <v>#N/A</v>
      </c>
      <c r="AF52" s="21" t="e">
        <f t="shared" si="6"/>
        <v>#N/A</v>
      </c>
      <c r="AG52" s="21" t="e">
        <f t="shared" si="7"/>
        <v>#N/A</v>
      </c>
      <c r="AH52" s="11" t="e">
        <f t="shared" si="8"/>
        <v>#N/A</v>
      </c>
      <c r="AI52">
        <v>2.5000000000000001E-2</v>
      </c>
      <c r="AJ52">
        <v>-2.5000000000000001E-2</v>
      </c>
      <c r="AK52">
        <v>1.5E-3</v>
      </c>
      <c r="AL52">
        <v>-1.5E-3</v>
      </c>
      <c r="AM52">
        <v>1.5E-3</v>
      </c>
      <c r="AN52">
        <v>-1.5E-3</v>
      </c>
      <c r="AO52" s="16">
        <v>2.5000000000000001E-2</v>
      </c>
      <c r="AP52" s="16">
        <v>-2.5000000000000001E-2</v>
      </c>
      <c r="AQ52">
        <v>1.4999999999999999E-2</v>
      </c>
      <c r="AR52">
        <v>-1.4999999999999999E-2</v>
      </c>
      <c r="AS52">
        <v>1E-3</v>
      </c>
      <c r="AT52">
        <v>-1E-3</v>
      </c>
      <c r="AU52">
        <v>1E-3</v>
      </c>
      <c r="AV52">
        <v>-1E-3</v>
      </c>
      <c r="AW52" s="16">
        <v>1.4999999999999999E-2</v>
      </c>
      <c r="AX52" s="16">
        <v>-1.4999999999999999E-2</v>
      </c>
    </row>
    <row r="53" spans="6:279" customFormat="1">
      <c r="F53" s="17" t="str">
        <f t="shared" si="0"/>
        <v/>
      </c>
      <c r="G53" s="9"/>
      <c r="H53" s="2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22" t="e">
        <f t="shared" si="1"/>
        <v>#N/A</v>
      </c>
      <c r="X53" s="21" t="e">
        <f t="shared" si="2"/>
        <v>#N/A</v>
      </c>
      <c r="Y53" s="21" t="e">
        <f t="shared" si="3"/>
        <v>#N/A</v>
      </c>
      <c r="Z53" s="11" t="e">
        <f t="shared" si="4"/>
        <v>#N/A</v>
      </c>
      <c r="AA53" s="22" t="e">
        <f t="shared" si="9"/>
        <v>#N/A</v>
      </c>
      <c r="AB53" s="21" t="e">
        <f t="shared" si="10"/>
        <v>#N/A</v>
      </c>
      <c r="AC53" s="21" t="e">
        <f t="shared" si="11"/>
        <v>#N/A</v>
      </c>
      <c r="AD53" s="11" t="e">
        <f t="shared" si="12"/>
        <v>#N/A</v>
      </c>
      <c r="AE53" s="22" t="e">
        <f t="shared" si="5"/>
        <v>#N/A</v>
      </c>
      <c r="AF53" s="21" t="e">
        <f t="shared" si="6"/>
        <v>#N/A</v>
      </c>
      <c r="AG53" s="21" t="e">
        <f t="shared" si="7"/>
        <v>#N/A</v>
      </c>
      <c r="AH53" s="11" t="e">
        <f t="shared" si="8"/>
        <v>#N/A</v>
      </c>
      <c r="AI53">
        <v>2.5000000000000001E-2</v>
      </c>
      <c r="AJ53">
        <v>-2.5000000000000001E-2</v>
      </c>
      <c r="AK53">
        <v>1.5E-3</v>
      </c>
      <c r="AL53">
        <v>-1.5E-3</v>
      </c>
      <c r="AM53">
        <v>1.5E-3</v>
      </c>
      <c r="AN53">
        <v>-1.5E-3</v>
      </c>
      <c r="AO53" s="16">
        <v>2.5000000000000001E-2</v>
      </c>
      <c r="AP53" s="16">
        <v>-2.5000000000000001E-2</v>
      </c>
      <c r="AQ53">
        <v>1.4999999999999999E-2</v>
      </c>
      <c r="AR53">
        <v>-1.4999999999999999E-2</v>
      </c>
      <c r="AS53">
        <v>1E-3</v>
      </c>
      <c r="AT53">
        <v>-1E-3</v>
      </c>
      <c r="AU53">
        <v>1E-3</v>
      </c>
      <c r="AV53">
        <v>-1E-3</v>
      </c>
      <c r="AW53" s="16">
        <v>1.4999999999999999E-2</v>
      </c>
      <c r="AX53" s="16">
        <v>-1.4999999999999999E-2</v>
      </c>
      <c r="JR53">
        <v>12.849506578947368</v>
      </c>
    </row>
    <row r="54" spans="6:279" customFormat="1">
      <c r="F54" s="17" t="str">
        <f t="shared" si="0"/>
        <v/>
      </c>
      <c r="G54" s="9"/>
      <c r="H54" s="2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22" t="e">
        <f t="shared" si="1"/>
        <v>#N/A</v>
      </c>
      <c r="X54" s="21" t="e">
        <f t="shared" si="2"/>
        <v>#N/A</v>
      </c>
      <c r="Y54" s="21" t="e">
        <f t="shared" si="3"/>
        <v>#N/A</v>
      </c>
      <c r="Z54" s="11" t="e">
        <f t="shared" si="4"/>
        <v>#N/A</v>
      </c>
      <c r="AA54" s="22" t="e">
        <f t="shared" si="9"/>
        <v>#N/A</v>
      </c>
      <c r="AB54" s="21" t="e">
        <f t="shared" si="10"/>
        <v>#N/A</v>
      </c>
      <c r="AC54" s="21" t="e">
        <f t="shared" si="11"/>
        <v>#N/A</v>
      </c>
      <c r="AD54" s="11" t="e">
        <f t="shared" si="12"/>
        <v>#N/A</v>
      </c>
      <c r="AE54" s="22" t="e">
        <f t="shared" si="5"/>
        <v>#N/A</v>
      </c>
      <c r="AF54" s="21" t="e">
        <f t="shared" si="6"/>
        <v>#N/A</v>
      </c>
      <c r="AG54" s="21" t="e">
        <f t="shared" si="7"/>
        <v>#N/A</v>
      </c>
      <c r="AH54" s="11" t="e">
        <f t="shared" si="8"/>
        <v>#N/A</v>
      </c>
      <c r="AI54">
        <v>2.5000000000000001E-2</v>
      </c>
      <c r="AJ54">
        <v>-2.5000000000000001E-2</v>
      </c>
      <c r="AK54">
        <v>1.5E-3</v>
      </c>
      <c r="AL54">
        <v>-1.5E-3</v>
      </c>
      <c r="AM54">
        <v>1.5E-3</v>
      </c>
      <c r="AN54">
        <v>-1.5E-3</v>
      </c>
      <c r="AO54" s="16">
        <v>2.5000000000000001E-2</v>
      </c>
      <c r="AP54" s="16">
        <v>-2.5000000000000001E-2</v>
      </c>
      <c r="AQ54">
        <v>1.4999999999999999E-2</v>
      </c>
      <c r="AR54">
        <v>-1.4999999999999999E-2</v>
      </c>
      <c r="AS54">
        <v>1E-3</v>
      </c>
      <c r="AT54">
        <v>-1E-3</v>
      </c>
      <c r="AU54">
        <v>1E-3</v>
      </c>
      <c r="AV54">
        <v>-1E-3</v>
      </c>
      <c r="AW54" s="16">
        <v>1.4999999999999999E-2</v>
      </c>
      <c r="AX54" s="16">
        <v>-1.4999999999999999E-2</v>
      </c>
    </row>
    <row r="55" spans="6:279" customFormat="1">
      <c r="F55" s="17" t="str">
        <f t="shared" si="0"/>
        <v/>
      </c>
      <c r="G55" s="9"/>
      <c r="H55" s="2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22" t="e">
        <f t="shared" si="1"/>
        <v>#N/A</v>
      </c>
      <c r="X55" s="21" t="e">
        <f t="shared" si="2"/>
        <v>#N/A</v>
      </c>
      <c r="Y55" s="21" t="e">
        <f t="shared" si="3"/>
        <v>#N/A</v>
      </c>
      <c r="Z55" s="11" t="e">
        <f t="shared" si="4"/>
        <v>#N/A</v>
      </c>
      <c r="AA55" s="22" t="e">
        <f t="shared" si="9"/>
        <v>#N/A</v>
      </c>
      <c r="AB55" s="21" t="e">
        <f t="shared" si="10"/>
        <v>#N/A</v>
      </c>
      <c r="AC55" s="21" t="e">
        <f t="shared" si="11"/>
        <v>#N/A</v>
      </c>
      <c r="AD55" s="11" t="e">
        <f t="shared" si="12"/>
        <v>#N/A</v>
      </c>
      <c r="AE55" s="22" t="e">
        <f t="shared" si="5"/>
        <v>#N/A</v>
      </c>
      <c r="AF55" s="21" t="e">
        <f t="shared" si="6"/>
        <v>#N/A</v>
      </c>
      <c r="AG55" s="21" t="e">
        <f t="shared" si="7"/>
        <v>#N/A</v>
      </c>
      <c r="AH55" s="11" t="e">
        <f t="shared" si="8"/>
        <v>#N/A</v>
      </c>
      <c r="AI55">
        <v>2.5000000000000001E-2</v>
      </c>
      <c r="AJ55">
        <v>-2.5000000000000001E-2</v>
      </c>
      <c r="AK55">
        <v>1.5E-3</v>
      </c>
      <c r="AL55">
        <v>-1.5E-3</v>
      </c>
      <c r="AM55">
        <v>1.5E-3</v>
      </c>
      <c r="AN55">
        <v>-1.5E-3</v>
      </c>
      <c r="AO55" s="16">
        <v>2.5000000000000001E-2</v>
      </c>
      <c r="AP55" s="16">
        <v>-2.5000000000000001E-2</v>
      </c>
      <c r="AQ55">
        <v>1.4999999999999999E-2</v>
      </c>
      <c r="AR55">
        <v>-1.4999999999999999E-2</v>
      </c>
      <c r="AS55">
        <v>1E-3</v>
      </c>
      <c r="AT55">
        <v>-1E-3</v>
      </c>
      <c r="AU55">
        <v>1E-3</v>
      </c>
      <c r="AV55">
        <v>-1E-3</v>
      </c>
      <c r="AW55" s="16">
        <v>1.4999999999999999E-2</v>
      </c>
      <c r="AX55" s="16">
        <v>-1.4999999999999999E-2</v>
      </c>
      <c r="JR55">
        <v>12.849506578947368</v>
      </c>
      <c r="JS55">
        <v>12.849506578947368</v>
      </c>
    </row>
    <row r="56" spans="6:279" customFormat="1">
      <c r="F56" s="17" t="str">
        <f t="shared" si="0"/>
        <v/>
      </c>
      <c r="G56" s="9"/>
      <c r="H56" s="2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22" t="e">
        <f t="shared" si="1"/>
        <v>#N/A</v>
      </c>
      <c r="X56" s="21" t="e">
        <f t="shared" si="2"/>
        <v>#N/A</v>
      </c>
      <c r="Y56" s="21" t="e">
        <f t="shared" si="3"/>
        <v>#N/A</v>
      </c>
      <c r="Z56" s="11" t="e">
        <f t="shared" si="4"/>
        <v>#N/A</v>
      </c>
      <c r="AA56" s="22" t="e">
        <f t="shared" si="9"/>
        <v>#N/A</v>
      </c>
      <c r="AB56" s="21" t="e">
        <f t="shared" si="10"/>
        <v>#N/A</v>
      </c>
      <c r="AC56" s="21" t="e">
        <f t="shared" si="11"/>
        <v>#N/A</v>
      </c>
      <c r="AD56" s="11" t="e">
        <f t="shared" si="12"/>
        <v>#N/A</v>
      </c>
      <c r="AE56" s="22" t="e">
        <f t="shared" si="5"/>
        <v>#N/A</v>
      </c>
      <c r="AF56" s="21" t="e">
        <f t="shared" si="6"/>
        <v>#N/A</v>
      </c>
      <c r="AG56" s="21" t="e">
        <f t="shared" si="7"/>
        <v>#N/A</v>
      </c>
      <c r="AH56" s="11" t="e">
        <f t="shared" si="8"/>
        <v>#N/A</v>
      </c>
      <c r="AI56">
        <v>2.5000000000000001E-2</v>
      </c>
      <c r="AJ56">
        <v>-2.5000000000000001E-2</v>
      </c>
      <c r="AK56">
        <v>1.5E-3</v>
      </c>
      <c r="AL56">
        <v>-1.5E-3</v>
      </c>
      <c r="AM56">
        <v>1.5E-3</v>
      </c>
      <c r="AN56">
        <v>-1.5E-3</v>
      </c>
      <c r="AO56" s="16">
        <v>2.5000000000000001E-2</v>
      </c>
      <c r="AP56" s="16">
        <v>-2.5000000000000001E-2</v>
      </c>
      <c r="AQ56">
        <v>1.4999999999999999E-2</v>
      </c>
      <c r="AR56">
        <v>-1.4999999999999999E-2</v>
      </c>
      <c r="AS56">
        <v>1E-3</v>
      </c>
      <c r="AT56">
        <v>-1E-3</v>
      </c>
      <c r="AU56">
        <v>1E-3</v>
      </c>
      <c r="AV56">
        <v>-1E-3</v>
      </c>
      <c r="AW56" s="16">
        <v>1.4999999999999999E-2</v>
      </c>
      <c r="AX56" s="16">
        <v>-1.4999999999999999E-2</v>
      </c>
      <c r="JP56">
        <v>12.849506578947368</v>
      </c>
    </row>
    <row r="57" spans="6:279" customFormat="1">
      <c r="F57" s="17" t="str">
        <f t="shared" si="0"/>
        <v/>
      </c>
      <c r="G57" s="9"/>
      <c r="H57" s="2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22" t="e">
        <f t="shared" si="1"/>
        <v>#N/A</v>
      </c>
      <c r="X57" s="21" t="e">
        <f t="shared" si="2"/>
        <v>#N/A</v>
      </c>
      <c r="Y57" s="21" t="e">
        <f t="shared" si="3"/>
        <v>#N/A</v>
      </c>
      <c r="Z57" s="11" t="e">
        <f t="shared" si="4"/>
        <v>#N/A</v>
      </c>
      <c r="AA57" s="22" t="e">
        <f t="shared" si="9"/>
        <v>#N/A</v>
      </c>
      <c r="AB57" s="21" t="e">
        <f t="shared" si="10"/>
        <v>#N/A</v>
      </c>
      <c r="AC57" s="21" t="e">
        <f t="shared" si="11"/>
        <v>#N/A</v>
      </c>
      <c r="AD57" s="11" t="e">
        <f t="shared" si="12"/>
        <v>#N/A</v>
      </c>
      <c r="AE57" s="22" t="e">
        <f t="shared" si="5"/>
        <v>#N/A</v>
      </c>
      <c r="AF57" s="21" t="e">
        <f t="shared" si="6"/>
        <v>#N/A</v>
      </c>
      <c r="AG57" s="21" t="e">
        <f t="shared" si="7"/>
        <v>#N/A</v>
      </c>
      <c r="AH57" s="11" t="e">
        <f t="shared" si="8"/>
        <v>#N/A</v>
      </c>
      <c r="AI57">
        <v>2.5000000000000001E-2</v>
      </c>
      <c r="AJ57">
        <v>-2.5000000000000001E-2</v>
      </c>
      <c r="AK57">
        <v>1.5E-3</v>
      </c>
      <c r="AL57">
        <v>-1.5E-3</v>
      </c>
      <c r="AM57">
        <v>1.5E-3</v>
      </c>
      <c r="AN57">
        <v>-1.5E-3</v>
      </c>
      <c r="AO57" s="16">
        <v>2.5000000000000001E-2</v>
      </c>
      <c r="AP57" s="16">
        <v>-2.5000000000000001E-2</v>
      </c>
      <c r="AQ57">
        <v>1.4999999999999999E-2</v>
      </c>
      <c r="AR57">
        <v>-1.4999999999999999E-2</v>
      </c>
      <c r="AS57">
        <v>1E-3</v>
      </c>
      <c r="AT57">
        <v>-1E-3</v>
      </c>
      <c r="AU57">
        <v>1E-3</v>
      </c>
      <c r="AV57">
        <v>-1E-3</v>
      </c>
      <c r="AW57" s="16">
        <v>1.4999999999999999E-2</v>
      </c>
      <c r="AX57" s="16">
        <v>-1.4999999999999999E-2</v>
      </c>
      <c r="JP57">
        <v>38.548519736842103</v>
      </c>
      <c r="JR57">
        <v>12.849506578947368</v>
      </c>
      <c r="JS57">
        <v>12.849506578947368</v>
      </c>
    </row>
    <row r="58" spans="6:279" customFormat="1">
      <c r="F58" s="17" t="str">
        <f t="shared" si="0"/>
        <v/>
      </c>
      <c r="G58" s="9"/>
      <c r="H58" s="2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22" t="e">
        <f t="shared" si="1"/>
        <v>#N/A</v>
      </c>
      <c r="X58" s="21" t="e">
        <f t="shared" si="2"/>
        <v>#N/A</v>
      </c>
      <c r="Y58" s="21" t="e">
        <f t="shared" si="3"/>
        <v>#N/A</v>
      </c>
      <c r="Z58" s="11" t="e">
        <f t="shared" si="4"/>
        <v>#N/A</v>
      </c>
      <c r="AA58" s="22" t="e">
        <f t="shared" si="9"/>
        <v>#N/A</v>
      </c>
      <c r="AB58" s="21" t="e">
        <f t="shared" si="10"/>
        <v>#N/A</v>
      </c>
      <c r="AC58" s="21" t="e">
        <f t="shared" si="11"/>
        <v>#N/A</v>
      </c>
      <c r="AD58" s="11" t="e">
        <f t="shared" si="12"/>
        <v>#N/A</v>
      </c>
      <c r="AE58" s="22" t="e">
        <f t="shared" si="5"/>
        <v>#N/A</v>
      </c>
      <c r="AF58" s="21" t="e">
        <f t="shared" si="6"/>
        <v>#N/A</v>
      </c>
      <c r="AG58" s="21" t="e">
        <f t="shared" si="7"/>
        <v>#N/A</v>
      </c>
      <c r="AH58" s="11" t="e">
        <f t="shared" si="8"/>
        <v>#N/A</v>
      </c>
      <c r="AI58">
        <v>2.5000000000000001E-2</v>
      </c>
      <c r="AJ58">
        <v>-2.5000000000000001E-2</v>
      </c>
      <c r="AK58">
        <v>1.5E-3</v>
      </c>
      <c r="AL58">
        <v>-1.5E-3</v>
      </c>
      <c r="AM58">
        <v>1.5E-3</v>
      </c>
      <c r="AN58">
        <v>-1.5E-3</v>
      </c>
      <c r="AO58" s="16">
        <v>2.5000000000000001E-2</v>
      </c>
      <c r="AP58" s="16">
        <v>-2.5000000000000001E-2</v>
      </c>
      <c r="AQ58">
        <v>1.4999999999999999E-2</v>
      </c>
      <c r="AR58">
        <v>-1.4999999999999999E-2</v>
      </c>
      <c r="AS58">
        <v>1E-3</v>
      </c>
      <c r="AT58">
        <v>-1E-3</v>
      </c>
      <c r="AU58">
        <v>1E-3</v>
      </c>
      <c r="AV58">
        <v>-1E-3</v>
      </c>
      <c r="AW58" s="16">
        <v>1.4999999999999999E-2</v>
      </c>
      <c r="AX58" s="16">
        <v>-1.4999999999999999E-2</v>
      </c>
    </row>
    <row r="59" spans="6:279" customFormat="1">
      <c r="F59" s="17" t="str">
        <f t="shared" si="0"/>
        <v/>
      </c>
      <c r="G59" s="9"/>
      <c r="H59" s="2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22" t="e">
        <f t="shared" si="1"/>
        <v>#N/A</v>
      </c>
      <c r="X59" s="21" t="e">
        <f t="shared" si="2"/>
        <v>#N/A</v>
      </c>
      <c r="Y59" s="21" t="e">
        <f t="shared" si="3"/>
        <v>#N/A</v>
      </c>
      <c r="Z59" s="11" t="e">
        <f t="shared" si="4"/>
        <v>#N/A</v>
      </c>
      <c r="AA59" s="22" t="e">
        <f t="shared" si="9"/>
        <v>#N/A</v>
      </c>
      <c r="AB59" s="21" t="e">
        <f t="shared" si="10"/>
        <v>#N/A</v>
      </c>
      <c r="AC59" s="21" t="e">
        <f t="shared" si="11"/>
        <v>#N/A</v>
      </c>
      <c r="AD59" s="11" t="e">
        <f t="shared" si="12"/>
        <v>#N/A</v>
      </c>
      <c r="AE59" s="22" t="e">
        <f t="shared" si="5"/>
        <v>#N/A</v>
      </c>
      <c r="AF59" s="21" t="e">
        <f t="shared" si="6"/>
        <v>#N/A</v>
      </c>
      <c r="AG59" s="21" t="e">
        <f t="shared" si="7"/>
        <v>#N/A</v>
      </c>
      <c r="AH59" s="11" t="e">
        <f t="shared" si="8"/>
        <v>#N/A</v>
      </c>
      <c r="AI59">
        <v>2.5000000000000001E-2</v>
      </c>
      <c r="AJ59">
        <v>-2.5000000000000001E-2</v>
      </c>
      <c r="AK59">
        <v>1.5E-3</v>
      </c>
      <c r="AL59">
        <v>-1.5E-3</v>
      </c>
      <c r="AM59">
        <v>1.5E-3</v>
      </c>
      <c r="AN59">
        <v>-1.5E-3</v>
      </c>
      <c r="AO59" s="16">
        <v>2.5000000000000001E-2</v>
      </c>
      <c r="AP59" s="16">
        <v>-2.5000000000000001E-2</v>
      </c>
      <c r="AQ59">
        <v>1.4999999999999999E-2</v>
      </c>
      <c r="AR59">
        <v>-1.4999999999999999E-2</v>
      </c>
      <c r="AS59">
        <v>1E-3</v>
      </c>
      <c r="AT59">
        <v>-1E-3</v>
      </c>
      <c r="AU59">
        <v>1E-3</v>
      </c>
      <c r="AV59">
        <v>-1E-3</v>
      </c>
      <c r="AW59" s="16">
        <v>1.4999999999999999E-2</v>
      </c>
      <c r="AX59" s="16">
        <v>-1.4999999999999999E-2</v>
      </c>
      <c r="JQ59">
        <v>12.849506578947368</v>
      </c>
      <c r="JR59">
        <v>12.849506578947368</v>
      </c>
      <c r="JS59">
        <v>38.548519736842103</v>
      </c>
    </row>
    <row r="60" spans="6:279" customFormat="1">
      <c r="F60" s="17" t="str">
        <f t="shared" si="0"/>
        <v/>
      </c>
      <c r="G60" s="9"/>
      <c r="H60" s="2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22" t="e">
        <f t="shared" si="1"/>
        <v>#N/A</v>
      </c>
      <c r="X60" s="21" t="e">
        <f t="shared" si="2"/>
        <v>#N/A</v>
      </c>
      <c r="Y60" s="21" t="e">
        <f t="shared" si="3"/>
        <v>#N/A</v>
      </c>
      <c r="Z60" s="11" t="e">
        <f t="shared" si="4"/>
        <v>#N/A</v>
      </c>
      <c r="AA60" s="22" t="e">
        <f t="shared" si="9"/>
        <v>#N/A</v>
      </c>
      <c r="AB60" s="21" t="e">
        <f t="shared" si="10"/>
        <v>#N/A</v>
      </c>
      <c r="AC60" s="21" t="e">
        <f t="shared" si="11"/>
        <v>#N/A</v>
      </c>
      <c r="AD60" s="11" t="e">
        <f t="shared" si="12"/>
        <v>#N/A</v>
      </c>
      <c r="AE60" s="22" t="e">
        <f t="shared" si="5"/>
        <v>#N/A</v>
      </c>
      <c r="AF60" s="21" t="e">
        <f t="shared" si="6"/>
        <v>#N/A</v>
      </c>
      <c r="AG60" s="21" t="e">
        <f t="shared" si="7"/>
        <v>#N/A</v>
      </c>
      <c r="AH60" s="11" t="e">
        <f t="shared" si="8"/>
        <v>#N/A</v>
      </c>
      <c r="AI60">
        <v>2.5000000000000001E-2</v>
      </c>
      <c r="AJ60">
        <v>-2.5000000000000001E-2</v>
      </c>
      <c r="AK60">
        <v>1.5E-3</v>
      </c>
      <c r="AL60">
        <v>-1.5E-3</v>
      </c>
      <c r="AM60">
        <v>1.5E-3</v>
      </c>
      <c r="AN60">
        <v>-1.5E-3</v>
      </c>
      <c r="AO60" s="16">
        <v>2.5000000000000001E-2</v>
      </c>
      <c r="AP60" s="16">
        <v>-2.5000000000000001E-2</v>
      </c>
      <c r="AQ60">
        <v>1.4999999999999999E-2</v>
      </c>
      <c r="AR60">
        <v>-1.4999999999999999E-2</v>
      </c>
      <c r="AS60">
        <v>1E-3</v>
      </c>
      <c r="AT60">
        <v>-1E-3</v>
      </c>
      <c r="AU60">
        <v>1E-3</v>
      </c>
      <c r="AV60">
        <v>-1E-3</v>
      </c>
      <c r="AW60" s="16">
        <v>1.4999999999999999E-2</v>
      </c>
      <c r="AX60" s="16">
        <v>-1.4999999999999999E-2</v>
      </c>
    </row>
    <row r="61" spans="6:279" customFormat="1">
      <c r="F61" s="17" t="str">
        <f t="shared" si="0"/>
        <v/>
      </c>
      <c r="G61" s="9"/>
      <c r="H61" s="2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22" t="e">
        <f t="shared" si="1"/>
        <v>#N/A</v>
      </c>
      <c r="X61" s="21" t="e">
        <f t="shared" si="2"/>
        <v>#N/A</v>
      </c>
      <c r="Y61" s="21" t="e">
        <f t="shared" si="3"/>
        <v>#N/A</v>
      </c>
      <c r="Z61" s="11" t="e">
        <f t="shared" si="4"/>
        <v>#N/A</v>
      </c>
      <c r="AA61" s="22" t="e">
        <f t="shared" si="9"/>
        <v>#N/A</v>
      </c>
      <c r="AB61" s="21" t="e">
        <f t="shared" si="10"/>
        <v>#N/A</v>
      </c>
      <c r="AC61" s="21" t="e">
        <f t="shared" si="11"/>
        <v>#N/A</v>
      </c>
      <c r="AD61" s="11" t="e">
        <f t="shared" si="12"/>
        <v>#N/A</v>
      </c>
      <c r="AE61" s="22" t="e">
        <f t="shared" si="5"/>
        <v>#N/A</v>
      </c>
      <c r="AF61" s="21" t="e">
        <f t="shared" si="6"/>
        <v>#N/A</v>
      </c>
      <c r="AG61" s="21" t="e">
        <f t="shared" si="7"/>
        <v>#N/A</v>
      </c>
      <c r="AH61" s="11" t="e">
        <f t="shared" si="8"/>
        <v>#N/A</v>
      </c>
      <c r="AI61">
        <v>2.5000000000000001E-2</v>
      </c>
      <c r="AJ61">
        <v>-2.5000000000000001E-2</v>
      </c>
      <c r="AK61">
        <v>1.5E-3</v>
      </c>
      <c r="AL61">
        <v>-1.5E-3</v>
      </c>
      <c r="AM61">
        <v>1.5E-3</v>
      </c>
      <c r="AN61">
        <v>-1.5E-3</v>
      </c>
      <c r="AO61" s="16">
        <v>2.5000000000000001E-2</v>
      </c>
      <c r="AP61" s="16">
        <v>-2.5000000000000001E-2</v>
      </c>
      <c r="AQ61">
        <v>1.4999999999999999E-2</v>
      </c>
      <c r="AR61">
        <v>-1.4999999999999999E-2</v>
      </c>
      <c r="AS61">
        <v>1E-3</v>
      </c>
      <c r="AT61">
        <v>-1E-3</v>
      </c>
      <c r="AU61">
        <v>1E-3</v>
      </c>
      <c r="AV61">
        <v>-1E-3</v>
      </c>
      <c r="AW61" s="16">
        <v>1.4999999999999999E-2</v>
      </c>
      <c r="AX61" s="16">
        <v>-1.4999999999999999E-2</v>
      </c>
      <c r="JS61">
        <v>12.849506578947368</v>
      </c>
    </row>
    <row r="62" spans="6:279" customFormat="1">
      <c r="F62" s="17" t="str">
        <f t="shared" si="0"/>
        <v/>
      </c>
      <c r="G62" s="9"/>
      <c r="H62" s="2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22" t="e">
        <f t="shared" si="1"/>
        <v>#N/A</v>
      </c>
      <c r="X62" s="21" t="e">
        <f t="shared" si="2"/>
        <v>#N/A</v>
      </c>
      <c r="Y62" s="21" t="e">
        <f t="shared" si="3"/>
        <v>#N/A</v>
      </c>
      <c r="Z62" s="11" t="e">
        <f t="shared" si="4"/>
        <v>#N/A</v>
      </c>
      <c r="AA62" s="22" t="e">
        <f t="shared" si="9"/>
        <v>#N/A</v>
      </c>
      <c r="AB62" s="21" t="e">
        <f t="shared" si="10"/>
        <v>#N/A</v>
      </c>
      <c r="AC62" s="21" t="e">
        <f t="shared" si="11"/>
        <v>#N/A</v>
      </c>
      <c r="AD62" s="11" t="e">
        <f t="shared" si="12"/>
        <v>#N/A</v>
      </c>
      <c r="AE62" s="22" t="e">
        <f t="shared" si="5"/>
        <v>#N/A</v>
      </c>
      <c r="AF62" s="21" t="e">
        <f t="shared" si="6"/>
        <v>#N/A</v>
      </c>
      <c r="AG62" s="21" t="e">
        <f t="shared" si="7"/>
        <v>#N/A</v>
      </c>
      <c r="AH62" s="11" t="e">
        <f t="shared" si="8"/>
        <v>#N/A</v>
      </c>
      <c r="AI62">
        <v>2.5000000000000001E-2</v>
      </c>
      <c r="AJ62">
        <v>-2.5000000000000001E-2</v>
      </c>
      <c r="AK62">
        <v>1.5E-3</v>
      </c>
      <c r="AL62">
        <v>-1.5E-3</v>
      </c>
      <c r="AM62">
        <v>1.5E-3</v>
      </c>
      <c r="AN62">
        <v>-1.5E-3</v>
      </c>
      <c r="AO62" s="16">
        <v>2.5000000000000001E-2</v>
      </c>
      <c r="AP62" s="16">
        <v>-2.5000000000000001E-2</v>
      </c>
      <c r="AQ62">
        <v>1.4999999999999999E-2</v>
      </c>
      <c r="AR62">
        <v>-1.4999999999999999E-2</v>
      </c>
      <c r="AS62">
        <v>1E-3</v>
      </c>
      <c r="AT62">
        <v>-1E-3</v>
      </c>
      <c r="AU62">
        <v>1E-3</v>
      </c>
      <c r="AV62">
        <v>-1E-3</v>
      </c>
      <c r="AW62" s="16">
        <v>1.4999999999999999E-2</v>
      </c>
      <c r="AX62" s="16">
        <v>-1.4999999999999999E-2</v>
      </c>
      <c r="JS62">
        <v>12.849506578947368</v>
      </c>
    </row>
    <row r="63" spans="6:279" customFormat="1">
      <c r="F63" s="17" t="str">
        <f t="shared" si="0"/>
        <v/>
      </c>
      <c r="G63" s="9"/>
      <c r="H63" s="2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22" t="e">
        <f t="shared" si="1"/>
        <v>#N/A</v>
      </c>
      <c r="X63" s="21" t="e">
        <f t="shared" si="2"/>
        <v>#N/A</v>
      </c>
      <c r="Y63" s="21" t="e">
        <f t="shared" si="3"/>
        <v>#N/A</v>
      </c>
      <c r="Z63" s="11" t="e">
        <f t="shared" si="4"/>
        <v>#N/A</v>
      </c>
      <c r="AA63" s="22" t="e">
        <f t="shared" si="9"/>
        <v>#N/A</v>
      </c>
      <c r="AB63" s="21" t="e">
        <f t="shared" si="10"/>
        <v>#N/A</v>
      </c>
      <c r="AC63" s="21" t="e">
        <f t="shared" si="11"/>
        <v>#N/A</v>
      </c>
      <c r="AD63" s="11" t="e">
        <f t="shared" si="12"/>
        <v>#N/A</v>
      </c>
      <c r="AE63" s="22" t="e">
        <f t="shared" si="5"/>
        <v>#N/A</v>
      </c>
      <c r="AF63" s="21" t="e">
        <f t="shared" si="6"/>
        <v>#N/A</v>
      </c>
      <c r="AG63" s="21" t="e">
        <f t="shared" si="7"/>
        <v>#N/A</v>
      </c>
      <c r="AH63" s="11" t="e">
        <f t="shared" si="8"/>
        <v>#N/A</v>
      </c>
      <c r="AI63">
        <v>2.5000000000000001E-2</v>
      </c>
      <c r="AJ63">
        <v>-2.5000000000000001E-2</v>
      </c>
      <c r="AK63">
        <v>1.5E-3</v>
      </c>
      <c r="AL63">
        <v>-1.5E-3</v>
      </c>
      <c r="AM63">
        <v>1.5E-3</v>
      </c>
      <c r="AN63">
        <v>-1.5E-3</v>
      </c>
      <c r="AO63" s="16">
        <v>2.5000000000000001E-2</v>
      </c>
      <c r="AP63" s="16">
        <v>-2.5000000000000001E-2</v>
      </c>
      <c r="AQ63">
        <v>1.4999999999999999E-2</v>
      </c>
      <c r="AR63">
        <v>-1.4999999999999999E-2</v>
      </c>
      <c r="AS63">
        <v>1E-3</v>
      </c>
      <c r="AT63">
        <v>-1E-3</v>
      </c>
      <c r="AU63">
        <v>1E-3</v>
      </c>
      <c r="AV63">
        <v>-1E-3</v>
      </c>
      <c r="AW63" s="16">
        <v>1.4999999999999999E-2</v>
      </c>
      <c r="AX63" s="16">
        <v>-1.4999999999999999E-2</v>
      </c>
      <c r="JR63">
        <v>12.849506578947368</v>
      </c>
    </row>
    <row r="64" spans="6:279" customFormat="1">
      <c r="F64" s="17" t="str">
        <f t="shared" si="0"/>
        <v/>
      </c>
      <c r="G64" s="9"/>
      <c r="H64" s="2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22" t="e">
        <f t="shared" si="1"/>
        <v>#N/A</v>
      </c>
      <c r="X64" s="21" t="e">
        <f t="shared" si="2"/>
        <v>#N/A</v>
      </c>
      <c r="Y64" s="21" t="e">
        <f t="shared" si="3"/>
        <v>#N/A</v>
      </c>
      <c r="Z64" s="11" t="e">
        <f t="shared" si="4"/>
        <v>#N/A</v>
      </c>
      <c r="AA64" s="22" t="e">
        <f t="shared" si="9"/>
        <v>#N/A</v>
      </c>
      <c r="AB64" s="21" t="e">
        <f t="shared" si="10"/>
        <v>#N/A</v>
      </c>
      <c r="AC64" s="21" t="e">
        <f t="shared" si="11"/>
        <v>#N/A</v>
      </c>
      <c r="AD64" s="11" t="e">
        <f t="shared" si="12"/>
        <v>#N/A</v>
      </c>
      <c r="AE64" s="22" t="e">
        <f t="shared" si="5"/>
        <v>#N/A</v>
      </c>
      <c r="AF64" s="21" t="e">
        <f t="shared" si="6"/>
        <v>#N/A</v>
      </c>
      <c r="AG64" s="21" t="e">
        <f t="shared" si="7"/>
        <v>#N/A</v>
      </c>
      <c r="AH64" s="11" t="e">
        <f t="shared" si="8"/>
        <v>#N/A</v>
      </c>
      <c r="AI64">
        <v>2.5000000000000001E-2</v>
      </c>
      <c r="AJ64">
        <v>-2.5000000000000001E-2</v>
      </c>
      <c r="AK64">
        <v>1.5E-3</v>
      </c>
      <c r="AL64">
        <v>-1.5E-3</v>
      </c>
      <c r="AM64">
        <v>1.5E-3</v>
      </c>
      <c r="AN64">
        <v>-1.5E-3</v>
      </c>
      <c r="AO64" s="16">
        <v>2.5000000000000001E-2</v>
      </c>
      <c r="AP64" s="16">
        <v>-2.5000000000000001E-2</v>
      </c>
      <c r="AQ64">
        <v>1.4999999999999999E-2</v>
      </c>
      <c r="AR64">
        <v>-1.4999999999999999E-2</v>
      </c>
      <c r="AS64">
        <v>1E-3</v>
      </c>
      <c r="AT64">
        <v>-1E-3</v>
      </c>
      <c r="AU64">
        <v>1E-3</v>
      </c>
      <c r="AV64">
        <v>-1E-3</v>
      </c>
      <c r="AW64" s="16">
        <v>1.4999999999999999E-2</v>
      </c>
      <c r="AX64" s="16">
        <v>-1.4999999999999999E-2</v>
      </c>
    </row>
    <row r="65" spans="6:278" customFormat="1">
      <c r="F65" s="17" t="str">
        <f t="shared" si="0"/>
        <v/>
      </c>
      <c r="G65" s="9"/>
      <c r="H65" s="2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22" t="e">
        <f t="shared" si="1"/>
        <v>#N/A</v>
      </c>
      <c r="X65" s="21" t="e">
        <f t="shared" si="2"/>
        <v>#N/A</v>
      </c>
      <c r="Y65" s="21" t="e">
        <f t="shared" si="3"/>
        <v>#N/A</v>
      </c>
      <c r="Z65" s="11" t="e">
        <f t="shared" si="4"/>
        <v>#N/A</v>
      </c>
      <c r="AA65" s="22" t="e">
        <f t="shared" si="9"/>
        <v>#N/A</v>
      </c>
      <c r="AB65" s="21" t="e">
        <f t="shared" si="10"/>
        <v>#N/A</v>
      </c>
      <c r="AC65" s="21" t="e">
        <f t="shared" si="11"/>
        <v>#N/A</v>
      </c>
      <c r="AD65" s="11" t="e">
        <f t="shared" si="12"/>
        <v>#N/A</v>
      </c>
      <c r="AE65" s="22" t="e">
        <f t="shared" si="5"/>
        <v>#N/A</v>
      </c>
      <c r="AF65" s="21" t="e">
        <f t="shared" si="6"/>
        <v>#N/A</v>
      </c>
      <c r="AG65" s="21" t="e">
        <f t="shared" si="7"/>
        <v>#N/A</v>
      </c>
      <c r="AH65" s="11" t="e">
        <f t="shared" si="8"/>
        <v>#N/A</v>
      </c>
      <c r="AI65">
        <v>2.5000000000000001E-2</v>
      </c>
      <c r="AJ65">
        <v>-2.5000000000000001E-2</v>
      </c>
      <c r="AK65">
        <v>1.5E-3</v>
      </c>
      <c r="AL65">
        <v>-1.5E-3</v>
      </c>
      <c r="AM65">
        <v>1.5E-3</v>
      </c>
      <c r="AN65">
        <v>-1.5E-3</v>
      </c>
      <c r="AO65" s="16">
        <v>2.5000000000000001E-2</v>
      </c>
      <c r="AP65" s="16">
        <v>-2.5000000000000001E-2</v>
      </c>
      <c r="AQ65">
        <v>1.4999999999999999E-2</v>
      </c>
      <c r="AR65">
        <v>-1.4999999999999999E-2</v>
      </c>
      <c r="AS65">
        <v>1E-3</v>
      </c>
      <c r="AT65">
        <v>-1E-3</v>
      </c>
      <c r="AU65">
        <v>1E-3</v>
      </c>
      <c r="AV65">
        <v>-1E-3</v>
      </c>
      <c r="AW65" s="16">
        <v>1.4999999999999999E-2</v>
      </c>
      <c r="AX65" s="16">
        <v>-1.4999999999999999E-2</v>
      </c>
      <c r="JR65">
        <v>12.849506578947368</v>
      </c>
    </row>
    <row r="66" spans="6:278" customFormat="1">
      <c r="F66" s="17" t="str">
        <f t="shared" si="0"/>
        <v/>
      </c>
      <c r="G66" s="9"/>
      <c r="H66" s="2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22" t="e">
        <f t="shared" si="1"/>
        <v>#N/A</v>
      </c>
      <c r="X66" s="21" t="e">
        <f t="shared" si="2"/>
        <v>#N/A</v>
      </c>
      <c r="Y66" s="21" t="e">
        <f t="shared" si="3"/>
        <v>#N/A</v>
      </c>
      <c r="Z66" s="11" t="e">
        <f t="shared" si="4"/>
        <v>#N/A</v>
      </c>
      <c r="AA66" s="22" t="e">
        <f t="shared" si="9"/>
        <v>#N/A</v>
      </c>
      <c r="AB66" s="21" t="e">
        <f t="shared" si="10"/>
        <v>#N/A</v>
      </c>
      <c r="AC66" s="21" t="e">
        <f t="shared" si="11"/>
        <v>#N/A</v>
      </c>
      <c r="AD66" s="11" t="e">
        <f t="shared" si="12"/>
        <v>#N/A</v>
      </c>
      <c r="AE66" s="22" t="e">
        <f t="shared" si="5"/>
        <v>#N/A</v>
      </c>
      <c r="AF66" s="21" t="e">
        <f t="shared" si="6"/>
        <v>#N/A</v>
      </c>
      <c r="AG66" s="21" t="e">
        <f t="shared" si="7"/>
        <v>#N/A</v>
      </c>
      <c r="AH66" s="11" t="e">
        <f t="shared" si="8"/>
        <v>#N/A</v>
      </c>
      <c r="AI66">
        <v>2.5000000000000001E-2</v>
      </c>
      <c r="AJ66">
        <v>-2.5000000000000001E-2</v>
      </c>
      <c r="AK66">
        <v>1.5E-3</v>
      </c>
      <c r="AL66">
        <v>-1.5E-3</v>
      </c>
      <c r="AM66">
        <v>1.5E-3</v>
      </c>
      <c r="AN66">
        <v>-1.5E-3</v>
      </c>
      <c r="AO66" s="16">
        <v>2.5000000000000001E-2</v>
      </c>
      <c r="AP66" s="16">
        <v>-2.5000000000000001E-2</v>
      </c>
      <c r="AQ66">
        <v>1.4999999999999999E-2</v>
      </c>
      <c r="AR66">
        <v>-1.4999999999999999E-2</v>
      </c>
      <c r="AS66">
        <v>1E-3</v>
      </c>
      <c r="AT66">
        <v>-1E-3</v>
      </c>
      <c r="AU66">
        <v>1E-3</v>
      </c>
      <c r="AV66">
        <v>-1E-3</v>
      </c>
      <c r="AW66" s="16">
        <v>1.4999999999999999E-2</v>
      </c>
      <c r="AX66" s="16">
        <v>-1.4999999999999999E-2</v>
      </c>
      <c r="JR66">
        <v>24.187306501547987</v>
      </c>
    </row>
    <row r="67" spans="6:278" customFormat="1">
      <c r="F67" s="17" t="str">
        <f t="shared" si="0"/>
        <v/>
      </c>
      <c r="G67" s="9"/>
      <c r="H67" s="2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22" t="e">
        <f t="shared" si="1"/>
        <v>#N/A</v>
      </c>
      <c r="X67" s="21" t="e">
        <f t="shared" si="2"/>
        <v>#N/A</v>
      </c>
      <c r="Y67" s="21" t="e">
        <f t="shared" si="3"/>
        <v>#N/A</v>
      </c>
      <c r="Z67" s="11" t="e">
        <f t="shared" si="4"/>
        <v>#N/A</v>
      </c>
      <c r="AA67" s="22" t="e">
        <f t="shared" si="9"/>
        <v>#N/A</v>
      </c>
      <c r="AB67" s="21" t="e">
        <f t="shared" si="10"/>
        <v>#N/A</v>
      </c>
      <c r="AC67" s="21" t="e">
        <f t="shared" si="11"/>
        <v>#N/A</v>
      </c>
      <c r="AD67" s="11" t="e">
        <f t="shared" si="12"/>
        <v>#N/A</v>
      </c>
      <c r="AE67" s="22" t="e">
        <f t="shared" si="5"/>
        <v>#N/A</v>
      </c>
      <c r="AF67" s="21" t="e">
        <f t="shared" si="6"/>
        <v>#N/A</v>
      </c>
      <c r="AG67" s="21" t="e">
        <f t="shared" si="7"/>
        <v>#N/A</v>
      </c>
      <c r="AH67" s="11" t="e">
        <f t="shared" si="8"/>
        <v>#N/A</v>
      </c>
      <c r="AI67">
        <v>2.5000000000000001E-2</v>
      </c>
      <c r="AJ67">
        <v>-2.5000000000000001E-2</v>
      </c>
      <c r="AK67">
        <v>1.5E-3</v>
      </c>
      <c r="AL67">
        <v>-1.5E-3</v>
      </c>
      <c r="AM67">
        <v>1.5E-3</v>
      </c>
      <c r="AN67">
        <v>-1.5E-3</v>
      </c>
      <c r="AO67" s="16">
        <v>2.5000000000000001E-2</v>
      </c>
      <c r="AP67" s="16">
        <v>-2.5000000000000001E-2</v>
      </c>
      <c r="AQ67">
        <v>1.4999999999999999E-2</v>
      </c>
      <c r="AR67">
        <v>-1.4999999999999999E-2</v>
      </c>
      <c r="AS67">
        <v>1E-3</v>
      </c>
      <c r="AT67">
        <v>-1E-3</v>
      </c>
      <c r="AU67">
        <v>1E-3</v>
      </c>
      <c r="AV67">
        <v>-1E-3</v>
      </c>
      <c r="AW67" s="16">
        <v>1.4999999999999999E-2</v>
      </c>
      <c r="AX67" s="16">
        <v>-1.4999999999999999E-2</v>
      </c>
    </row>
    <row r="68" spans="6:278" customFormat="1">
      <c r="F68" s="17" t="str">
        <f t="shared" si="0"/>
        <v/>
      </c>
      <c r="G68" s="9"/>
      <c r="H68" s="2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22" t="e">
        <f t="shared" si="1"/>
        <v>#N/A</v>
      </c>
      <c r="X68" s="21" t="e">
        <f t="shared" si="2"/>
        <v>#N/A</v>
      </c>
      <c r="Y68" s="21" t="e">
        <f t="shared" si="3"/>
        <v>#N/A</v>
      </c>
      <c r="Z68" s="11" t="e">
        <f t="shared" si="4"/>
        <v>#N/A</v>
      </c>
      <c r="AA68" s="22" t="e">
        <f t="shared" si="9"/>
        <v>#N/A</v>
      </c>
      <c r="AB68" s="21" t="e">
        <f t="shared" si="10"/>
        <v>#N/A</v>
      </c>
      <c r="AC68" s="21" t="e">
        <f t="shared" si="11"/>
        <v>#N/A</v>
      </c>
      <c r="AD68" s="11" t="e">
        <f t="shared" si="12"/>
        <v>#N/A</v>
      </c>
      <c r="AE68" s="22" t="e">
        <f t="shared" si="5"/>
        <v>#N/A</v>
      </c>
      <c r="AF68" s="21" t="e">
        <f t="shared" si="6"/>
        <v>#N/A</v>
      </c>
      <c r="AG68" s="21" t="e">
        <f t="shared" si="7"/>
        <v>#N/A</v>
      </c>
      <c r="AH68" s="11" t="e">
        <f t="shared" si="8"/>
        <v>#N/A</v>
      </c>
      <c r="AI68">
        <v>2.5000000000000001E-2</v>
      </c>
      <c r="AJ68">
        <v>-2.5000000000000001E-2</v>
      </c>
      <c r="AK68">
        <v>1.5E-3</v>
      </c>
      <c r="AL68">
        <v>-1.5E-3</v>
      </c>
      <c r="AM68">
        <v>1.5E-3</v>
      </c>
      <c r="AN68">
        <v>-1.5E-3</v>
      </c>
      <c r="AO68" s="16">
        <v>2.5000000000000001E-2</v>
      </c>
      <c r="AP68" s="16">
        <v>-2.5000000000000001E-2</v>
      </c>
      <c r="AQ68">
        <v>1.4999999999999999E-2</v>
      </c>
      <c r="AR68">
        <v>-1.4999999999999999E-2</v>
      </c>
      <c r="AS68">
        <v>1E-3</v>
      </c>
      <c r="AT68">
        <v>-1E-3</v>
      </c>
      <c r="AU68">
        <v>1E-3</v>
      </c>
      <c r="AV68">
        <v>-1E-3</v>
      </c>
      <c r="AW68" s="16">
        <v>1.4999999999999999E-2</v>
      </c>
      <c r="AX68" s="16">
        <v>-1.4999999999999999E-2</v>
      </c>
    </row>
    <row r="69" spans="6:278" customFormat="1">
      <c r="F69" s="17" t="str">
        <f t="shared" si="0"/>
        <v/>
      </c>
      <c r="G69" s="9"/>
      <c r="H69" s="2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22" t="e">
        <f t="shared" si="1"/>
        <v>#N/A</v>
      </c>
      <c r="X69" s="21" t="e">
        <f t="shared" si="2"/>
        <v>#N/A</v>
      </c>
      <c r="Y69" s="21" t="e">
        <f t="shared" si="3"/>
        <v>#N/A</v>
      </c>
      <c r="Z69" s="11" t="e">
        <f t="shared" si="4"/>
        <v>#N/A</v>
      </c>
      <c r="AA69" s="22" t="e">
        <f t="shared" si="9"/>
        <v>#N/A</v>
      </c>
      <c r="AB69" s="21" t="e">
        <f t="shared" si="10"/>
        <v>#N/A</v>
      </c>
      <c r="AC69" s="21" t="e">
        <f t="shared" si="11"/>
        <v>#N/A</v>
      </c>
      <c r="AD69" s="11" t="e">
        <f t="shared" si="12"/>
        <v>#N/A</v>
      </c>
      <c r="AE69" s="22" t="e">
        <f t="shared" si="5"/>
        <v>#N/A</v>
      </c>
      <c r="AF69" s="21" t="e">
        <f t="shared" si="6"/>
        <v>#N/A</v>
      </c>
      <c r="AG69" s="21" t="e">
        <f t="shared" si="7"/>
        <v>#N/A</v>
      </c>
      <c r="AH69" s="11" t="e">
        <f t="shared" si="8"/>
        <v>#N/A</v>
      </c>
      <c r="AI69">
        <v>2.5000000000000001E-2</v>
      </c>
      <c r="AJ69">
        <v>-2.5000000000000001E-2</v>
      </c>
      <c r="AK69">
        <v>1.5E-3</v>
      </c>
      <c r="AL69">
        <v>-1.5E-3</v>
      </c>
      <c r="AM69">
        <v>1.5E-3</v>
      </c>
      <c r="AN69">
        <v>-1.5E-3</v>
      </c>
      <c r="AO69" s="16">
        <v>2.5000000000000001E-2</v>
      </c>
      <c r="AP69" s="16">
        <v>-2.5000000000000001E-2</v>
      </c>
      <c r="AQ69">
        <v>1.4999999999999999E-2</v>
      </c>
      <c r="AR69">
        <v>-1.4999999999999999E-2</v>
      </c>
      <c r="AS69">
        <v>1E-3</v>
      </c>
      <c r="AT69">
        <v>-1E-3</v>
      </c>
      <c r="AU69">
        <v>1E-3</v>
      </c>
      <c r="AV69">
        <v>-1E-3</v>
      </c>
      <c r="AW69" s="16">
        <v>1.4999999999999999E-2</v>
      </c>
      <c r="AX69" s="16">
        <v>-1.4999999999999999E-2</v>
      </c>
    </row>
    <row r="70" spans="6:278" customFormat="1">
      <c r="F70" s="17" t="str">
        <f t="shared" si="0"/>
        <v/>
      </c>
      <c r="G70" s="9"/>
      <c r="H70" s="2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22" t="e">
        <f t="shared" si="1"/>
        <v>#N/A</v>
      </c>
      <c r="X70" s="21" t="e">
        <f t="shared" si="2"/>
        <v>#N/A</v>
      </c>
      <c r="Y70" s="21" t="e">
        <f t="shared" si="3"/>
        <v>#N/A</v>
      </c>
      <c r="Z70" s="11" t="e">
        <f t="shared" si="4"/>
        <v>#N/A</v>
      </c>
      <c r="AA70" s="22" t="e">
        <f t="shared" si="9"/>
        <v>#N/A</v>
      </c>
      <c r="AB70" s="21" t="e">
        <f t="shared" si="10"/>
        <v>#N/A</v>
      </c>
      <c r="AC70" s="21" t="e">
        <f t="shared" si="11"/>
        <v>#N/A</v>
      </c>
      <c r="AD70" s="11" t="e">
        <f t="shared" si="12"/>
        <v>#N/A</v>
      </c>
      <c r="AE70" s="22" t="e">
        <f t="shared" si="5"/>
        <v>#N/A</v>
      </c>
      <c r="AF70" s="21" t="e">
        <f t="shared" si="6"/>
        <v>#N/A</v>
      </c>
      <c r="AG70" s="21" t="e">
        <f t="shared" si="7"/>
        <v>#N/A</v>
      </c>
      <c r="AH70" s="11" t="e">
        <f t="shared" si="8"/>
        <v>#N/A</v>
      </c>
      <c r="AI70">
        <v>2.5000000000000001E-2</v>
      </c>
      <c r="AJ70">
        <v>-2.5000000000000001E-2</v>
      </c>
      <c r="AK70">
        <v>1.5E-3</v>
      </c>
      <c r="AL70">
        <v>-1.5E-3</v>
      </c>
      <c r="AM70">
        <v>1.5E-3</v>
      </c>
      <c r="AN70">
        <v>-1.5E-3</v>
      </c>
      <c r="AO70" s="16">
        <v>2.5000000000000001E-2</v>
      </c>
      <c r="AP70" s="16">
        <v>-2.5000000000000001E-2</v>
      </c>
      <c r="AQ70">
        <v>1.4999999999999999E-2</v>
      </c>
      <c r="AR70">
        <v>-1.4999999999999999E-2</v>
      </c>
      <c r="AS70">
        <v>1E-3</v>
      </c>
      <c r="AT70">
        <v>-1E-3</v>
      </c>
      <c r="AU70">
        <v>1E-3</v>
      </c>
      <c r="AV70">
        <v>-1E-3</v>
      </c>
      <c r="AW70" s="16">
        <v>1.4999999999999999E-2</v>
      </c>
      <c r="AX70" s="16">
        <v>-1.4999999999999999E-2</v>
      </c>
    </row>
    <row r="71" spans="6:278" customFormat="1">
      <c r="F71" s="17" t="str">
        <f t="shared" ref="F71:F100" si="13">IF(G71="","",G71)</f>
        <v/>
      </c>
      <c r="G71" s="9"/>
      <c r="H71" s="2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22" t="e">
        <f t="shared" ref="W71:W100" si="14">IF(H71="",NA(),I71-VLOOKUP(H71,$A$6:$E$35,2,FALSE))</f>
        <v>#N/A</v>
      </c>
      <c r="X71" s="21" t="e">
        <f t="shared" ref="X71:X100" si="15">IF(H71="",NA(),J71-VLOOKUP(H71,$A$6:$E$35,3,FALSE))</f>
        <v>#N/A</v>
      </c>
      <c r="Y71" s="21" t="e">
        <f t="shared" ref="Y71:Y100" si="16">IF(H71="",NA(),K71-VLOOKUP(H71,$A$6:$E$35,4,FALSE))</f>
        <v>#N/A</v>
      </c>
      <c r="Z71" s="11" t="e">
        <f t="shared" ref="Z71:Z100" si="17">IF(H71="",NA(),L71/VLOOKUP(H71,$A$6:$E$35,5,FALSE)-1)</f>
        <v>#N/A</v>
      </c>
      <c r="AA71" s="22" t="e">
        <f t="shared" ref="AA71:AA100" si="18">IF(M71="",NA(),N71-VLOOKUP(M71,$A$6:$E$35,2,FALSE))</f>
        <v>#N/A</v>
      </c>
      <c r="AB71" s="21" t="e">
        <f t="shared" ref="AB71:AB100" si="19">IF(M71="",NA(),O71-VLOOKUP(M71,$A$6:$E$35,3,FALSE))</f>
        <v>#N/A</v>
      </c>
      <c r="AC71" s="21" t="e">
        <f t="shared" ref="AC71:AC100" si="20">IF(M71="",NA(),P71-VLOOKUP(M71,$A$6:$E$35,4,FALSE))</f>
        <v>#N/A</v>
      </c>
      <c r="AD71" s="11" t="e">
        <f t="shared" ref="AD71:AD100" si="21">IF(M71="",NA(),Q71/VLOOKUP(M71,$A$6:$E$35,5,FALSE)-1)</f>
        <v>#N/A</v>
      </c>
      <c r="AE71" s="22" t="e">
        <f t="shared" ref="AE71:AE100" si="22">IF(R71="",NA(),S71-VLOOKUP(R71,$A$6:$E$35,2,FALSE))</f>
        <v>#N/A</v>
      </c>
      <c r="AF71" s="21" t="e">
        <f t="shared" ref="AF71:AF100" si="23">IF(R71="",NA(),T71-VLOOKUP(R71,$A$6:$E$35,3,FALSE))</f>
        <v>#N/A</v>
      </c>
      <c r="AG71" s="21" t="e">
        <f t="shared" ref="AG71:AG100" si="24">IF(R71="",NA(),U71-VLOOKUP(R71,$A$6:$E$35,4,FALSE))</f>
        <v>#N/A</v>
      </c>
      <c r="AH71" s="11" t="e">
        <f t="shared" ref="AH71:AH100" si="25">IF(R71="",NA(),V71/VLOOKUP(R71,$A$6:$E$35,5,FALSE)-1)</f>
        <v>#N/A</v>
      </c>
      <c r="AI71">
        <v>2.5000000000000001E-2</v>
      </c>
      <c r="AJ71">
        <v>-2.5000000000000001E-2</v>
      </c>
      <c r="AK71">
        <v>1.5E-3</v>
      </c>
      <c r="AL71">
        <v>-1.5E-3</v>
      </c>
      <c r="AM71">
        <v>1.5E-3</v>
      </c>
      <c r="AN71">
        <v>-1.5E-3</v>
      </c>
      <c r="AO71" s="16">
        <v>2.5000000000000001E-2</v>
      </c>
      <c r="AP71" s="16">
        <v>-2.5000000000000001E-2</v>
      </c>
      <c r="AQ71">
        <v>1.4999999999999999E-2</v>
      </c>
      <c r="AR71">
        <v>-1.4999999999999999E-2</v>
      </c>
      <c r="AS71">
        <v>1E-3</v>
      </c>
      <c r="AT71">
        <v>-1E-3</v>
      </c>
      <c r="AU71">
        <v>1E-3</v>
      </c>
      <c r="AV71">
        <v>-1E-3</v>
      </c>
      <c r="AW71" s="16">
        <v>1.4999999999999999E-2</v>
      </c>
      <c r="AX71" s="16">
        <v>-1.4999999999999999E-2</v>
      </c>
    </row>
    <row r="72" spans="6:278" customFormat="1">
      <c r="F72" s="17" t="str">
        <f t="shared" si="13"/>
        <v/>
      </c>
      <c r="G72" s="9"/>
      <c r="H72" s="2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22" t="e">
        <f t="shared" si="14"/>
        <v>#N/A</v>
      </c>
      <c r="X72" s="21" t="e">
        <f t="shared" si="15"/>
        <v>#N/A</v>
      </c>
      <c r="Y72" s="21" t="e">
        <f t="shared" si="16"/>
        <v>#N/A</v>
      </c>
      <c r="Z72" s="11" t="e">
        <f t="shared" si="17"/>
        <v>#N/A</v>
      </c>
      <c r="AA72" s="22" t="e">
        <f t="shared" si="18"/>
        <v>#N/A</v>
      </c>
      <c r="AB72" s="21" t="e">
        <f t="shared" si="19"/>
        <v>#N/A</v>
      </c>
      <c r="AC72" s="21" t="e">
        <f t="shared" si="20"/>
        <v>#N/A</v>
      </c>
      <c r="AD72" s="11" t="e">
        <f t="shared" si="21"/>
        <v>#N/A</v>
      </c>
      <c r="AE72" s="22" t="e">
        <f t="shared" si="22"/>
        <v>#N/A</v>
      </c>
      <c r="AF72" s="21" t="e">
        <f t="shared" si="23"/>
        <v>#N/A</v>
      </c>
      <c r="AG72" s="21" t="e">
        <f t="shared" si="24"/>
        <v>#N/A</v>
      </c>
      <c r="AH72" s="11" t="e">
        <f t="shared" si="25"/>
        <v>#N/A</v>
      </c>
      <c r="AI72">
        <v>2.5000000000000001E-2</v>
      </c>
      <c r="AJ72">
        <v>-2.5000000000000001E-2</v>
      </c>
      <c r="AK72">
        <v>1.5E-3</v>
      </c>
      <c r="AL72">
        <v>-1.5E-3</v>
      </c>
      <c r="AM72">
        <v>1.5E-3</v>
      </c>
      <c r="AN72">
        <v>-1.5E-3</v>
      </c>
      <c r="AO72" s="16">
        <v>2.5000000000000001E-2</v>
      </c>
      <c r="AP72" s="16">
        <v>-2.5000000000000001E-2</v>
      </c>
      <c r="AQ72">
        <v>1.4999999999999999E-2</v>
      </c>
      <c r="AR72">
        <v>-1.4999999999999999E-2</v>
      </c>
      <c r="AS72">
        <v>1E-3</v>
      </c>
      <c r="AT72">
        <v>-1E-3</v>
      </c>
      <c r="AU72">
        <v>1E-3</v>
      </c>
      <c r="AV72">
        <v>-1E-3</v>
      </c>
      <c r="AW72" s="16">
        <v>1.4999999999999999E-2</v>
      </c>
      <c r="AX72" s="16">
        <v>-1.4999999999999999E-2</v>
      </c>
    </row>
    <row r="73" spans="6:278" customFormat="1">
      <c r="F73" s="17" t="str">
        <f t="shared" si="13"/>
        <v/>
      </c>
      <c r="G73" s="9"/>
      <c r="H73" s="2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22" t="e">
        <f t="shared" si="14"/>
        <v>#N/A</v>
      </c>
      <c r="X73" s="21" t="e">
        <f t="shared" si="15"/>
        <v>#N/A</v>
      </c>
      <c r="Y73" s="21" t="e">
        <f t="shared" si="16"/>
        <v>#N/A</v>
      </c>
      <c r="Z73" s="11" t="e">
        <f t="shared" si="17"/>
        <v>#N/A</v>
      </c>
      <c r="AA73" s="22" t="e">
        <f t="shared" si="18"/>
        <v>#N/A</v>
      </c>
      <c r="AB73" s="21" t="e">
        <f t="shared" si="19"/>
        <v>#N/A</v>
      </c>
      <c r="AC73" s="21" t="e">
        <f t="shared" si="20"/>
        <v>#N/A</v>
      </c>
      <c r="AD73" s="11" t="e">
        <f t="shared" si="21"/>
        <v>#N/A</v>
      </c>
      <c r="AE73" s="22" t="e">
        <f t="shared" si="22"/>
        <v>#N/A</v>
      </c>
      <c r="AF73" s="21" t="e">
        <f t="shared" si="23"/>
        <v>#N/A</v>
      </c>
      <c r="AG73" s="21" t="e">
        <f t="shared" si="24"/>
        <v>#N/A</v>
      </c>
      <c r="AH73" s="11" t="e">
        <f t="shared" si="25"/>
        <v>#N/A</v>
      </c>
      <c r="AI73">
        <v>2.5000000000000001E-2</v>
      </c>
      <c r="AJ73">
        <v>-2.5000000000000001E-2</v>
      </c>
      <c r="AK73">
        <v>1.5E-3</v>
      </c>
      <c r="AL73">
        <v>-1.5E-3</v>
      </c>
      <c r="AM73">
        <v>1.5E-3</v>
      </c>
      <c r="AN73">
        <v>-1.5E-3</v>
      </c>
      <c r="AO73" s="16">
        <v>2.5000000000000001E-2</v>
      </c>
      <c r="AP73" s="16">
        <v>-2.5000000000000001E-2</v>
      </c>
      <c r="AQ73">
        <v>1.4999999999999999E-2</v>
      </c>
      <c r="AR73">
        <v>-1.4999999999999999E-2</v>
      </c>
      <c r="AS73">
        <v>1E-3</v>
      </c>
      <c r="AT73">
        <v>-1E-3</v>
      </c>
      <c r="AU73">
        <v>1E-3</v>
      </c>
      <c r="AV73">
        <v>-1E-3</v>
      </c>
      <c r="AW73" s="16">
        <v>1.4999999999999999E-2</v>
      </c>
      <c r="AX73" s="16">
        <v>-1.4999999999999999E-2</v>
      </c>
    </row>
    <row r="74" spans="6:278" customFormat="1">
      <c r="F74" s="17" t="str">
        <f t="shared" si="13"/>
        <v/>
      </c>
      <c r="G74" s="9"/>
      <c r="H74" s="2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22" t="e">
        <f t="shared" si="14"/>
        <v>#N/A</v>
      </c>
      <c r="X74" s="21" t="e">
        <f t="shared" si="15"/>
        <v>#N/A</v>
      </c>
      <c r="Y74" s="21" t="e">
        <f t="shared" si="16"/>
        <v>#N/A</v>
      </c>
      <c r="Z74" s="11" t="e">
        <f t="shared" si="17"/>
        <v>#N/A</v>
      </c>
      <c r="AA74" s="22" t="e">
        <f t="shared" si="18"/>
        <v>#N/A</v>
      </c>
      <c r="AB74" s="21" t="e">
        <f t="shared" si="19"/>
        <v>#N/A</v>
      </c>
      <c r="AC74" s="21" t="e">
        <f t="shared" si="20"/>
        <v>#N/A</v>
      </c>
      <c r="AD74" s="11" t="e">
        <f t="shared" si="21"/>
        <v>#N/A</v>
      </c>
      <c r="AE74" s="22" t="e">
        <f t="shared" si="22"/>
        <v>#N/A</v>
      </c>
      <c r="AF74" s="21" t="e">
        <f t="shared" si="23"/>
        <v>#N/A</v>
      </c>
      <c r="AG74" s="21" t="e">
        <f t="shared" si="24"/>
        <v>#N/A</v>
      </c>
      <c r="AH74" s="11" t="e">
        <f t="shared" si="25"/>
        <v>#N/A</v>
      </c>
      <c r="AI74">
        <v>2.5000000000000001E-2</v>
      </c>
      <c r="AJ74">
        <v>-2.5000000000000001E-2</v>
      </c>
      <c r="AK74">
        <v>1.5E-3</v>
      </c>
      <c r="AL74">
        <v>-1.5E-3</v>
      </c>
      <c r="AM74">
        <v>1.5E-3</v>
      </c>
      <c r="AN74">
        <v>-1.5E-3</v>
      </c>
      <c r="AO74" s="16">
        <v>2.5000000000000001E-2</v>
      </c>
      <c r="AP74" s="16">
        <v>-2.5000000000000001E-2</v>
      </c>
      <c r="AQ74">
        <v>1.4999999999999999E-2</v>
      </c>
      <c r="AR74">
        <v>-1.4999999999999999E-2</v>
      </c>
      <c r="AS74">
        <v>1E-3</v>
      </c>
      <c r="AT74">
        <v>-1E-3</v>
      </c>
      <c r="AU74">
        <v>1E-3</v>
      </c>
      <c r="AV74">
        <v>-1E-3</v>
      </c>
      <c r="AW74" s="16">
        <v>1.4999999999999999E-2</v>
      </c>
      <c r="AX74" s="16">
        <v>-1.4999999999999999E-2</v>
      </c>
    </row>
    <row r="75" spans="6:278" customFormat="1">
      <c r="F75" s="17" t="str">
        <f t="shared" si="13"/>
        <v/>
      </c>
      <c r="G75" s="9"/>
      <c r="H75" s="2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22" t="e">
        <f t="shared" si="14"/>
        <v>#N/A</v>
      </c>
      <c r="X75" s="21" t="e">
        <f t="shared" si="15"/>
        <v>#N/A</v>
      </c>
      <c r="Y75" s="21" t="e">
        <f t="shared" si="16"/>
        <v>#N/A</v>
      </c>
      <c r="Z75" s="11" t="e">
        <f t="shared" si="17"/>
        <v>#N/A</v>
      </c>
      <c r="AA75" s="22" t="e">
        <f t="shared" si="18"/>
        <v>#N/A</v>
      </c>
      <c r="AB75" s="21" t="e">
        <f t="shared" si="19"/>
        <v>#N/A</v>
      </c>
      <c r="AC75" s="21" t="e">
        <f t="shared" si="20"/>
        <v>#N/A</v>
      </c>
      <c r="AD75" s="11" t="e">
        <f t="shared" si="21"/>
        <v>#N/A</v>
      </c>
      <c r="AE75" s="22" t="e">
        <f t="shared" si="22"/>
        <v>#N/A</v>
      </c>
      <c r="AF75" s="21" t="e">
        <f t="shared" si="23"/>
        <v>#N/A</v>
      </c>
      <c r="AG75" s="21" t="e">
        <f t="shared" si="24"/>
        <v>#N/A</v>
      </c>
      <c r="AH75" s="11" t="e">
        <f t="shared" si="25"/>
        <v>#N/A</v>
      </c>
      <c r="AI75">
        <v>2.5000000000000001E-2</v>
      </c>
      <c r="AJ75">
        <v>-2.5000000000000001E-2</v>
      </c>
      <c r="AK75">
        <v>1.5E-3</v>
      </c>
      <c r="AL75">
        <v>-1.5E-3</v>
      </c>
      <c r="AM75">
        <v>1.5E-3</v>
      </c>
      <c r="AN75">
        <v>-1.5E-3</v>
      </c>
      <c r="AO75" s="16">
        <v>2.5000000000000001E-2</v>
      </c>
      <c r="AP75" s="16">
        <v>-2.5000000000000001E-2</v>
      </c>
      <c r="AQ75">
        <v>1.4999999999999999E-2</v>
      </c>
      <c r="AR75">
        <v>-1.4999999999999999E-2</v>
      </c>
      <c r="AS75">
        <v>1E-3</v>
      </c>
      <c r="AT75">
        <v>-1E-3</v>
      </c>
      <c r="AU75">
        <v>1E-3</v>
      </c>
      <c r="AV75">
        <v>-1E-3</v>
      </c>
      <c r="AW75" s="16">
        <v>1.4999999999999999E-2</v>
      </c>
      <c r="AX75" s="16">
        <v>-1.4999999999999999E-2</v>
      </c>
    </row>
    <row r="76" spans="6:278" customFormat="1">
      <c r="F76" s="17" t="str">
        <f t="shared" si="13"/>
        <v/>
      </c>
      <c r="G76" s="9"/>
      <c r="H76" s="2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22" t="e">
        <f t="shared" si="14"/>
        <v>#N/A</v>
      </c>
      <c r="X76" s="21" t="e">
        <f t="shared" si="15"/>
        <v>#N/A</v>
      </c>
      <c r="Y76" s="21" t="e">
        <f t="shared" si="16"/>
        <v>#N/A</v>
      </c>
      <c r="Z76" s="11" t="e">
        <f t="shared" si="17"/>
        <v>#N/A</v>
      </c>
      <c r="AA76" s="22" t="e">
        <f t="shared" si="18"/>
        <v>#N/A</v>
      </c>
      <c r="AB76" s="21" t="e">
        <f t="shared" si="19"/>
        <v>#N/A</v>
      </c>
      <c r="AC76" s="21" t="e">
        <f t="shared" si="20"/>
        <v>#N/A</v>
      </c>
      <c r="AD76" s="11" t="e">
        <f t="shared" si="21"/>
        <v>#N/A</v>
      </c>
      <c r="AE76" s="22" t="e">
        <f t="shared" si="22"/>
        <v>#N/A</v>
      </c>
      <c r="AF76" s="21" t="e">
        <f t="shared" si="23"/>
        <v>#N/A</v>
      </c>
      <c r="AG76" s="21" t="e">
        <f t="shared" si="24"/>
        <v>#N/A</v>
      </c>
      <c r="AH76" s="11" t="e">
        <f t="shared" si="25"/>
        <v>#N/A</v>
      </c>
      <c r="AI76">
        <v>2.5000000000000001E-2</v>
      </c>
      <c r="AJ76">
        <v>-2.5000000000000001E-2</v>
      </c>
      <c r="AK76">
        <v>1.5E-3</v>
      </c>
      <c r="AL76">
        <v>-1.5E-3</v>
      </c>
      <c r="AM76">
        <v>1.5E-3</v>
      </c>
      <c r="AN76">
        <v>-1.5E-3</v>
      </c>
      <c r="AO76" s="16">
        <v>2.5000000000000001E-2</v>
      </c>
      <c r="AP76" s="16">
        <v>-2.5000000000000001E-2</v>
      </c>
      <c r="AQ76">
        <v>1.4999999999999999E-2</v>
      </c>
      <c r="AR76">
        <v>-1.4999999999999999E-2</v>
      </c>
      <c r="AS76">
        <v>1E-3</v>
      </c>
      <c r="AT76">
        <v>-1E-3</v>
      </c>
      <c r="AU76">
        <v>1E-3</v>
      </c>
      <c r="AV76">
        <v>-1E-3</v>
      </c>
      <c r="AW76" s="16">
        <v>1.4999999999999999E-2</v>
      </c>
      <c r="AX76" s="16">
        <v>-1.4999999999999999E-2</v>
      </c>
    </row>
    <row r="77" spans="6:278" customFormat="1">
      <c r="F77" s="17" t="str">
        <f t="shared" si="13"/>
        <v/>
      </c>
      <c r="G77" s="9"/>
      <c r="H77" s="2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22" t="e">
        <f t="shared" si="14"/>
        <v>#N/A</v>
      </c>
      <c r="X77" s="21" t="e">
        <f t="shared" si="15"/>
        <v>#N/A</v>
      </c>
      <c r="Y77" s="21" t="e">
        <f t="shared" si="16"/>
        <v>#N/A</v>
      </c>
      <c r="Z77" s="11" t="e">
        <f t="shared" si="17"/>
        <v>#N/A</v>
      </c>
      <c r="AA77" s="22" t="e">
        <f t="shared" si="18"/>
        <v>#N/A</v>
      </c>
      <c r="AB77" s="21" t="e">
        <f t="shared" si="19"/>
        <v>#N/A</v>
      </c>
      <c r="AC77" s="21" t="e">
        <f t="shared" si="20"/>
        <v>#N/A</v>
      </c>
      <c r="AD77" s="11" t="e">
        <f t="shared" si="21"/>
        <v>#N/A</v>
      </c>
      <c r="AE77" s="22" t="e">
        <f t="shared" si="22"/>
        <v>#N/A</v>
      </c>
      <c r="AF77" s="21" t="e">
        <f t="shared" si="23"/>
        <v>#N/A</v>
      </c>
      <c r="AG77" s="21" t="e">
        <f t="shared" si="24"/>
        <v>#N/A</v>
      </c>
      <c r="AH77" s="11" t="e">
        <f t="shared" si="25"/>
        <v>#N/A</v>
      </c>
      <c r="AI77">
        <v>2.5000000000000001E-2</v>
      </c>
      <c r="AJ77">
        <v>-2.5000000000000001E-2</v>
      </c>
      <c r="AK77">
        <v>1.5E-3</v>
      </c>
      <c r="AL77">
        <v>-1.5E-3</v>
      </c>
      <c r="AM77">
        <v>1.5E-3</v>
      </c>
      <c r="AN77">
        <v>-1.5E-3</v>
      </c>
      <c r="AO77" s="16">
        <v>2.5000000000000001E-2</v>
      </c>
      <c r="AP77" s="16">
        <v>-2.5000000000000001E-2</v>
      </c>
      <c r="AQ77">
        <v>1.4999999999999999E-2</v>
      </c>
      <c r="AR77">
        <v>-1.4999999999999999E-2</v>
      </c>
      <c r="AS77">
        <v>1E-3</v>
      </c>
      <c r="AT77">
        <v>-1E-3</v>
      </c>
      <c r="AU77">
        <v>1E-3</v>
      </c>
      <c r="AV77">
        <v>-1E-3</v>
      </c>
      <c r="AW77" s="16">
        <v>1.4999999999999999E-2</v>
      </c>
      <c r="AX77" s="16">
        <v>-1.4999999999999999E-2</v>
      </c>
    </row>
    <row r="78" spans="6:278" customFormat="1">
      <c r="F78" s="17" t="str">
        <f t="shared" si="13"/>
        <v/>
      </c>
      <c r="G78" s="9"/>
      <c r="H78" s="2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22" t="e">
        <f t="shared" si="14"/>
        <v>#N/A</v>
      </c>
      <c r="X78" s="21" t="e">
        <f t="shared" si="15"/>
        <v>#N/A</v>
      </c>
      <c r="Y78" s="21" t="e">
        <f t="shared" si="16"/>
        <v>#N/A</v>
      </c>
      <c r="Z78" s="11" t="e">
        <f t="shared" si="17"/>
        <v>#N/A</v>
      </c>
      <c r="AA78" s="22" t="e">
        <f t="shared" si="18"/>
        <v>#N/A</v>
      </c>
      <c r="AB78" s="21" t="e">
        <f t="shared" si="19"/>
        <v>#N/A</v>
      </c>
      <c r="AC78" s="21" t="e">
        <f t="shared" si="20"/>
        <v>#N/A</v>
      </c>
      <c r="AD78" s="11" t="e">
        <f t="shared" si="21"/>
        <v>#N/A</v>
      </c>
      <c r="AE78" s="22" t="e">
        <f t="shared" si="22"/>
        <v>#N/A</v>
      </c>
      <c r="AF78" s="21" t="e">
        <f t="shared" si="23"/>
        <v>#N/A</v>
      </c>
      <c r="AG78" s="21" t="e">
        <f t="shared" si="24"/>
        <v>#N/A</v>
      </c>
      <c r="AH78" s="11" t="e">
        <f t="shared" si="25"/>
        <v>#N/A</v>
      </c>
      <c r="AI78">
        <v>2.5000000000000001E-2</v>
      </c>
      <c r="AJ78">
        <v>-2.5000000000000001E-2</v>
      </c>
      <c r="AK78">
        <v>1.5E-3</v>
      </c>
      <c r="AL78">
        <v>-1.5E-3</v>
      </c>
      <c r="AM78">
        <v>1.5E-3</v>
      </c>
      <c r="AN78">
        <v>-1.5E-3</v>
      </c>
      <c r="AO78" s="16">
        <v>2.5000000000000001E-2</v>
      </c>
      <c r="AP78" s="16">
        <v>-2.5000000000000001E-2</v>
      </c>
      <c r="AQ78">
        <v>1.4999999999999999E-2</v>
      </c>
      <c r="AR78">
        <v>-1.4999999999999999E-2</v>
      </c>
      <c r="AS78">
        <v>1E-3</v>
      </c>
      <c r="AT78">
        <v>-1E-3</v>
      </c>
      <c r="AU78">
        <v>1E-3</v>
      </c>
      <c r="AV78">
        <v>-1E-3</v>
      </c>
      <c r="AW78" s="16">
        <v>1.4999999999999999E-2</v>
      </c>
      <c r="AX78" s="16">
        <v>-1.4999999999999999E-2</v>
      </c>
    </row>
    <row r="79" spans="6:278" customFormat="1">
      <c r="F79" s="17" t="str">
        <f t="shared" si="13"/>
        <v/>
      </c>
      <c r="G79" s="4"/>
      <c r="H79" s="2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22" t="e">
        <f t="shared" si="14"/>
        <v>#N/A</v>
      </c>
      <c r="X79" s="21" t="e">
        <f t="shared" si="15"/>
        <v>#N/A</v>
      </c>
      <c r="Y79" s="21" t="e">
        <f t="shared" si="16"/>
        <v>#N/A</v>
      </c>
      <c r="Z79" s="11" t="e">
        <f t="shared" si="17"/>
        <v>#N/A</v>
      </c>
      <c r="AA79" s="22" t="e">
        <f t="shared" si="18"/>
        <v>#N/A</v>
      </c>
      <c r="AB79" s="21" t="e">
        <f t="shared" si="19"/>
        <v>#N/A</v>
      </c>
      <c r="AC79" s="21" t="e">
        <f t="shared" si="20"/>
        <v>#N/A</v>
      </c>
      <c r="AD79" s="11" t="e">
        <f t="shared" si="21"/>
        <v>#N/A</v>
      </c>
      <c r="AE79" s="22" t="e">
        <f t="shared" si="22"/>
        <v>#N/A</v>
      </c>
      <c r="AF79" s="21" t="e">
        <f t="shared" si="23"/>
        <v>#N/A</v>
      </c>
      <c r="AG79" s="21" t="e">
        <f t="shared" si="24"/>
        <v>#N/A</v>
      </c>
      <c r="AH79" s="11" t="e">
        <f t="shared" si="25"/>
        <v>#N/A</v>
      </c>
      <c r="AI79">
        <v>2.5000000000000001E-2</v>
      </c>
      <c r="AJ79">
        <v>-2.5000000000000001E-2</v>
      </c>
      <c r="AK79">
        <v>1.5E-3</v>
      </c>
      <c r="AL79">
        <v>-1.5E-3</v>
      </c>
      <c r="AM79">
        <v>1.5E-3</v>
      </c>
      <c r="AN79">
        <v>-1.5E-3</v>
      </c>
      <c r="AO79" s="16">
        <v>2.5000000000000001E-2</v>
      </c>
      <c r="AP79" s="16">
        <v>-2.5000000000000001E-2</v>
      </c>
      <c r="AQ79">
        <v>1.4999999999999999E-2</v>
      </c>
      <c r="AR79">
        <v>-1.4999999999999999E-2</v>
      </c>
      <c r="AS79">
        <v>1E-3</v>
      </c>
      <c r="AT79">
        <v>-1E-3</v>
      </c>
      <c r="AU79">
        <v>1E-3</v>
      </c>
      <c r="AV79">
        <v>-1E-3</v>
      </c>
      <c r="AW79" s="16">
        <v>1.4999999999999999E-2</v>
      </c>
      <c r="AX79" s="16">
        <v>-1.4999999999999999E-2</v>
      </c>
    </row>
    <row r="80" spans="6:278" customFormat="1">
      <c r="F80" s="17" t="str">
        <f t="shared" si="13"/>
        <v/>
      </c>
      <c r="G80" s="4"/>
      <c r="H80" s="2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22" t="e">
        <f t="shared" si="14"/>
        <v>#N/A</v>
      </c>
      <c r="X80" s="21" t="e">
        <f t="shared" si="15"/>
        <v>#N/A</v>
      </c>
      <c r="Y80" s="21" t="e">
        <f t="shared" si="16"/>
        <v>#N/A</v>
      </c>
      <c r="Z80" s="11" t="e">
        <f t="shared" si="17"/>
        <v>#N/A</v>
      </c>
      <c r="AA80" s="22" t="e">
        <f t="shared" si="18"/>
        <v>#N/A</v>
      </c>
      <c r="AB80" s="21" t="e">
        <f t="shared" si="19"/>
        <v>#N/A</v>
      </c>
      <c r="AC80" s="21" t="e">
        <f t="shared" si="20"/>
        <v>#N/A</v>
      </c>
      <c r="AD80" s="11" t="e">
        <f t="shared" si="21"/>
        <v>#N/A</v>
      </c>
      <c r="AE80" s="22" t="e">
        <f t="shared" si="22"/>
        <v>#N/A</v>
      </c>
      <c r="AF80" s="21" t="e">
        <f t="shared" si="23"/>
        <v>#N/A</v>
      </c>
      <c r="AG80" s="21" t="e">
        <f t="shared" si="24"/>
        <v>#N/A</v>
      </c>
      <c r="AH80" s="11" t="e">
        <f t="shared" si="25"/>
        <v>#N/A</v>
      </c>
      <c r="AI80">
        <v>2.5000000000000001E-2</v>
      </c>
      <c r="AJ80">
        <v>-2.5000000000000001E-2</v>
      </c>
      <c r="AK80">
        <v>1.5E-3</v>
      </c>
      <c r="AL80">
        <v>-1.5E-3</v>
      </c>
      <c r="AM80">
        <v>1.5E-3</v>
      </c>
      <c r="AN80">
        <v>-1.5E-3</v>
      </c>
      <c r="AO80" s="16">
        <v>2.5000000000000001E-2</v>
      </c>
      <c r="AP80" s="16">
        <v>-2.5000000000000001E-2</v>
      </c>
      <c r="AQ80">
        <v>1.4999999999999999E-2</v>
      </c>
      <c r="AR80">
        <v>-1.4999999999999999E-2</v>
      </c>
      <c r="AS80">
        <v>1E-3</v>
      </c>
      <c r="AT80">
        <v>-1E-3</v>
      </c>
      <c r="AU80">
        <v>1E-3</v>
      </c>
      <c r="AV80">
        <v>-1E-3</v>
      </c>
      <c r="AW80" s="16">
        <v>1.4999999999999999E-2</v>
      </c>
      <c r="AX80" s="16">
        <v>-1.4999999999999999E-2</v>
      </c>
    </row>
    <row r="81" spans="6:50">
      <c r="F81" s="17" t="str">
        <f t="shared" si="13"/>
        <v/>
      </c>
      <c r="G81" s="4"/>
      <c r="H81" s="2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22" t="e">
        <f t="shared" si="14"/>
        <v>#N/A</v>
      </c>
      <c r="X81" s="21" t="e">
        <f t="shared" si="15"/>
        <v>#N/A</v>
      </c>
      <c r="Y81" s="21" t="e">
        <f t="shared" si="16"/>
        <v>#N/A</v>
      </c>
      <c r="Z81" s="11" t="e">
        <f t="shared" si="17"/>
        <v>#N/A</v>
      </c>
      <c r="AA81" s="22" t="e">
        <f t="shared" si="18"/>
        <v>#N/A</v>
      </c>
      <c r="AB81" s="21" t="e">
        <f t="shared" si="19"/>
        <v>#N/A</v>
      </c>
      <c r="AC81" s="21" t="e">
        <f t="shared" si="20"/>
        <v>#N/A</v>
      </c>
      <c r="AD81" s="11" t="e">
        <f t="shared" si="21"/>
        <v>#N/A</v>
      </c>
      <c r="AE81" s="22" t="e">
        <f t="shared" si="22"/>
        <v>#N/A</v>
      </c>
      <c r="AF81" s="21" t="e">
        <f t="shared" si="23"/>
        <v>#N/A</v>
      </c>
      <c r="AG81" s="21" t="e">
        <f t="shared" si="24"/>
        <v>#N/A</v>
      </c>
      <c r="AH81" s="11" t="e">
        <f t="shared" si="25"/>
        <v>#N/A</v>
      </c>
      <c r="AI81">
        <v>2.5000000000000001E-2</v>
      </c>
      <c r="AJ81">
        <v>-2.5000000000000001E-2</v>
      </c>
      <c r="AK81">
        <v>1.5E-3</v>
      </c>
      <c r="AL81">
        <v>-1.5E-3</v>
      </c>
      <c r="AM81">
        <v>1.5E-3</v>
      </c>
      <c r="AN81">
        <v>-1.5E-3</v>
      </c>
      <c r="AO81" s="16">
        <v>2.5000000000000001E-2</v>
      </c>
      <c r="AP81" s="16">
        <v>-2.5000000000000001E-2</v>
      </c>
      <c r="AQ81">
        <v>1.4999999999999999E-2</v>
      </c>
      <c r="AR81">
        <v>-1.4999999999999999E-2</v>
      </c>
      <c r="AS81">
        <v>1E-3</v>
      </c>
      <c r="AT81">
        <v>-1E-3</v>
      </c>
      <c r="AU81">
        <v>1E-3</v>
      </c>
      <c r="AV81">
        <v>-1E-3</v>
      </c>
      <c r="AW81" s="16">
        <v>1.4999999999999999E-2</v>
      </c>
      <c r="AX81" s="16">
        <v>-1.4999999999999999E-2</v>
      </c>
    </row>
    <row r="82" spans="6:50">
      <c r="F82" s="17" t="str">
        <f t="shared" si="13"/>
        <v/>
      </c>
      <c r="G82" s="4"/>
      <c r="H82" s="2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22" t="e">
        <f t="shared" si="14"/>
        <v>#N/A</v>
      </c>
      <c r="X82" s="21" t="e">
        <f t="shared" si="15"/>
        <v>#N/A</v>
      </c>
      <c r="Y82" s="21" t="e">
        <f t="shared" si="16"/>
        <v>#N/A</v>
      </c>
      <c r="Z82" s="11" t="e">
        <f t="shared" si="17"/>
        <v>#N/A</v>
      </c>
      <c r="AA82" s="22" t="e">
        <f t="shared" si="18"/>
        <v>#N/A</v>
      </c>
      <c r="AB82" s="21" t="e">
        <f t="shared" si="19"/>
        <v>#N/A</v>
      </c>
      <c r="AC82" s="21" t="e">
        <f t="shared" si="20"/>
        <v>#N/A</v>
      </c>
      <c r="AD82" s="11" t="e">
        <f t="shared" si="21"/>
        <v>#N/A</v>
      </c>
      <c r="AE82" s="22" t="e">
        <f t="shared" si="22"/>
        <v>#N/A</v>
      </c>
      <c r="AF82" s="21" t="e">
        <f t="shared" si="23"/>
        <v>#N/A</v>
      </c>
      <c r="AG82" s="21" t="e">
        <f t="shared" si="24"/>
        <v>#N/A</v>
      </c>
      <c r="AH82" s="11" t="e">
        <f t="shared" si="25"/>
        <v>#N/A</v>
      </c>
      <c r="AI82">
        <v>2.5000000000000001E-2</v>
      </c>
      <c r="AJ82">
        <v>-2.5000000000000001E-2</v>
      </c>
      <c r="AK82">
        <v>1.5E-3</v>
      </c>
      <c r="AL82">
        <v>-1.5E-3</v>
      </c>
      <c r="AM82">
        <v>1.5E-3</v>
      </c>
      <c r="AN82">
        <v>-1.5E-3</v>
      </c>
      <c r="AO82" s="16">
        <v>2.5000000000000001E-2</v>
      </c>
      <c r="AP82" s="16">
        <v>-2.5000000000000001E-2</v>
      </c>
      <c r="AQ82">
        <v>1.4999999999999999E-2</v>
      </c>
      <c r="AR82">
        <v>-1.4999999999999999E-2</v>
      </c>
      <c r="AS82">
        <v>1E-3</v>
      </c>
      <c r="AT82">
        <v>-1E-3</v>
      </c>
      <c r="AU82">
        <v>1E-3</v>
      </c>
      <c r="AV82">
        <v>-1E-3</v>
      </c>
      <c r="AW82" s="16">
        <v>1.4999999999999999E-2</v>
      </c>
      <c r="AX82" s="16">
        <v>-1.4999999999999999E-2</v>
      </c>
    </row>
    <row r="83" spans="6:50">
      <c r="F83" s="17" t="str">
        <f t="shared" si="13"/>
        <v/>
      </c>
      <c r="G83" s="4"/>
      <c r="H83" s="2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22" t="e">
        <f t="shared" si="14"/>
        <v>#N/A</v>
      </c>
      <c r="X83" s="21" t="e">
        <f t="shared" si="15"/>
        <v>#N/A</v>
      </c>
      <c r="Y83" s="21" t="e">
        <f t="shared" si="16"/>
        <v>#N/A</v>
      </c>
      <c r="Z83" s="11" t="e">
        <f t="shared" si="17"/>
        <v>#N/A</v>
      </c>
      <c r="AA83" s="22" t="e">
        <f t="shared" si="18"/>
        <v>#N/A</v>
      </c>
      <c r="AB83" s="21" t="e">
        <f t="shared" si="19"/>
        <v>#N/A</v>
      </c>
      <c r="AC83" s="21" t="e">
        <f t="shared" si="20"/>
        <v>#N/A</v>
      </c>
      <c r="AD83" s="11" t="e">
        <f t="shared" si="21"/>
        <v>#N/A</v>
      </c>
      <c r="AE83" s="22" t="e">
        <f t="shared" si="22"/>
        <v>#N/A</v>
      </c>
      <c r="AF83" s="21" t="e">
        <f t="shared" si="23"/>
        <v>#N/A</v>
      </c>
      <c r="AG83" s="21" t="e">
        <f t="shared" si="24"/>
        <v>#N/A</v>
      </c>
      <c r="AH83" s="11" t="e">
        <f t="shared" si="25"/>
        <v>#N/A</v>
      </c>
      <c r="AI83">
        <v>2.5000000000000001E-2</v>
      </c>
      <c r="AJ83">
        <v>-2.5000000000000001E-2</v>
      </c>
      <c r="AK83">
        <v>1.5E-3</v>
      </c>
      <c r="AL83">
        <v>-1.5E-3</v>
      </c>
      <c r="AM83">
        <v>1.5E-3</v>
      </c>
      <c r="AN83">
        <v>-1.5E-3</v>
      </c>
      <c r="AO83" s="16">
        <v>2.5000000000000001E-2</v>
      </c>
      <c r="AP83" s="16">
        <v>-2.5000000000000001E-2</v>
      </c>
      <c r="AQ83">
        <v>1.4999999999999999E-2</v>
      </c>
      <c r="AR83">
        <v>-1.4999999999999999E-2</v>
      </c>
      <c r="AS83">
        <v>1E-3</v>
      </c>
      <c r="AT83">
        <v>-1E-3</v>
      </c>
      <c r="AU83">
        <v>1E-3</v>
      </c>
      <c r="AV83">
        <v>-1E-3</v>
      </c>
      <c r="AW83" s="16">
        <v>1.4999999999999999E-2</v>
      </c>
      <c r="AX83" s="16">
        <v>-1.4999999999999999E-2</v>
      </c>
    </row>
    <row r="84" spans="6:50">
      <c r="F84" s="17" t="str">
        <f t="shared" si="13"/>
        <v/>
      </c>
      <c r="G84" s="4"/>
      <c r="H84" s="2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22" t="e">
        <f t="shared" si="14"/>
        <v>#N/A</v>
      </c>
      <c r="X84" s="21" t="e">
        <f t="shared" si="15"/>
        <v>#N/A</v>
      </c>
      <c r="Y84" s="21" t="e">
        <f t="shared" si="16"/>
        <v>#N/A</v>
      </c>
      <c r="Z84" s="11" t="e">
        <f t="shared" si="17"/>
        <v>#N/A</v>
      </c>
      <c r="AA84" s="22" t="e">
        <f t="shared" si="18"/>
        <v>#N/A</v>
      </c>
      <c r="AB84" s="21" t="e">
        <f t="shared" si="19"/>
        <v>#N/A</v>
      </c>
      <c r="AC84" s="21" t="e">
        <f t="shared" si="20"/>
        <v>#N/A</v>
      </c>
      <c r="AD84" s="11" t="e">
        <f t="shared" si="21"/>
        <v>#N/A</v>
      </c>
      <c r="AE84" s="22" t="e">
        <f t="shared" si="22"/>
        <v>#N/A</v>
      </c>
      <c r="AF84" s="21" t="e">
        <f t="shared" si="23"/>
        <v>#N/A</v>
      </c>
      <c r="AG84" s="21" t="e">
        <f t="shared" si="24"/>
        <v>#N/A</v>
      </c>
      <c r="AH84" s="11" t="e">
        <f t="shared" si="25"/>
        <v>#N/A</v>
      </c>
      <c r="AI84">
        <v>2.5000000000000001E-2</v>
      </c>
      <c r="AJ84">
        <v>-2.5000000000000001E-2</v>
      </c>
      <c r="AK84">
        <v>1.5E-3</v>
      </c>
      <c r="AL84">
        <v>-1.5E-3</v>
      </c>
      <c r="AM84">
        <v>1.5E-3</v>
      </c>
      <c r="AN84">
        <v>-1.5E-3</v>
      </c>
      <c r="AO84" s="16">
        <v>2.5000000000000001E-2</v>
      </c>
      <c r="AP84" s="16">
        <v>-2.5000000000000001E-2</v>
      </c>
      <c r="AQ84">
        <v>1.4999999999999999E-2</v>
      </c>
      <c r="AR84">
        <v>-1.4999999999999999E-2</v>
      </c>
      <c r="AS84">
        <v>1E-3</v>
      </c>
      <c r="AT84">
        <v>-1E-3</v>
      </c>
      <c r="AU84">
        <v>1E-3</v>
      </c>
      <c r="AV84">
        <v>-1E-3</v>
      </c>
      <c r="AW84" s="16">
        <v>1.4999999999999999E-2</v>
      </c>
      <c r="AX84" s="16">
        <v>-1.4999999999999999E-2</v>
      </c>
    </row>
    <row r="85" spans="6:50">
      <c r="F85" s="17" t="str">
        <f t="shared" si="13"/>
        <v/>
      </c>
      <c r="G85" s="4"/>
      <c r="H85" s="2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22" t="e">
        <f t="shared" si="14"/>
        <v>#N/A</v>
      </c>
      <c r="X85" s="21" t="e">
        <f t="shared" si="15"/>
        <v>#N/A</v>
      </c>
      <c r="Y85" s="21" t="e">
        <f t="shared" si="16"/>
        <v>#N/A</v>
      </c>
      <c r="Z85" s="11" t="e">
        <f t="shared" si="17"/>
        <v>#N/A</v>
      </c>
      <c r="AA85" s="22" t="e">
        <f t="shared" si="18"/>
        <v>#N/A</v>
      </c>
      <c r="AB85" s="21" t="e">
        <f t="shared" si="19"/>
        <v>#N/A</v>
      </c>
      <c r="AC85" s="21" t="e">
        <f t="shared" si="20"/>
        <v>#N/A</v>
      </c>
      <c r="AD85" s="11" t="e">
        <f t="shared" si="21"/>
        <v>#N/A</v>
      </c>
      <c r="AE85" s="22" t="e">
        <f t="shared" si="22"/>
        <v>#N/A</v>
      </c>
      <c r="AF85" s="21" t="e">
        <f t="shared" si="23"/>
        <v>#N/A</v>
      </c>
      <c r="AG85" s="21" t="e">
        <f t="shared" si="24"/>
        <v>#N/A</v>
      </c>
      <c r="AH85" s="11" t="e">
        <f t="shared" si="25"/>
        <v>#N/A</v>
      </c>
      <c r="AI85">
        <v>2.5000000000000001E-2</v>
      </c>
      <c r="AJ85">
        <v>-2.5000000000000001E-2</v>
      </c>
      <c r="AK85">
        <v>1.5E-3</v>
      </c>
      <c r="AL85">
        <v>-1.5E-3</v>
      </c>
      <c r="AM85">
        <v>1.5E-3</v>
      </c>
      <c r="AN85">
        <v>-1.5E-3</v>
      </c>
      <c r="AO85" s="16">
        <v>2.5000000000000001E-2</v>
      </c>
      <c r="AP85" s="16">
        <v>-2.5000000000000001E-2</v>
      </c>
      <c r="AQ85">
        <v>1.4999999999999999E-2</v>
      </c>
      <c r="AR85">
        <v>-1.4999999999999999E-2</v>
      </c>
      <c r="AS85">
        <v>1E-3</v>
      </c>
      <c r="AT85">
        <v>-1E-3</v>
      </c>
      <c r="AU85">
        <v>1E-3</v>
      </c>
      <c r="AV85">
        <v>-1E-3</v>
      </c>
      <c r="AW85" s="16">
        <v>1.4999999999999999E-2</v>
      </c>
      <c r="AX85" s="16">
        <v>-1.4999999999999999E-2</v>
      </c>
    </row>
    <row r="86" spans="6:50">
      <c r="F86" s="17" t="str">
        <f t="shared" si="13"/>
        <v/>
      </c>
      <c r="G86" s="4"/>
      <c r="H86" s="2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22" t="e">
        <f t="shared" si="14"/>
        <v>#N/A</v>
      </c>
      <c r="X86" s="21" t="e">
        <f t="shared" si="15"/>
        <v>#N/A</v>
      </c>
      <c r="Y86" s="21" t="e">
        <f t="shared" si="16"/>
        <v>#N/A</v>
      </c>
      <c r="Z86" s="11" t="e">
        <f t="shared" si="17"/>
        <v>#N/A</v>
      </c>
      <c r="AA86" s="22" t="e">
        <f t="shared" si="18"/>
        <v>#N/A</v>
      </c>
      <c r="AB86" s="21" t="e">
        <f t="shared" si="19"/>
        <v>#N/A</v>
      </c>
      <c r="AC86" s="21" t="e">
        <f t="shared" si="20"/>
        <v>#N/A</v>
      </c>
      <c r="AD86" s="11" t="e">
        <f t="shared" si="21"/>
        <v>#N/A</v>
      </c>
      <c r="AE86" s="22" t="e">
        <f t="shared" si="22"/>
        <v>#N/A</v>
      </c>
      <c r="AF86" s="21" t="e">
        <f t="shared" si="23"/>
        <v>#N/A</v>
      </c>
      <c r="AG86" s="21" t="e">
        <f t="shared" si="24"/>
        <v>#N/A</v>
      </c>
      <c r="AH86" s="11" t="e">
        <f t="shared" si="25"/>
        <v>#N/A</v>
      </c>
      <c r="AI86">
        <v>2.5000000000000001E-2</v>
      </c>
      <c r="AJ86">
        <v>-2.5000000000000001E-2</v>
      </c>
      <c r="AK86">
        <v>1.5E-3</v>
      </c>
      <c r="AL86">
        <v>-1.5E-3</v>
      </c>
      <c r="AM86">
        <v>1.5E-3</v>
      </c>
      <c r="AN86">
        <v>-1.5E-3</v>
      </c>
      <c r="AO86" s="16">
        <v>2.5000000000000001E-2</v>
      </c>
      <c r="AP86" s="16">
        <v>-2.5000000000000001E-2</v>
      </c>
      <c r="AQ86">
        <v>1.4999999999999999E-2</v>
      </c>
      <c r="AR86">
        <v>-1.4999999999999999E-2</v>
      </c>
      <c r="AS86">
        <v>1E-3</v>
      </c>
      <c r="AT86">
        <v>-1E-3</v>
      </c>
      <c r="AU86">
        <v>1E-3</v>
      </c>
      <c r="AV86">
        <v>-1E-3</v>
      </c>
      <c r="AW86" s="16">
        <v>1.4999999999999999E-2</v>
      </c>
      <c r="AX86" s="16">
        <v>-1.4999999999999999E-2</v>
      </c>
    </row>
    <row r="87" spans="6:50">
      <c r="F87" s="17" t="str">
        <f t="shared" si="13"/>
        <v/>
      </c>
      <c r="G87" s="4"/>
      <c r="H87" s="2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22" t="e">
        <f t="shared" si="14"/>
        <v>#N/A</v>
      </c>
      <c r="X87" s="21" t="e">
        <f t="shared" si="15"/>
        <v>#N/A</v>
      </c>
      <c r="Y87" s="21" t="e">
        <f t="shared" si="16"/>
        <v>#N/A</v>
      </c>
      <c r="Z87" s="11" t="e">
        <f t="shared" si="17"/>
        <v>#N/A</v>
      </c>
      <c r="AA87" s="22" t="e">
        <f t="shared" si="18"/>
        <v>#N/A</v>
      </c>
      <c r="AB87" s="21" t="e">
        <f t="shared" si="19"/>
        <v>#N/A</v>
      </c>
      <c r="AC87" s="21" t="e">
        <f t="shared" si="20"/>
        <v>#N/A</v>
      </c>
      <c r="AD87" s="11" t="e">
        <f t="shared" si="21"/>
        <v>#N/A</v>
      </c>
      <c r="AE87" s="22" t="e">
        <f t="shared" si="22"/>
        <v>#N/A</v>
      </c>
      <c r="AF87" s="21" t="e">
        <f t="shared" si="23"/>
        <v>#N/A</v>
      </c>
      <c r="AG87" s="21" t="e">
        <f t="shared" si="24"/>
        <v>#N/A</v>
      </c>
      <c r="AH87" s="11" t="e">
        <f t="shared" si="25"/>
        <v>#N/A</v>
      </c>
      <c r="AI87">
        <v>2.5000000000000001E-2</v>
      </c>
      <c r="AJ87">
        <v>-2.5000000000000001E-2</v>
      </c>
      <c r="AK87">
        <v>1.5E-3</v>
      </c>
      <c r="AL87">
        <v>-1.5E-3</v>
      </c>
      <c r="AM87">
        <v>1.5E-3</v>
      </c>
      <c r="AN87">
        <v>-1.5E-3</v>
      </c>
      <c r="AO87" s="16">
        <v>2.5000000000000001E-2</v>
      </c>
      <c r="AP87" s="16">
        <v>-2.5000000000000001E-2</v>
      </c>
      <c r="AQ87">
        <v>1.4999999999999999E-2</v>
      </c>
      <c r="AR87">
        <v>-1.4999999999999999E-2</v>
      </c>
      <c r="AS87">
        <v>1E-3</v>
      </c>
      <c r="AT87">
        <v>-1E-3</v>
      </c>
      <c r="AU87">
        <v>1E-3</v>
      </c>
      <c r="AV87">
        <v>-1E-3</v>
      </c>
      <c r="AW87" s="16">
        <v>1.4999999999999999E-2</v>
      </c>
      <c r="AX87" s="16">
        <v>-1.4999999999999999E-2</v>
      </c>
    </row>
    <row r="88" spans="6:50">
      <c r="F88" s="17" t="str">
        <f t="shared" si="13"/>
        <v/>
      </c>
      <c r="G88" s="4"/>
      <c r="H88" s="2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22" t="e">
        <f t="shared" si="14"/>
        <v>#N/A</v>
      </c>
      <c r="X88" s="21" t="e">
        <f t="shared" si="15"/>
        <v>#N/A</v>
      </c>
      <c r="Y88" s="21" t="e">
        <f t="shared" si="16"/>
        <v>#N/A</v>
      </c>
      <c r="Z88" s="11" t="e">
        <f t="shared" si="17"/>
        <v>#N/A</v>
      </c>
      <c r="AA88" s="22" t="e">
        <f t="shared" si="18"/>
        <v>#N/A</v>
      </c>
      <c r="AB88" s="21" t="e">
        <f t="shared" si="19"/>
        <v>#N/A</v>
      </c>
      <c r="AC88" s="21" t="e">
        <f t="shared" si="20"/>
        <v>#N/A</v>
      </c>
      <c r="AD88" s="11" t="e">
        <f t="shared" si="21"/>
        <v>#N/A</v>
      </c>
      <c r="AE88" s="22" t="e">
        <f t="shared" si="22"/>
        <v>#N/A</v>
      </c>
      <c r="AF88" s="21" t="e">
        <f t="shared" si="23"/>
        <v>#N/A</v>
      </c>
      <c r="AG88" s="21" t="e">
        <f t="shared" si="24"/>
        <v>#N/A</v>
      </c>
      <c r="AH88" s="11" t="e">
        <f t="shared" si="25"/>
        <v>#N/A</v>
      </c>
      <c r="AI88">
        <v>2.5000000000000001E-2</v>
      </c>
      <c r="AJ88">
        <v>-2.5000000000000001E-2</v>
      </c>
      <c r="AK88">
        <v>1.5E-3</v>
      </c>
      <c r="AL88">
        <v>-1.5E-3</v>
      </c>
      <c r="AM88">
        <v>1.5E-3</v>
      </c>
      <c r="AN88">
        <v>-1.5E-3</v>
      </c>
      <c r="AO88" s="16">
        <v>2.5000000000000001E-2</v>
      </c>
      <c r="AP88" s="16">
        <v>-2.5000000000000001E-2</v>
      </c>
      <c r="AQ88">
        <v>1.4999999999999999E-2</v>
      </c>
      <c r="AR88">
        <v>-1.4999999999999999E-2</v>
      </c>
      <c r="AS88">
        <v>1E-3</v>
      </c>
      <c r="AT88">
        <v>-1E-3</v>
      </c>
      <c r="AU88">
        <v>1E-3</v>
      </c>
      <c r="AV88">
        <v>-1E-3</v>
      </c>
      <c r="AW88" s="16">
        <v>1.4999999999999999E-2</v>
      </c>
      <c r="AX88" s="16">
        <v>-1.4999999999999999E-2</v>
      </c>
    </row>
    <row r="89" spans="6:50">
      <c r="F89" s="17" t="str">
        <f t="shared" si="13"/>
        <v/>
      </c>
      <c r="G89" s="4"/>
      <c r="H89" s="2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22" t="e">
        <f t="shared" si="14"/>
        <v>#N/A</v>
      </c>
      <c r="X89" s="21" t="e">
        <f t="shared" si="15"/>
        <v>#N/A</v>
      </c>
      <c r="Y89" s="21" t="e">
        <f t="shared" si="16"/>
        <v>#N/A</v>
      </c>
      <c r="Z89" s="11" t="e">
        <f t="shared" si="17"/>
        <v>#N/A</v>
      </c>
      <c r="AA89" s="22" t="e">
        <f t="shared" si="18"/>
        <v>#N/A</v>
      </c>
      <c r="AB89" s="21" t="e">
        <f t="shared" si="19"/>
        <v>#N/A</v>
      </c>
      <c r="AC89" s="21" t="e">
        <f t="shared" si="20"/>
        <v>#N/A</v>
      </c>
      <c r="AD89" s="11" t="e">
        <f t="shared" si="21"/>
        <v>#N/A</v>
      </c>
      <c r="AE89" s="22" t="e">
        <f t="shared" si="22"/>
        <v>#N/A</v>
      </c>
      <c r="AF89" s="21" t="e">
        <f t="shared" si="23"/>
        <v>#N/A</v>
      </c>
      <c r="AG89" s="21" t="e">
        <f t="shared" si="24"/>
        <v>#N/A</v>
      </c>
      <c r="AH89" s="11" t="e">
        <f t="shared" si="25"/>
        <v>#N/A</v>
      </c>
      <c r="AI89">
        <v>2.5000000000000001E-2</v>
      </c>
      <c r="AJ89">
        <v>-2.5000000000000001E-2</v>
      </c>
      <c r="AK89">
        <v>1.5E-3</v>
      </c>
      <c r="AL89">
        <v>-1.5E-3</v>
      </c>
      <c r="AM89">
        <v>1.5E-3</v>
      </c>
      <c r="AN89">
        <v>-1.5E-3</v>
      </c>
      <c r="AO89" s="16">
        <v>2.5000000000000001E-2</v>
      </c>
      <c r="AP89" s="16">
        <v>-2.5000000000000001E-2</v>
      </c>
      <c r="AQ89">
        <v>1.4999999999999999E-2</v>
      </c>
      <c r="AR89">
        <v>-1.4999999999999999E-2</v>
      </c>
      <c r="AS89">
        <v>1E-3</v>
      </c>
      <c r="AT89">
        <v>-1E-3</v>
      </c>
      <c r="AU89">
        <v>1E-3</v>
      </c>
      <c r="AV89">
        <v>-1E-3</v>
      </c>
      <c r="AW89" s="16">
        <v>1.4999999999999999E-2</v>
      </c>
      <c r="AX89" s="16">
        <v>-1.4999999999999999E-2</v>
      </c>
    </row>
    <row r="90" spans="6:50">
      <c r="F90" s="17" t="str">
        <f t="shared" si="13"/>
        <v/>
      </c>
      <c r="G90" s="4"/>
      <c r="H90" s="2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22" t="e">
        <f t="shared" si="14"/>
        <v>#N/A</v>
      </c>
      <c r="X90" s="21" t="e">
        <f t="shared" si="15"/>
        <v>#N/A</v>
      </c>
      <c r="Y90" s="21" t="e">
        <f t="shared" si="16"/>
        <v>#N/A</v>
      </c>
      <c r="Z90" s="11" t="e">
        <f t="shared" si="17"/>
        <v>#N/A</v>
      </c>
      <c r="AA90" s="22" t="e">
        <f t="shared" si="18"/>
        <v>#N/A</v>
      </c>
      <c r="AB90" s="21" t="e">
        <f t="shared" si="19"/>
        <v>#N/A</v>
      </c>
      <c r="AC90" s="21" t="e">
        <f t="shared" si="20"/>
        <v>#N/A</v>
      </c>
      <c r="AD90" s="11" t="e">
        <f t="shared" si="21"/>
        <v>#N/A</v>
      </c>
      <c r="AE90" s="22" t="e">
        <f t="shared" si="22"/>
        <v>#N/A</v>
      </c>
      <c r="AF90" s="21" t="e">
        <f t="shared" si="23"/>
        <v>#N/A</v>
      </c>
      <c r="AG90" s="21" t="e">
        <f t="shared" si="24"/>
        <v>#N/A</v>
      </c>
      <c r="AH90" s="11" t="e">
        <f t="shared" si="25"/>
        <v>#N/A</v>
      </c>
      <c r="AI90">
        <v>2.5000000000000001E-2</v>
      </c>
      <c r="AJ90">
        <v>-2.5000000000000001E-2</v>
      </c>
      <c r="AK90">
        <v>1.5E-3</v>
      </c>
      <c r="AL90">
        <v>-1.5E-3</v>
      </c>
      <c r="AM90">
        <v>1.5E-3</v>
      </c>
      <c r="AN90">
        <v>-1.5E-3</v>
      </c>
      <c r="AO90" s="16">
        <v>2.5000000000000001E-2</v>
      </c>
      <c r="AP90" s="16">
        <v>-2.5000000000000001E-2</v>
      </c>
      <c r="AQ90">
        <v>1.4999999999999999E-2</v>
      </c>
      <c r="AR90">
        <v>-1.4999999999999999E-2</v>
      </c>
      <c r="AS90">
        <v>1E-3</v>
      </c>
      <c r="AT90">
        <v>-1E-3</v>
      </c>
      <c r="AU90">
        <v>1E-3</v>
      </c>
      <c r="AV90">
        <v>-1E-3</v>
      </c>
      <c r="AW90" s="16">
        <v>1.4999999999999999E-2</v>
      </c>
      <c r="AX90" s="16">
        <v>-1.4999999999999999E-2</v>
      </c>
    </row>
    <row r="91" spans="6:50">
      <c r="F91" s="17" t="str">
        <f t="shared" si="13"/>
        <v/>
      </c>
      <c r="G91" s="4"/>
      <c r="H91" s="2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22" t="e">
        <f t="shared" si="14"/>
        <v>#N/A</v>
      </c>
      <c r="X91" s="21" t="e">
        <f t="shared" si="15"/>
        <v>#N/A</v>
      </c>
      <c r="Y91" s="21" t="e">
        <f t="shared" si="16"/>
        <v>#N/A</v>
      </c>
      <c r="Z91" s="11" t="e">
        <f t="shared" si="17"/>
        <v>#N/A</v>
      </c>
      <c r="AA91" s="22" t="e">
        <f t="shared" si="18"/>
        <v>#N/A</v>
      </c>
      <c r="AB91" s="21" t="e">
        <f t="shared" si="19"/>
        <v>#N/A</v>
      </c>
      <c r="AC91" s="21" t="e">
        <f t="shared" si="20"/>
        <v>#N/A</v>
      </c>
      <c r="AD91" s="11" t="e">
        <f t="shared" si="21"/>
        <v>#N/A</v>
      </c>
      <c r="AE91" s="22" t="e">
        <f t="shared" si="22"/>
        <v>#N/A</v>
      </c>
      <c r="AF91" s="21" t="e">
        <f t="shared" si="23"/>
        <v>#N/A</v>
      </c>
      <c r="AG91" s="21" t="e">
        <f t="shared" si="24"/>
        <v>#N/A</v>
      </c>
      <c r="AH91" s="11" t="e">
        <f t="shared" si="25"/>
        <v>#N/A</v>
      </c>
      <c r="AI91">
        <v>2.5000000000000001E-2</v>
      </c>
      <c r="AJ91">
        <v>-2.5000000000000001E-2</v>
      </c>
      <c r="AK91">
        <v>1.5E-3</v>
      </c>
      <c r="AL91">
        <v>-1.5E-3</v>
      </c>
      <c r="AM91">
        <v>1.5E-3</v>
      </c>
      <c r="AN91">
        <v>-1.5E-3</v>
      </c>
      <c r="AO91" s="16">
        <v>2.5000000000000001E-2</v>
      </c>
      <c r="AP91" s="16">
        <v>-2.5000000000000001E-2</v>
      </c>
      <c r="AQ91">
        <v>1.4999999999999999E-2</v>
      </c>
      <c r="AR91">
        <v>-1.4999999999999999E-2</v>
      </c>
      <c r="AS91">
        <v>1E-3</v>
      </c>
      <c r="AT91">
        <v>-1E-3</v>
      </c>
      <c r="AU91">
        <v>1E-3</v>
      </c>
      <c r="AV91">
        <v>-1E-3</v>
      </c>
      <c r="AW91" s="16">
        <v>1.4999999999999999E-2</v>
      </c>
      <c r="AX91" s="16">
        <v>-1.4999999999999999E-2</v>
      </c>
    </row>
    <row r="92" spans="6:50">
      <c r="F92" s="17" t="str">
        <f t="shared" si="13"/>
        <v/>
      </c>
      <c r="G92" s="4"/>
      <c r="H92" s="2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22" t="e">
        <f t="shared" si="14"/>
        <v>#N/A</v>
      </c>
      <c r="X92" s="21" t="e">
        <f t="shared" si="15"/>
        <v>#N/A</v>
      </c>
      <c r="Y92" s="21" t="e">
        <f t="shared" si="16"/>
        <v>#N/A</v>
      </c>
      <c r="Z92" s="11" t="e">
        <f t="shared" si="17"/>
        <v>#N/A</v>
      </c>
      <c r="AA92" s="22" t="e">
        <f t="shared" si="18"/>
        <v>#N/A</v>
      </c>
      <c r="AB92" s="21" t="e">
        <f t="shared" si="19"/>
        <v>#N/A</v>
      </c>
      <c r="AC92" s="21" t="e">
        <f t="shared" si="20"/>
        <v>#N/A</v>
      </c>
      <c r="AD92" s="11" t="e">
        <f t="shared" si="21"/>
        <v>#N/A</v>
      </c>
      <c r="AE92" s="22" t="e">
        <f t="shared" si="22"/>
        <v>#N/A</v>
      </c>
      <c r="AF92" s="21" t="e">
        <f t="shared" si="23"/>
        <v>#N/A</v>
      </c>
      <c r="AG92" s="21" t="e">
        <f t="shared" si="24"/>
        <v>#N/A</v>
      </c>
      <c r="AH92" s="11" t="e">
        <f t="shared" si="25"/>
        <v>#N/A</v>
      </c>
      <c r="AI92">
        <v>2.5000000000000001E-2</v>
      </c>
      <c r="AJ92">
        <v>-2.5000000000000001E-2</v>
      </c>
      <c r="AK92">
        <v>1.5E-3</v>
      </c>
      <c r="AL92">
        <v>-1.5E-3</v>
      </c>
      <c r="AM92">
        <v>1.5E-3</v>
      </c>
      <c r="AN92">
        <v>-1.5E-3</v>
      </c>
      <c r="AO92" s="16">
        <v>2.5000000000000001E-2</v>
      </c>
      <c r="AP92" s="16">
        <v>-2.5000000000000001E-2</v>
      </c>
      <c r="AQ92">
        <v>1.4999999999999999E-2</v>
      </c>
      <c r="AR92">
        <v>-1.4999999999999999E-2</v>
      </c>
      <c r="AS92">
        <v>1E-3</v>
      </c>
      <c r="AT92">
        <v>-1E-3</v>
      </c>
      <c r="AU92">
        <v>1E-3</v>
      </c>
      <c r="AV92">
        <v>-1E-3</v>
      </c>
      <c r="AW92" s="16">
        <v>1.4999999999999999E-2</v>
      </c>
      <c r="AX92" s="16">
        <v>-1.4999999999999999E-2</v>
      </c>
    </row>
    <row r="93" spans="6:50">
      <c r="F93" s="17" t="str">
        <f t="shared" si="13"/>
        <v/>
      </c>
      <c r="G93" s="4"/>
      <c r="H93" s="2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22" t="e">
        <f t="shared" si="14"/>
        <v>#N/A</v>
      </c>
      <c r="X93" s="21" t="e">
        <f t="shared" si="15"/>
        <v>#N/A</v>
      </c>
      <c r="Y93" s="21" t="e">
        <f t="shared" si="16"/>
        <v>#N/A</v>
      </c>
      <c r="Z93" s="11" t="e">
        <f t="shared" si="17"/>
        <v>#N/A</v>
      </c>
      <c r="AA93" s="22" t="e">
        <f t="shared" si="18"/>
        <v>#N/A</v>
      </c>
      <c r="AB93" s="21" t="e">
        <f t="shared" si="19"/>
        <v>#N/A</v>
      </c>
      <c r="AC93" s="21" t="e">
        <f t="shared" si="20"/>
        <v>#N/A</v>
      </c>
      <c r="AD93" s="11" t="e">
        <f t="shared" si="21"/>
        <v>#N/A</v>
      </c>
      <c r="AE93" s="22" t="e">
        <f t="shared" si="22"/>
        <v>#N/A</v>
      </c>
      <c r="AF93" s="21" t="e">
        <f t="shared" si="23"/>
        <v>#N/A</v>
      </c>
      <c r="AG93" s="21" t="e">
        <f t="shared" si="24"/>
        <v>#N/A</v>
      </c>
      <c r="AH93" s="11" t="e">
        <f t="shared" si="25"/>
        <v>#N/A</v>
      </c>
      <c r="AI93">
        <v>2.5000000000000001E-2</v>
      </c>
      <c r="AJ93">
        <v>-2.5000000000000001E-2</v>
      </c>
      <c r="AK93">
        <v>1.5E-3</v>
      </c>
      <c r="AL93">
        <v>-1.5E-3</v>
      </c>
      <c r="AM93">
        <v>1.5E-3</v>
      </c>
      <c r="AN93">
        <v>-1.5E-3</v>
      </c>
      <c r="AO93" s="16">
        <v>2.5000000000000001E-2</v>
      </c>
      <c r="AP93" s="16">
        <v>-2.5000000000000001E-2</v>
      </c>
      <c r="AQ93">
        <v>1.4999999999999999E-2</v>
      </c>
      <c r="AR93">
        <v>-1.4999999999999999E-2</v>
      </c>
      <c r="AS93">
        <v>1E-3</v>
      </c>
      <c r="AT93">
        <v>-1E-3</v>
      </c>
      <c r="AU93">
        <v>1E-3</v>
      </c>
      <c r="AV93">
        <v>-1E-3</v>
      </c>
      <c r="AW93" s="16">
        <v>1.4999999999999999E-2</v>
      </c>
      <c r="AX93" s="16">
        <v>-1.4999999999999999E-2</v>
      </c>
    </row>
    <row r="94" spans="6:50">
      <c r="F94" s="17" t="str">
        <f t="shared" si="13"/>
        <v/>
      </c>
      <c r="G94" s="4"/>
      <c r="H94" s="2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22" t="e">
        <f t="shared" si="14"/>
        <v>#N/A</v>
      </c>
      <c r="X94" s="21" t="e">
        <f t="shared" si="15"/>
        <v>#N/A</v>
      </c>
      <c r="Y94" s="21" t="e">
        <f t="shared" si="16"/>
        <v>#N/A</v>
      </c>
      <c r="Z94" s="11" t="e">
        <f t="shared" si="17"/>
        <v>#N/A</v>
      </c>
      <c r="AA94" s="22" t="e">
        <f t="shared" si="18"/>
        <v>#N/A</v>
      </c>
      <c r="AB94" s="21" t="e">
        <f t="shared" si="19"/>
        <v>#N/A</v>
      </c>
      <c r="AC94" s="21" t="e">
        <f t="shared" si="20"/>
        <v>#N/A</v>
      </c>
      <c r="AD94" s="11" t="e">
        <f t="shared" si="21"/>
        <v>#N/A</v>
      </c>
      <c r="AE94" s="22" t="e">
        <f t="shared" si="22"/>
        <v>#N/A</v>
      </c>
      <c r="AF94" s="21" t="e">
        <f t="shared" si="23"/>
        <v>#N/A</v>
      </c>
      <c r="AG94" s="21" t="e">
        <f t="shared" si="24"/>
        <v>#N/A</v>
      </c>
      <c r="AH94" s="11" t="e">
        <f t="shared" si="25"/>
        <v>#N/A</v>
      </c>
      <c r="AI94">
        <v>2.5000000000000001E-2</v>
      </c>
      <c r="AJ94">
        <v>-2.5000000000000001E-2</v>
      </c>
      <c r="AK94">
        <v>1.5E-3</v>
      </c>
      <c r="AL94">
        <v>-1.5E-3</v>
      </c>
      <c r="AM94">
        <v>1.5E-3</v>
      </c>
      <c r="AN94">
        <v>-1.5E-3</v>
      </c>
      <c r="AO94" s="16">
        <v>2.5000000000000001E-2</v>
      </c>
      <c r="AP94" s="16">
        <v>-2.5000000000000001E-2</v>
      </c>
      <c r="AQ94">
        <v>1.4999999999999999E-2</v>
      </c>
      <c r="AR94">
        <v>-1.4999999999999999E-2</v>
      </c>
      <c r="AS94">
        <v>1E-3</v>
      </c>
      <c r="AT94">
        <v>-1E-3</v>
      </c>
      <c r="AU94">
        <v>1E-3</v>
      </c>
      <c r="AV94">
        <v>-1E-3</v>
      </c>
      <c r="AW94" s="16">
        <v>1.4999999999999999E-2</v>
      </c>
      <c r="AX94" s="16">
        <v>-1.4999999999999999E-2</v>
      </c>
    </row>
    <row r="95" spans="6:50">
      <c r="F95" s="17" t="str">
        <f t="shared" si="13"/>
        <v/>
      </c>
      <c r="G95" s="4"/>
      <c r="H95" s="2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22" t="e">
        <f t="shared" si="14"/>
        <v>#N/A</v>
      </c>
      <c r="X95" s="21" t="e">
        <f t="shared" si="15"/>
        <v>#N/A</v>
      </c>
      <c r="Y95" s="21" t="e">
        <f t="shared" si="16"/>
        <v>#N/A</v>
      </c>
      <c r="Z95" s="11" t="e">
        <f t="shared" si="17"/>
        <v>#N/A</v>
      </c>
      <c r="AA95" s="22" t="e">
        <f t="shared" si="18"/>
        <v>#N/A</v>
      </c>
      <c r="AB95" s="21" t="e">
        <f t="shared" si="19"/>
        <v>#N/A</v>
      </c>
      <c r="AC95" s="21" t="e">
        <f t="shared" si="20"/>
        <v>#N/A</v>
      </c>
      <c r="AD95" s="11" t="e">
        <f t="shared" si="21"/>
        <v>#N/A</v>
      </c>
      <c r="AE95" s="22" t="e">
        <f t="shared" si="22"/>
        <v>#N/A</v>
      </c>
      <c r="AF95" s="21" t="e">
        <f t="shared" si="23"/>
        <v>#N/A</v>
      </c>
      <c r="AG95" s="21" t="e">
        <f t="shared" si="24"/>
        <v>#N/A</v>
      </c>
      <c r="AH95" s="11" t="e">
        <f t="shared" si="25"/>
        <v>#N/A</v>
      </c>
      <c r="AI95">
        <v>2.5000000000000001E-2</v>
      </c>
      <c r="AJ95">
        <v>-2.5000000000000001E-2</v>
      </c>
      <c r="AK95">
        <v>1.5E-3</v>
      </c>
      <c r="AL95">
        <v>-1.5E-3</v>
      </c>
      <c r="AM95">
        <v>1.5E-3</v>
      </c>
      <c r="AN95">
        <v>-1.5E-3</v>
      </c>
      <c r="AO95" s="16">
        <v>2.5000000000000001E-2</v>
      </c>
      <c r="AP95" s="16">
        <v>-2.5000000000000001E-2</v>
      </c>
      <c r="AQ95">
        <v>1.4999999999999999E-2</v>
      </c>
      <c r="AR95">
        <v>-1.4999999999999999E-2</v>
      </c>
      <c r="AS95">
        <v>1E-3</v>
      </c>
      <c r="AT95">
        <v>-1E-3</v>
      </c>
      <c r="AU95">
        <v>1E-3</v>
      </c>
      <c r="AV95">
        <v>-1E-3</v>
      </c>
      <c r="AW95" s="16">
        <v>1.4999999999999999E-2</v>
      </c>
      <c r="AX95" s="16">
        <v>-1.4999999999999999E-2</v>
      </c>
    </row>
    <row r="96" spans="6:50">
      <c r="F96" s="17" t="str">
        <f t="shared" si="13"/>
        <v/>
      </c>
      <c r="G96" s="4"/>
      <c r="H96" s="2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22" t="e">
        <f t="shared" si="14"/>
        <v>#N/A</v>
      </c>
      <c r="X96" s="21" t="e">
        <f t="shared" si="15"/>
        <v>#N/A</v>
      </c>
      <c r="Y96" s="21" t="e">
        <f t="shared" si="16"/>
        <v>#N/A</v>
      </c>
      <c r="Z96" s="11" t="e">
        <f t="shared" si="17"/>
        <v>#N/A</v>
      </c>
      <c r="AA96" s="22" t="e">
        <f t="shared" si="18"/>
        <v>#N/A</v>
      </c>
      <c r="AB96" s="21" t="e">
        <f t="shared" si="19"/>
        <v>#N/A</v>
      </c>
      <c r="AC96" s="21" t="e">
        <f t="shared" si="20"/>
        <v>#N/A</v>
      </c>
      <c r="AD96" s="11" t="e">
        <f t="shared" si="21"/>
        <v>#N/A</v>
      </c>
      <c r="AE96" s="22" t="e">
        <f t="shared" si="22"/>
        <v>#N/A</v>
      </c>
      <c r="AF96" s="21" t="e">
        <f t="shared" si="23"/>
        <v>#N/A</v>
      </c>
      <c r="AG96" s="21" t="e">
        <f t="shared" si="24"/>
        <v>#N/A</v>
      </c>
      <c r="AH96" s="11" t="e">
        <f t="shared" si="25"/>
        <v>#N/A</v>
      </c>
      <c r="AI96">
        <v>2.5000000000000001E-2</v>
      </c>
      <c r="AJ96">
        <v>-2.5000000000000001E-2</v>
      </c>
      <c r="AK96">
        <v>1.5E-3</v>
      </c>
      <c r="AL96">
        <v>-1.5E-3</v>
      </c>
      <c r="AM96">
        <v>1.5E-3</v>
      </c>
      <c r="AN96">
        <v>-1.5E-3</v>
      </c>
      <c r="AO96" s="16">
        <v>2.5000000000000001E-2</v>
      </c>
      <c r="AP96" s="16">
        <v>-2.5000000000000001E-2</v>
      </c>
      <c r="AQ96">
        <v>1.4999999999999999E-2</v>
      </c>
      <c r="AR96">
        <v>-1.4999999999999999E-2</v>
      </c>
      <c r="AS96">
        <v>1E-3</v>
      </c>
      <c r="AT96">
        <v>-1E-3</v>
      </c>
      <c r="AU96">
        <v>1E-3</v>
      </c>
      <c r="AV96">
        <v>-1E-3</v>
      </c>
      <c r="AW96" s="16">
        <v>1.4999999999999999E-2</v>
      </c>
      <c r="AX96" s="16">
        <v>-1.4999999999999999E-2</v>
      </c>
    </row>
    <row r="97" spans="6:50">
      <c r="F97" s="17" t="str">
        <f t="shared" si="13"/>
        <v/>
      </c>
      <c r="G97" s="4"/>
      <c r="H97" s="2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22" t="e">
        <f t="shared" si="14"/>
        <v>#N/A</v>
      </c>
      <c r="X97" s="21" t="e">
        <f t="shared" si="15"/>
        <v>#N/A</v>
      </c>
      <c r="Y97" s="21" t="e">
        <f t="shared" si="16"/>
        <v>#N/A</v>
      </c>
      <c r="Z97" s="11" t="e">
        <f t="shared" si="17"/>
        <v>#N/A</v>
      </c>
      <c r="AA97" s="22" t="e">
        <f t="shared" si="18"/>
        <v>#N/A</v>
      </c>
      <c r="AB97" s="21" t="e">
        <f t="shared" si="19"/>
        <v>#N/A</v>
      </c>
      <c r="AC97" s="21" t="e">
        <f t="shared" si="20"/>
        <v>#N/A</v>
      </c>
      <c r="AD97" s="11" t="e">
        <f t="shared" si="21"/>
        <v>#N/A</v>
      </c>
      <c r="AE97" s="22" t="e">
        <f t="shared" si="22"/>
        <v>#N/A</v>
      </c>
      <c r="AF97" s="21" t="e">
        <f t="shared" si="23"/>
        <v>#N/A</v>
      </c>
      <c r="AG97" s="21" t="e">
        <f t="shared" si="24"/>
        <v>#N/A</v>
      </c>
      <c r="AH97" s="11" t="e">
        <f t="shared" si="25"/>
        <v>#N/A</v>
      </c>
      <c r="AI97">
        <v>2.5000000000000001E-2</v>
      </c>
      <c r="AJ97">
        <v>-2.5000000000000001E-2</v>
      </c>
      <c r="AK97">
        <v>1.5E-3</v>
      </c>
      <c r="AL97">
        <v>-1.5E-3</v>
      </c>
      <c r="AM97">
        <v>1.5E-3</v>
      </c>
      <c r="AN97">
        <v>-1.5E-3</v>
      </c>
      <c r="AO97" s="16">
        <v>2.5000000000000001E-2</v>
      </c>
      <c r="AP97" s="16">
        <v>-2.5000000000000001E-2</v>
      </c>
      <c r="AQ97">
        <v>1.4999999999999999E-2</v>
      </c>
      <c r="AR97">
        <v>-1.4999999999999999E-2</v>
      </c>
      <c r="AS97">
        <v>1E-3</v>
      </c>
      <c r="AT97">
        <v>-1E-3</v>
      </c>
      <c r="AU97">
        <v>1E-3</v>
      </c>
      <c r="AV97">
        <v>-1E-3</v>
      </c>
      <c r="AW97" s="16">
        <v>1.4999999999999999E-2</v>
      </c>
      <c r="AX97" s="16">
        <v>-1.4999999999999999E-2</v>
      </c>
    </row>
    <row r="98" spans="6:50">
      <c r="F98" s="17" t="str">
        <f t="shared" si="13"/>
        <v/>
      </c>
      <c r="G98" s="4"/>
      <c r="H98" s="2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22" t="e">
        <f t="shared" si="14"/>
        <v>#N/A</v>
      </c>
      <c r="X98" s="21" t="e">
        <f t="shared" si="15"/>
        <v>#N/A</v>
      </c>
      <c r="Y98" s="21" t="e">
        <f t="shared" si="16"/>
        <v>#N/A</v>
      </c>
      <c r="Z98" s="11" t="e">
        <f t="shared" si="17"/>
        <v>#N/A</v>
      </c>
      <c r="AA98" s="22" t="e">
        <f t="shared" si="18"/>
        <v>#N/A</v>
      </c>
      <c r="AB98" s="21" t="e">
        <f t="shared" si="19"/>
        <v>#N/A</v>
      </c>
      <c r="AC98" s="21" t="e">
        <f t="shared" si="20"/>
        <v>#N/A</v>
      </c>
      <c r="AD98" s="11" t="e">
        <f t="shared" si="21"/>
        <v>#N/A</v>
      </c>
      <c r="AE98" s="22" t="e">
        <f t="shared" si="22"/>
        <v>#N/A</v>
      </c>
      <c r="AF98" s="21" t="e">
        <f t="shared" si="23"/>
        <v>#N/A</v>
      </c>
      <c r="AG98" s="21" t="e">
        <f t="shared" si="24"/>
        <v>#N/A</v>
      </c>
      <c r="AH98" s="11" t="e">
        <f t="shared" si="25"/>
        <v>#N/A</v>
      </c>
      <c r="AI98">
        <v>2.5000000000000001E-2</v>
      </c>
      <c r="AJ98">
        <v>-2.5000000000000001E-2</v>
      </c>
      <c r="AK98">
        <v>1.5E-3</v>
      </c>
      <c r="AL98">
        <v>-1.5E-3</v>
      </c>
      <c r="AM98">
        <v>1.5E-3</v>
      </c>
      <c r="AN98">
        <v>-1.5E-3</v>
      </c>
      <c r="AO98" s="16">
        <v>2.5000000000000001E-2</v>
      </c>
      <c r="AP98" s="16">
        <v>-2.5000000000000001E-2</v>
      </c>
      <c r="AQ98">
        <v>1.4999999999999999E-2</v>
      </c>
      <c r="AR98">
        <v>-1.4999999999999999E-2</v>
      </c>
      <c r="AS98">
        <v>1E-3</v>
      </c>
      <c r="AT98">
        <v>-1E-3</v>
      </c>
      <c r="AU98">
        <v>1E-3</v>
      </c>
      <c r="AV98">
        <v>-1E-3</v>
      </c>
      <c r="AW98" s="16">
        <v>1.4999999999999999E-2</v>
      </c>
      <c r="AX98" s="16">
        <v>-1.4999999999999999E-2</v>
      </c>
    </row>
    <row r="99" spans="6:50">
      <c r="F99" s="17" t="str">
        <f t="shared" si="13"/>
        <v/>
      </c>
      <c r="G99" s="4"/>
      <c r="H99" s="2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22" t="e">
        <f t="shared" si="14"/>
        <v>#N/A</v>
      </c>
      <c r="X99" s="21" t="e">
        <f t="shared" si="15"/>
        <v>#N/A</v>
      </c>
      <c r="Y99" s="21" t="e">
        <f t="shared" si="16"/>
        <v>#N/A</v>
      </c>
      <c r="Z99" s="11" t="e">
        <f t="shared" si="17"/>
        <v>#N/A</v>
      </c>
      <c r="AA99" s="22" t="e">
        <f t="shared" si="18"/>
        <v>#N/A</v>
      </c>
      <c r="AB99" s="21" t="e">
        <f t="shared" si="19"/>
        <v>#N/A</v>
      </c>
      <c r="AC99" s="21" t="e">
        <f t="shared" si="20"/>
        <v>#N/A</v>
      </c>
      <c r="AD99" s="11" t="e">
        <f t="shared" si="21"/>
        <v>#N/A</v>
      </c>
      <c r="AE99" s="22" t="e">
        <f t="shared" si="22"/>
        <v>#N/A</v>
      </c>
      <c r="AF99" s="21" t="e">
        <f t="shared" si="23"/>
        <v>#N/A</v>
      </c>
      <c r="AG99" s="21" t="e">
        <f t="shared" si="24"/>
        <v>#N/A</v>
      </c>
      <c r="AH99" s="11" t="e">
        <f t="shared" si="25"/>
        <v>#N/A</v>
      </c>
      <c r="AI99">
        <v>2.5000000000000001E-2</v>
      </c>
      <c r="AJ99">
        <v>-2.5000000000000001E-2</v>
      </c>
      <c r="AK99">
        <v>1.5E-3</v>
      </c>
      <c r="AL99">
        <v>-1.5E-3</v>
      </c>
      <c r="AM99">
        <v>1.5E-3</v>
      </c>
      <c r="AN99">
        <v>-1.5E-3</v>
      </c>
      <c r="AO99" s="16">
        <v>2.5000000000000001E-2</v>
      </c>
      <c r="AP99" s="16">
        <v>-2.5000000000000001E-2</v>
      </c>
      <c r="AQ99">
        <v>1.4999999999999999E-2</v>
      </c>
      <c r="AR99">
        <v>-1.4999999999999999E-2</v>
      </c>
      <c r="AS99">
        <v>1E-3</v>
      </c>
      <c r="AT99">
        <v>-1E-3</v>
      </c>
      <c r="AU99">
        <v>1E-3</v>
      </c>
      <c r="AV99">
        <v>-1E-3</v>
      </c>
      <c r="AW99" s="16">
        <v>1.4999999999999999E-2</v>
      </c>
      <c r="AX99" s="16">
        <v>-1.4999999999999999E-2</v>
      </c>
    </row>
    <row r="100" spans="6:50">
      <c r="F100" s="17" t="str">
        <f t="shared" si="13"/>
        <v/>
      </c>
      <c r="G100" s="4"/>
      <c r="H100" s="2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22" t="e">
        <f t="shared" si="14"/>
        <v>#N/A</v>
      </c>
      <c r="X100" s="21" t="e">
        <f t="shared" si="15"/>
        <v>#N/A</v>
      </c>
      <c r="Y100" s="21" t="e">
        <f t="shared" si="16"/>
        <v>#N/A</v>
      </c>
      <c r="Z100" s="11" t="e">
        <f t="shared" si="17"/>
        <v>#N/A</v>
      </c>
      <c r="AA100" s="22" t="e">
        <f t="shared" si="18"/>
        <v>#N/A</v>
      </c>
      <c r="AB100" s="21" t="e">
        <f t="shared" si="19"/>
        <v>#N/A</v>
      </c>
      <c r="AC100" s="21" t="e">
        <f t="shared" si="20"/>
        <v>#N/A</v>
      </c>
      <c r="AD100" s="11" t="e">
        <f t="shared" si="21"/>
        <v>#N/A</v>
      </c>
      <c r="AE100" s="22" t="e">
        <f t="shared" si="22"/>
        <v>#N/A</v>
      </c>
      <c r="AF100" s="21" t="e">
        <f t="shared" si="23"/>
        <v>#N/A</v>
      </c>
      <c r="AG100" s="21" t="e">
        <f t="shared" si="24"/>
        <v>#N/A</v>
      </c>
      <c r="AH100" s="11" t="e">
        <f t="shared" si="25"/>
        <v>#N/A</v>
      </c>
      <c r="AI100">
        <v>2.5000000000000001E-2</v>
      </c>
      <c r="AJ100">
        <v>-2.5000000000000001E-2</v>
      </c>
      <c r="AK100">
        <v>1.5E-3</v>
      </c>
      <c r="AL100">
        <v>-1.5E-3</v>
      </c>
      <c r="AM100">
        <v>1.5E-3</v>
      </c>
      <c r="AN100">
        <v>-1.5E-3</v>
      </c>
      <c r="AO100" s="16">
        <v>2.5000000000000001E-2</v>
      </c>
      <c r="AP100" s="16">
        <v>-2.5000000000000001E-2</v>
      </c>
      <c r="AQ100">
        <v>1.4999999999999999E-2</v>
      </c>
      <c r="AR100">
        <v>-1.4999999999999999E-2</v>
      </c>
      <c r="AS100">
        <v>1E-3</v>
      </c>
      <c r="AT100">
        <v>-1E-3</v>
      </c>
      <c r="AU100">
        <v>1E-3</v>
      </c>
      <c r="AV100">
        <v>-1E-3</v>
      </c>
      <c r="AW100" s="16">
        <v>1.4999999999999999E-2</v>
      </c>
      <c r="AX100" s="16">
        <v>-1.4999999999999999E-2</v>
      </c>
    </row>
  </sheetData>
  <mergeCells count="6">
    <mergeCell ref="AE4:AH4"/>
    <mergeCell ref="H4:L4"/>
    <mergeCell ref="M4:Q4"/>
    <mergeCell ref="R4:V4"/>
    <mergeCell ref="W4:Z4"/>
    <mergeCell ref="AA4:AD4"/>
  </mergeCells>
  <phoneticPr fontId="1"/>
  <conditionalFormatting sqref="W6:AH100">
    <cfRule type="containsErrors" dxfId="5" priority="1">
      <formula>ISERROR(W6)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S100"/>
  <sheetViews>
    <sheetView showGridLines="0" topLeftCell="AI1" zoomScale="70" zoomScaleNormal="70" workbookViewId="0">
      <pane ySplit="5" topLeftCell="A6" activePane="bottomLeft" state="frozen"/>
      <selection pane="bottomLeft" activeCell="BA4" sqref="BA4:BI5"/>
    </sheetView>
  </sheetViews>
  <sheetFormatPr defaultRowHeight="13.5"/>
  <cols>
    <col min="1" max="5" width="9" style="18"/>
    <col min="6" max="6" width="16.125" style="18" bestFit="1" customWidth="1"/>
    <col min="7" max="7" width="20.625" style="19" bestFit="1" customWidth="1"/>
    <col min="8" max="8" width="11.25" style="26" customWidth="1"/>
    <col min="9" max="9" width="11.25" style="20" customWidth="1"/>
    <col min="10" max="10" width="9.75" style="20" customWidth="1"/>
    <col min="11" max="11" width="9.25" style="20" customWidth="1"/>
    <col min="12" max="13" width="9.75" style="20" customWidth="1"/>
    <col min="14" max="14" width="10.125" style="20" customWidth="1"/>
    <col min="15" max="15" width="10" style="20" customWidth="1"/>
    <col min="16" max="22" width="9" style="20"/>
    <col min="23" max="16384" width="9" style="18"/>
  </cols>
  <sheetData>
    <row r="1" spans="1:279" customFormat="1">
      <c r="G1" s="7"/>
      <c r="H1" s="23"/>
      <c r="K1" s="1"/>
      <c r="L1" s="1"/>
      <c r="M1" s="27"/>
      <c r="R1" s="8"/>
    </row>
    <row r="2" spans="1:279" customFormat="1">
      <c r="G2" s="10"/>
      <c r="H2" s="24"/>
      <c r="I2" s="18"/>
      <c r="J2" s="10"/>
      <c r="K2" s="1"/>
      <c r="L2" s="1"/>
      <c r="M2" s="27"/>
      <c r="R2" s="8"/>
    </row>
    <row r="3" spans="1:279" customFormat="1">
      <c r="G3" s="10"/>
      <c r="H3" s="24"/>
      <c r="I3" s="13">
        <v>3.1103700000000001</v>
      </c>
      <c r="J3" s="13">
        <v>0.29050100000000001</v>
      </c>
      <c r="K3" s="14">
        <v>0.28018300000000002</v>
      </c>
      <c r="L3" s="14">
        <v>27.681999999999999</v>
      </c>
      <c r="M3" s="27"/>
      <c r="N3" s="13">
        <v>3.1324200000000002</v>
      </c>
      <c r="O3" s="13">
        <v>0.28729700000000002</v>
      </c>
      <c r="P3" s="14">
        <v>0.27366200000000002</v>
      </c>
      <c r="Q3" s="14">
        <v>27.869</v>
      </c>
      <c r="R3" s="27"/>
      <c r="S3" s="13">
        <v>3.1106600000000002</v>
      </c>
      <c r="T3" s="13">
        <v>0.28251900000000002</v>
      </c>
      <c r="U3" s="14">
        <v>0.26605899999999999</v>
      </c>
      <c r="V3" s="14">
        <v>27.683</v>
      </c>
    </row>
    <row r="4" spans="1:279" customFormat="1">
      <c r="A4" t="s">
        <v>15</v>
      </c>
      <c r="G4" s="3"/>
      <c r="H4" s="34" t="s">
        <v>5</v>
      </c>
      <c r="I4" s="34"/>
      <c r="J4" s="34"/>
      <c r="K4" s="34"/>
      <c r="L4" s="34"/>
      <c r="M4" s="35" t="s">
        <v>6</v>
      </c>
      <c r="N4" s="36"/>
      <c r="O4" s="36"/>
      <c r="P4" s="36"/>
      <c r="Q4" s="37"/>
      <c r="R4" s="35" t="s">
        <v>7</v>
      </c>
      <c r="S4" s="36"/>
      <c r="T4" s="36"/>
      <c r="U4" s="36"/>
      <c r="V4" s="37"/>
      <c r="W4" s="34" t="s">
        <v>5</v>
      </c>
      <c r="X4" s="34"/>
      <c r="Y4" s="34"/>
      <c r="Z4" s="34"/>
      <c r="AA4" s="34" t="s">
        <v>6</v>
      </c>
      <c r="AB4" s="34"/>
      <c r="AC4" s="34"/>
      <c r="AD4" s="34"/>
      <c r="AE4" s="34" t="s">
        <v>7</v>
      </c>
      <c r="AF4" s="34"/>
      <c r="AG4" s="34"/>
      <c r="AH4" s="34"/>
      <c r="AI4" t="s">
        <v>12</v>
      </c>
      <c r="AJ4" t="s">
        <v>12</v>
      </c>
      <c r="AK4" t="s">
        <v>12</v>
      </c>
      <c r="AL4" t="s">
        <v>12</v>
      </c>
      <c r="AM4" t="s">
        <v>12</v>
      </c>
      <c r="AN4" t="s">
        <v>12</v>
      </c>
      <c r="AO4" t="s">
        <v>12</v>
      </c>
      <c r="AP4" t="s">
        <v>12</v>
      </c>
      <c r="AQ4" t="s">
        <v>13</v>
      </c>
      <c r="AR4" t="s">
        <v>13</v>
      </c>
      <c r="AS4" t="s">
        <v>13</v>
      </c>
      <c r="AT4" t="s">
        <v>13</v>
      </c>
      <c r="AU4" t="s">
        <v>13</v>
      </c>
      <c r="AV4" t="s">
        <v>13</v>
      </c>
      <c r="AW4" t="s">
        <v>13</v>
      </c>
      <c r="AX4" t="s">
        <v>13</v>
      </c>
      <c r="BA4" t="s">
        <v>51</v>
      </c>
      <c r="BF4" t="s">
        <v>52</v>
      </c>
    </row>
    <row r="5" spans="1:279" customFormat="1">
      <c r="A5" s="2"/>
      <c r="B5" s="2" t="s">
        <v>1</v>
      </c>
      <c r="C5" s="2" t="s">
        <v>2</v>
      </c>
      <c r="D5" s="2" t="s">
        <v>3</v>
      </c>
      <c r="E5" s="2" t="s">
        <v>4</v>
      </c>
      <c r="G5" s="2" t="s">
        <v>0</v>
      </c>
      <c r="H5" s="5" t="s">
        <v>14</v>
      </c>
      <c r="I5" s="2" t="s">
        <v>1</v>
      </c>
      <c r="J5" s="2" t="s">
        <v>2</v>
      </c>
      <c r="K5" s="2" t="s">
        <v>3</v>
      </c>
      <c r="L5" s="2" t="s">
        <v>4</v>
      </c>
      <c r="M5" s="5" t="s">
        <v>14</v>
      </c>
      <c r="N5" s="2" t="s">
        <v>1</v>
      </c>
      <c r="O5" s="2" t="s">
        <v>2</v>
      </c>
      <c r="P5" s="2" t="s">
        <v>3</v>
      </c>
      <c r="Q5" s="2" t="s">
        <v>4</v>
      </c>
      <c r="R5" s="5" t="s">
        <v>14</v>
      </c>
      <c r="S5" s="2" t="s">
        <v>1</v>
      </c>
      <c r="T5" s="2" t="s">
        <v>2</v>
      </c>
      <c r="U5" s="2" t="s">
        <v>3</v>
      </c>
      <c r="V5" s="2" t="s">
        <v>4</v>
      </c>
      <c r="W5" s="2" t="s">
        <v>1</v>
      </c>
      <c r="X5" s="2" t="s">
        <v>2</v>
      </c>
      <c r="Y5" s="2" t="s">
        <v>3</v>
      </c>
      <c r="Z5" s="2" t="s">
        <v>4</v>
      </c>
      <c r="AA5" s="2" t="s">
        <v>1</v>
      </c>
      <c r="AB5" s="2" t="s">
        <v>2</v>
      </c>
      <c r="AC5" s="2" t="s">
        <v>3</v>
      </c>
      <c r="AD5" s="2" t="s">
        <v>4</v>
      </c>
      <c r="AE5" s="2" t="s">
        <v>1</v>
      </c>
      <c r="AF5" s="2" t="s">
        <v>2</v>
      </c>
      <c r="AG5" s="2" t="s">
        <v>3</v>
      </c>
      <c r="AH5" s="2" t="s">
        <v>4</v>
      </c>
      <c r="AI5" s="15" t="s">
        <v>1</v>
      </c>
      <c r="AK5" t="s">
        <v>2</v>
      </c>
      <c r="AM5" t="s">
        <v>3</v>
      </c>
      <c r="AO5" t="s">
        <v>4</v>
      </c>
      <c r="AQ5" s="15" t="s">
        <v>1</v>
      </c>
      <c r="AS5" t="s">
        <v>2</v>
      </c>
      <c r="AU5" t="s">
        <v>3</v>
      </c>
      <c r="AW5" t="s">
        <v>4</v>
      </c>
      <c r="BA5" t="s">
        <v>47</v>
      </c>
      <c r="BB5" t="s">
        <v>48</v>
      </c>
      <c r="BC5" t="s">
        <v>49</v>
      </c>
      <c r="BD5" t="s">
        <v>50</v>
      </c>
      <c r="BF5" t="s">
        <v>47</v>
      </c>
      <c r="BG5" t="s">
        <v>48</v>
      </c>
      <c r="BH5" t="s">
        <v>49</v>
      </c>
      <c r="BI5" t="s">
        <v>50</v>
      </c>
    </row>
    <row r="6" spans="1:279" customFormat="1">
      <c r="A6" s="2">
        <v>1</v>
      </c>
      <c r="B6" s="2">
        <v>3.1130200000000001</v>
      </c>
      <c r="C6" s="2">
        <v>0.28917700000000002</v>
      </c>
      <c r="D6" s="2">
        <v>0.28059899999999999</v>
      </c>
      <c r="E6" s="2">
        <v>27.034199999999998</v>
      </c>
      <c r="F6" s="17">
        <f>IF(G6="","",G6)</f>
        <v>44243.680625000001</v>
      </c>
      <c r="G6" s="9">
        <v>44243.680625000001</v>
      </c>
      <c r="H6" s="25">
        <v>1</v>
      </c>
      <c r="I6" s="12">
        <v>3.1150000000000002</v>
      </c>
      <c r="J6" s="5">
        <v>0.28870000000000001</v>
      </c>
      <c r="K6" s="5">
        <v>0.28061000000000003</v>
      </c>
      <c r="L6" s="5">
        <v>27.024999999999999</v>
      </c>
      <c r="M6" s="5">
        <v>2</v>
      </c>
      <c r="N6" s="5">
        <v>3.1150000000000002</v>
      </c>
      <c r="O6" s="5">
        <v>0.28642000000000001</v>
      </c>
      <c r="P6" s="5">
        <v>0.27061000000000002</v>
      </c>
      <c r="Q6" s="5">
        <v>28.306999999999999</v>
      </c>
      <c r="R6" s="5">
        <v>3</v>
      </c>
      <c r="S6" s="5">
        <v>3.1059999999999999</v>
      </c>
      <c r="T6" s="5">
        <v>0.28100000000000003</v>
      </c>
      <c r="U6" s="5">
        <v>0.26395999999999997</v>
      </c>
      <c r="V6" s="5">
        <v>27.774000000000001</v>
      </c>
      <c r="W6" s="22">
        <f>IF(H6="",NA(),I6-VLOOKUP(H6,$A$6:$E$35,2,FALSE))</f>
        <v>1.9800000000000928E-3</v>
      </c>
      <c r="X6" s="21">
        <f>IF(H6="",NA(),J6-VLOOKUP(H6,$A$6:$E$35,3,FALSE))</f>
        <v>-4.770000000000052E-4</v>
      </c>
      <c r="Y6" s="21">
        <f>IF(H6="",NA(),K6-VLOOKUP(H6,$A$6:$E$35,4,FALSE))</f>
        <v>1.1000000000038757E-5</v>
      </c>
      <c r="Z6" s="11">
        <f>IF(H6="",NA(),L6/VLOOKUP(H6,$A$6:$E$35,5,FALSE)-1)</f>
        <v>-3.4030968181042454E-4</v>
      </c>
      <c r="AA6" s="22">
        <f>IF(M6="",NA(),N6-VLOOKUP(M6,$A$6:$E$35,2,FALSE))</f>
        <v>3.2100000000001572E-3</v>
      </c>
      <c r="AB6" s="21">
        <f>IF(M6="",NA(),O6-VLOOKUP(M6,$A$6:$E$35,3,FALSE))</f>
        <v>-3.6459999999999826E-3</v>
      </c>
      <c r="AC6" s="21">
        <f>IF(M6="",NA(),P6-VLOOKUP(M6,$A$6:$E$35,4,FALSE))</f>
        <v>-9.7329999999999917E-3</v>
      </c>
      <c r="AD6" s="11">
        <f>IF(M6="",NA(),Q6/VLOOKUP(M6,$A$6:$E$35,5,FALSE)-1)</f>
        <v>3.321908683099184E-2</v>
      </c>
      <c r="AE6" s="22">
        <f>IF(R6="",NA(),S6-VLOOKUP(R6,$A$6:$E$35,2,FALSE))</f>
        <v>-1.8199999999999328E-3</v>
      </c>
      <c r="AF6" s="21">
        <f>IF(R6="",NA(),T6-VLOOKUP(R6,$A$6:$E$35,3,FALSE))</f>
        <v>-8.6889999999999468E-3</v>
      </c>
      <c r="AG6" s="21">
        <f>IF(R6="",NA(),U6-VLOOKUP(R6,$A$6:$E$35,4,FALSE))</f>
        <v>-1.7595000000000027E-2</v>
      </c>
      <c r="AH6" s="11">
        <f>IF(R6="",NA(),V6/VLOOKUP(R6,$A$6:$E$35,5,FALSE)-1)</f>
        <v>2.035268185157979E-2</v>
      </c>
      <c r="AI6">
        <v>2.5000000000000001E-2</v>
      </c>
      <c r="AJ6">
        <v>-2.5000000000000001E-2</v>
      </c>
      <c r="AK6">
        <v>1.5E-3</v>
      </c>
      <c r="AL6">
        <v>-1.5E-3</v>
      </c>
      <c r="AM6">
        <v>1.5E-3</v>
      </c>
      <c r="AN6">
        <v>-1.5E-3</v>
      </c>
      <c r="AO6" s="16">
        <v>2.5000000000000001E-2</v>
      </c>
      <c r="AP6" s="16">
        <v>-2.5000000000000001E-2</v>
      </c>
      <c r="AQ6">
        <v>1.4999999999999999E-2</v>
      </c>
      <c r="AR6">
        <v>-1.4999999999999999E-2</v>
      </c>
      <c r="AS6">
        <v>1E-3</v>
      </c>
      <c r="AT6">
        <v>-1E-3</v>
      </c>
      <c r="AU6">
        <v>1E-3</v>
      </c>
      <c r="AV6">
        <v>-1E-3</v>
      </c>
      <c r="AW6" s="16">
        <v>1.4999999999999999E-2</v>
      </c>
      <c r="AX6" s="16">
        <v>-1.4999999999999999E-2</v>
      </c>
    </row>
    <row r="7" spans="1:279" customFormat="1">
      <c r="A7" s="2">
        <v>2</v>
      </c>
      <c r="B7" s="2">
        <v>3.1117900000000001</v>
      </c>
      <c r="C7" s="2">
        <v>0.29006599999999999</v>
      </c>
      <c r="D7" s="2">
        <v>0.28034300000000001</v>
      </c>
      <c r="E7" s="2">
        <v>27.396899999999999</v>
      </c>
      <c r="F7" s="17">
        <f t="shared" ref="F7:F70" si="0">IF(G7="","",G7)</f>
        <v>44244.69734953704</v>
      </c>
      <c r="G7" s="9">
        <v>44244.69734953704</v>
      </c>
      <c r="H7" s="25">
        <v>1</v>
      </c>
      <c r="I7" s="5">
        <v>3.117</v>
      </c>
      <c r="J7" s="5">
        <v>0.28876000000000002</v>
      </c>
      <c r="K7" s="5">
        <v>0.28070000000000001</v>
      </c>
      <c r="L7" s="5">
        <v>27.026</v>
      </c>
      <c r="M7" s="5">
        <v>2</v>
      </c>
      <c r="N7" s="5">
        <v>3.1160000000000001</v>
      </c>
      <c r="O7" s="5">
        <v>0.28655000000000003</v>
      </c>
      <c r="P7" s="5">
        <v>0.27067999999999998</v>
      </c>
      <c r="Q7" s="5">
        <v>28.288</v>
      </c>
      <c r="R7" s="5">
        <v>3</v>
      </c>
      <c r="S7" s="5">
        <v>3.1059999999999999</v>
      </c>
      <c r="T7" s="5">
        <v>0.28109000000000001</v>
      </c>
      <c r="U7" s="5">
        <v>0.26407000000000003</v>
      </c>
      <c r="V7" s="5">
        <v>27.774999999999999</v>
      </c>
      <c r="W7" s="22">
        <f t="shared" ref="W7:W70" si="1">IF(H7="",NA(),I7-VLOOKUP(H7,$A$6:$E$35,2,FALSE))</f>
        <v>3.9799999999998725E-3</v>
      </c>
      <c r="X7" s="21">
        <f t="shared" ref="X7:X70" si="2">IF(H7="",NA(),J7-VLOOKUP(H7,$A$6:$E$35,3,FALSE))</f>
        <v>-4.170000000000007E-4</v>
      </c>
      <c r="Y7" s="21">
        <f t="shared" ref="Y7:Y70" si="3">IF(H7="",NA(),K7-VLOOKUP(H7,$A$6:$E$35,4,FALSE))</f>
        <v>1.0100000000001774E-4</v>
      </c>
      <c r="Z7" s="11">
        <f t="shared" ref="Z7:Z70" si="4">IF(H7="",NA(),L7/VLOOKUP(H7,$A$6:$E$35,5,FALSE)-1)</f>
        <v>-3.0331949900486155E-4</v>
      </c>
      <c r="AA7" s="22">
        <f t="shared" ref="AA7:AA70" si="5">IF(M7="",NA(),N7-VLOOKUP(M7,$A$6:$E$35,2,FALSE))</f>
        <v>4.210000000000047E-3</v>
      </c>
      <c r="AB7" s="21">
        <f t="shared" ref="AB7:AB70" si="6">IF(M7="",NA(),O7-VLOOKUP(M7,$A$6:$E$35,3,FALSE))</f>
        <v>-3.5159999999999636E-3</v>
      </c>
      <c r="AC7" s="21">
        <f t="shared" ref="AC7:AC70" si="7">IF(M7="",NA(),P7-VLOOKUP(M7,$A$6:$E$35,4,FALSE))</f>
        <v>-9.6630000000000327E-3</v>
      </c>
      <c r="AD7" s="11">
        <f t="shared" ref="AD7:AD70" si="8">IF(M7="",NA(),Q7/VLOOKUP(M7,$A$6:$E$35,5,FALSE)-1)</f>
        <v>3.2525577711346898E-2</v>
      </c>
      <c r="AE7" s="22">
        <f t="shared" ref="AE7:AE70" si="9">IF(R7="",NA(),S7-VLOOKUP(R7,$A$6:$E$35,2,FALSE))</f>
        <v>-1.8199999999999328E-3</v>
      </c>
      <c r="AF7" s="21">
        <f t="shared" ref="AF7:AF70" si="10">IF(R7="",NA(),T7-VLOOKUP(R7,$A$6:$E$35,3,FALSE))</f>
        <v>-8.5989999999999678E-3</v>
      </c>
      <c r="AG7" s="21">
        <f t="shared" ref="AG7:AG70" si="11">IF(R7="",NA(),U7-VLOOKUP(R7,$A$6:$E$35,4,FALSE))</f>
        <v>-1.7484999999999973E-2</v>
      </c>
      <c r="AH7" s="11">
        <f t="shared" ref="AH7:AH70" si="12">IF(R7="",NA(),V7/VLOOKUP(R7,$A$6:$E$35,5,FALSE)-1)</f>
        <v>2.0389419544452503E-2</v>
      </c>
      <c r="AI7">
        <v>2.5000000000000001E-2</v>
      </c>
      <c r="AJ7">
        <v>-2.5000000000000001E-2</v>
      </c>
      <c r="AK7">
        <v>1.5E-3</v>
      </c>
      <c r="AL7">
        <v>-1.5E-3</v>
      </c>
      <c r="AM7">
        <v>1.5E-3</v>
      </c>
      <c r="AN7">
        <v>-1.5E-3</v>
      </c>
      <c r="AO7" s="16">
        <v>2.5000000000000001E-2</v>
      </c>
      <c r="AP7" s="16">
        <v>-2.5000000000000001E-2</v>
      </c>
      <c r="AQ7">
        <v>1.4999999999999999E-2</v>
      </c>
      <c r="AR7">
        <v>-1.4999999999999999E-2</v>
      </c>
      <c r="AS7">
        <v>1E-3</v>
      </c>
      <c r="AT7">
        <v>-1E-3</v>
      </c>
      <c r="AU7">
        <v>1E-3</v>
      </c>
      <c r="AV7">
        <v>-1E-3</v>
      </c>
      <c r="AW7" s="16">
        <v>1.4999999999999999E-2</v>
      </c>
      <c r="AX7" s="16">
        <v>-1.4999999999999999E-2</v>
      </c>
    </row>
    <row r="8" spans="1:279" customFormat="1">
      <c r="A8" s="2">
        <v>3</v>
      </c>
      <c r="B8" s="2">
        <v>3.1078199999999998</v>
      </c>
      <c r="C8" s="2">
        <v>0.28968899999999997</v>
      </c>
      <c r="D8" s="2">
        <v>0.281555</v>
      </c>
      <c r="E8" s="2">
        <v>27.22</v>
      </c>
      <c r="F8" s="17">
        <f t="shared" si="0"/>
        <v>44245.474097222221</v>
      </c>
      <c r="G8" s="9">
        <v>44245.474097222221</v>
      </c>
      <c r="H8" s="25">
        <v>1</v>
      </c>
      <c r="I8" s="5">
        <v>3.1080000000000001</v>
      </c>
      <c r="J8" s="5">
        <v>0.28860000000000002</v>
      </c>
      <c r="K8" s="5">
        <v>0.28076000000000001</v>
      </c>
      <c r="L8" s="5">
        <v>26.925000000000001</v>
      </c>
      <c r="M8" s="5">
        <v>2</v>
      </c>
      <c r="N8" s="5">
        <v>3.1070000000000002</v>
      </c>
      <c r="O8" s="5">
        <v>0.28650999999999999</v>
      </c>
      <c r="P8" s="5">
        <v>0.27059</v>
      </c>
      <c r="Q8" s="5">
        <v>28.175000000000001</v>
      </c>
      <c r="R8" s="5">
        <v>3</v>
      </c>
      <c r="S8" s="5">
        <v>3.0979999999999999</v>
      </c>
      <c r="T8" s="5">
        <v>0.28094000000000002</v>
      </c>
      <c r="U8" s="5">
        <v>0.26375999999999999</v>
      </c>
      <c r="V8" s="5">
        <v>27.651</v>
      </c>
      <c r="W8" s="22">
        <f t="shared" si="1"/>
        <v>-5.0200000000000244E-3</v>
      </c>
      <c r="X8" s="21">
        <f t="shared" si="2"/>
        <v>-5.7699999999999418E-4</v>
      </c>
      <c r="Y8" s="21">
        <f t="shared" si="3"/>
        <v>1.6100000000002224E-4</v>
      </c>
      <c r="Z8" s="11">
        <f t="shared" si="4"/>
        <v>-4.0393279623587297E-3</v>
      </c>
      <c r="AA8" s="22">
        <f t="shared" si="5"/>
        <v>-4.7899999999998499E-3</v>
      </c>
      <c r="AB8" s="21">
        <f t="shared" si="6"/>
        <v>-3.5560000000000036E-3</v>
      </c>
      <c r="AC8" s="21">
        <f t="shared" si="7"/>
        <v>-9.7530000000000117E-3</v>
      </c>
      <c r="AD8" s="11">
        <f t="shared" si="8"/>
        <v>2.8401023473458853E-2</v>
      </c>
      <c r="AE8" s="22">
        <f t="shared" si="9"/>
        <v>-9.8199999999999399E-3</v>
      </c>
      <c r="AF8" s="21">
        <f t="shared" si="10"/>
        <v>-8.7489999999999513E-3</v>
      </c>
      <c r="AG8" s="21">
        <f t="shared" si="11"/>
        <v>-1.7795000000000005E-2</v>
      </c>
      <c r="AH8" s="11">
        <f t="shared" si="12"/>
        <v>1.5833945628214607E-2</v>
      </c>
      <c r="AI8">
        <v>2.5000000000000001E-2</v>
      </c>
      <c r="AJ8">
        <v>-2.5000000000000001E-2</v>
      </c>
      <c r="AK8">
        <v>1.5E-3</v>
      </c>
      <c r="AL8">
        <v>-1.5E-3</v>
      </c>
      <c r="AM8">
        <v>1.5E-3</v>
      </c>
      <c r="AN8">
        <v>-1.5E-3</v>
      </c>
      <c r="AO8" s="16">
        <v>2.5000000000000001E-2</v>
      </c>
      <c r="AP8" s="16">
        <v>-2.5000000000000001E-2</v>
      </c>
      <c r="AQ8">
        <v>1.4999999999999999E-2</v>
      </c>
      <c r="AR8">
        <v>-1.4999999999999999E-2</v>
      </c>
      <c r="AS8">
        <v>1E-3</v>
      </c>
      <c r="AT8">
        <v>-1E-3</v>
      </c>
      <c r="AU8">
        <v>1E-3</v>
      </c>
      <c r="AV8">
        <v>-1E-3</v>
      </c>
      <c r="AW8" s="16">
        <v>1.4999999999999999E-2</v>
      </c>
      <c r="AX8" s="16">
        <v>-1.4999999999999999E-2</v>
      </c>
      <c r="JS8">
        <v>12.849506578947368</v>
      </c>
    </row>
    <row r="9" spans="1:279" customFormat="1">
      <c r="A9" s="2">
        <v>4</v>
      </c>
      <c r="B9" s="2">
        <v>3.11558</v>
      </c>
      <c r="C9" s="2">
        <v>0.29120800000000002</v>
      </c>
      <c r="D9" s="2">
        <v>0.28087899999999999</v>
      </c>
      <c r="E9" s="2">
        <v>27.517900000000001</v>
      </c>
      <c r="F9" s="17">
        <f t="shared" si="0"/>
        <v>44245.550185185188</v>
      </c>
      <c r="G9" s="9">
        <v>44245.550185185188</v>
      </c>
      <c r="H9" s="25">
        <v>1</v>
      </c>
      <c r="I9" s="5">
        <v>3.113</v>
      </c>
      <c r="J9" s="5">
        <v>0.28872999999999999</v>
      </c>
      <c r="K9" s="5">
        <v>0.28071000000000002</v>
      </c>
      <c r="L9" s="5">
        <v>26.974</v>
      </c>
      <c r="M9" s="5">
        <v>2</v>
      </c>
      <c r="N9" s="5">
        <v>3.1120000000000001</v>
      </c>
      <c r="O9" s="5">
        <v>0.28642000000000001</v>
      </c>
      <c r="P9" s="5">
        <v>0.27039000000000002</v>
      </c>
      <c r="Q9" s="5">
        <v>28.233000000000001</v>
      </c>
      <c r="R9" s="5">
        <v>3</v>
      </c>
      <c r="S9" s="5">
        <v>3.1019999999999999</v>
      </c>
      <c r="T9" s="5">
        <v>0.28089999999999998</v>
      </c>
      <c r="U9" s="5">
        <v>0.26388</v>
      </c>
      <c r="V9" s="5">
        <v>27.661000000000001</v>
      </c>
      <c r="W9" s="22">
        <f t="shared" si="1"/>
        <v>-2.0000000000131024E-5</v>
      </c>
      <c r="X9" s="21">
        <f t="shared" si="2"/>
        <v>-4.4700000000003071E-4</v>
      </c>
      <c r="Y9" s="21">
        <f t="shared" si="3"/>
        <v>1.1100000000002774E-4</v>
      </c>
      <c r="Z9" s="11">
        <f t="shared" si="4"/>
        <v>-2.2268090048900291E-3</v>
      </c>
      <c r="AA9" s="22">
        <f t="shared" si="5"/>
        <v>2.1000000000004349E-4</v>
      </c>
      <c r="AB9" s="21">
        <f t="shared" si="6"/>
        <v>-3.6459999999999826E-3</v>
      </c>
      <c r="AC9" s="21">
        <f t="shared" si="7"/>
        <v>-9.9529999999999896E-3</v>
      </c>
      <c r="AD9" s="11">
        <f t="shared" si="8"/>
        <v>3.0518051312374839E-2</v>
      </c>
      <c r="AE9" s="22">
        <f t="shared" si="9"/>
        <v>-5.8199999999999363E-3</v>
      </c>
      <c r="AF9" s="21">
        <f t="shared" si="10"/>
        <v>-8.7889999999999913E-3</v>
      </c>
      <c r="AG9" s="21">
        <f t="shared" si="11"/>
        <v>-1.7674999999999996E-2</v>
      </c>
      <c r="AH9" s="11">
        <f t="shared" si="12"/>
        <v>1.6201322556943509E-2</v>
      </c>
      <c r="AI9">
        <v>2.5000000000000001E-2</v>
      </c>
      <c r="AJ9">
        <v>-2.5000000000000001E-2</v>
      </c>
      <c r="AK9">
        <v>1.5E-3</v>
      </c>
      <c r="AL9">
        <v>-1.5E-3</v>
      </c>
      <c r="AM9">
        <v>1.5E-3</v>
      </c>
      <c r="AN9">
        <v>-1.5E-3</v>
      </c>
      <c r="AO9" s="16">
        <v>2.5000000000000001E-2</v>
      </c>
      <c r="AP9" s="16">
        <v>-2.5000000000000001E-2</v>
      </c>
      <c r="AQ9">
        <v>1.4999999999999999E-2</v>
      </c>
      <c r="AR9">
        <v>-1.4999999999999999E-2</v>
      </c>
      <c r="AS9">
        <v>1E-3</v>
      </c>
      <c r="AT9">
        <v>-1E-3</v>
      </c>
      <c r="AU9">
        <v>1E-3</v>
      </c>
      <c r="AV9">
        <v>-1E-3</v>
      </c>
      <c r="AW9" s="16">
        <v>1.4999999999999999E-2</v>
      </c>
      <c r="AX9" s="16">
        <v>-1.4999999999999999E-2</v>
      </c>
    </row>
    <row r="10" spans="1:279" customFormat="1">
      <c r="A10" s="2">
        <v>5</v>
      </c>
      <c r="B10" s="2">
        <v>3.11633</v>
      </c>
      <c r="C10" s="2">
        <v>0.28991299999999998</v>
      </c>
      <c r="D10" s="2">
        <v>0.28015600000000002</v>
      </c>
      <c r="E10" s="2">
        <v>27.562799999999999</v>
      </c>
      <c r="F10" s="17">
        <f t="shared" si="0"/>
        <v>44245.693252314813</v>
      </c>
      <c r="G10" s="9">
        <v>44245.693252314813</v>
      </c>
      <c r="H10" s="25">
        <v>1</v>
      </c>
      <c r="I10" s="5">
        <v>3.1120000000000001</v>
      </c>
      <c r="J10" s="5">
        <v>0.28855999999999998</v>
      </c>
      <c r="K10" s="5">
        <v>0.28050000000000003</v>
      </c>
      <c r="L10" s="5">
        <v>26.898</v>
      </c>
      <c r="M10" s="5">
        <v>2</v>
      </c>
      <c r="N10" s="5">
        <v>3.1120000000000001</v>
      </c>
      <c r="O10" s="5">
        <v>0.28647</v>
      </c>
      <c r="P10" s="5">
        <v>0.27055000000000001</v>
      </c>
      <c r="Q10" s="5">
        <v>28.209</v>
      </c>
      <c r="R10" s="5">
        <v>3</v>
      </c>
      <c r="S10" s="5">
        <v>3.1040000000000001</v>
      </c>
      <c r="T10" s="5">
        <v>0.28100000000000003</v>
      </c>
      <c r="U10" s="5">
        <v>0.26385999999999998</v>
      </c>
      <c r="V10" s="5">
        <v>27.698</v>
      </c>
      <c r="W10" s="22">
        <f t="shared" si="1"/>
        <v>-1.0200000000000209E-3</v>
      </c>
      <c r="X10" s="21">
        <f t="shared" si="2"/>
        <v>-6.1700000000003419E-4</v>
      </c>
      <c r="Y10" s="21">
        <f t="shared" si="3"/>
        <v>-9.8999999999960231E-5</v>
      </c>
      <c r="Z10" s="11">
        <f t="shared" si="4"/>
        <v>-5.038062898106821E-3</v>
      </c>
      <c r="AA10" s="22">
        <f t="shared" si="5"/>
        <v>2.1000000000004349E-4</v>
      </c>
      <c r="AB10" s="21">
        <f t="shared" si="6"/>
        <v>-3.5959999999999881E-3</v>
      </c>
      <c r="AC10" s="21">
        <f t="shared" si="7"/>
        <v>-9.7929999999999962E-3</v>
      </c>
      <c r="AD10" s="11">
        <f t="shared" si="8"/>
        <v>2.9642039792823205E-2</v>
      </c>
      <c r="AE10" s="22">
        <f t="shared" si="9"/>
        <v>-3.8199999999997125E-3</v>
      </c>
      <c r="AF10" s="21">
        <f t="shared" si="10"/>
        <v>-8.6889999999999468E-3</v>
      </c>
      <c r="AG10" s="21">
        <f t="shared" si="11"/>
        <v>-1.7695000000000016E-2</v>
      </c>
      <c r="AH10" s="11">
        <f t="shared" si="12"/>
        <v>1.7560617193240313E-2</v>
      </c>
      <c r="AI10">
        <v>2.5000000000000001E-2</v>
      </c>
      <c r="AJ10">
        <v>-2.5000000000000001E-2</v>
      </c>
      <c r="AK10">
        <v>1.5E-3</v>
      </c>
      <c r="AL10">
        <v>-1.5E-3</v>
      </c>
      <c r="AM10">
        <v>1.5E-3</v>
      </c>
      <c r="AN10">
        <v>-1.5E-3</v>
      </c>
      <c r="AO10" s="16">
        <v>2.5000000000000001E-2</v>
      </c>
      <c r="AP10" s="16">
        <v>-2.5000000000000001E-2</v>
      </c>
      <c r="AQ10">
        <v>1.4999999999999999E-2</v>
      </c>
      <c r="AR10">
        <v>-1.4999999999999999E-2</v>
      </c>
      <c r="AS10">
        <v>1E-3</v>
      </c>
      <c r="AT10">
        <v>-1E-3</v>
      </c>
      <c r="AU10">
        <v>1E-3</v>
      </c>
      <c r="AV10">
        <v>-1E-3</v>
      </c>
      <c r="AW10" s="16">
        <v>1.4999999999999999E-2</v>
      </c>
      <c r="AX10" s="16">
        <v>-1.4999999999999999E-2</v>
      </c>
      <c r="JQ10">
        <v>28.935185185185187</v>
      </c>
    </row>
    <row r="11" spans="1:279" customFormat="1">
      <c r="A11" s="2">
        <v>6</v>
      </c>
      <c r="B11" s="2">
        <v>3.1269300000000002</v>
      </c>
      <c r="C11" s="2">
        <v>0.292375</v>
      </c>
      <c r="D11" s="2">
        <v>0.28644700000000001</v>
      </c>
      <c r="E11" s="2">
        <v>27.673100000000002</v>
      </c>
      <c r="F11" s="17">
        <f t="shared" si="0"/>
        <v>44246.737708333334</v>
      </c>
      <c r="G11" s="9">
        <v>44246.737708333334</v>
      </c>
      <c r="H11" s="25">
        <v>1</v>
      </c>
      <c r="I11" s="5">
        <v>3.1160000000000001</v>
      </c>
      <c r="J11" s="5">
        <v>0.28870000000000001</v>
      </c>
      <c r="K11" s="5">
        <v>0.28054000000000001</v>
      </c>
      <c r="L11" s="5">
        <v>26.962</v>
      </c>
      <c r="M11" s="5">
        <v>2</v>
      </c>
      <c r="N11" s="5">
        <v>3.1139999999999999</v>
      </c>
      <c r="O11" s="5">
        <v>0.28648000000000001</v>
      </c>
      <c r="P11" s="5">
        <v>0.27049000000000001</v>
      </c>
      <c r="Q11" s="5">
        <v>28.277999999999999</v>
      </c>
      <c r="R11" s="5">
        <v>3</v>
      </c>
      <c r="S11" s="5">
        <v>3.1059999999999999</v>
      </c>
      <c r="T11" s="5">
        <v>0.28098000000000001</v>
      </c>
      <c r="U11" s="5">
        <v>0.26388</v>
      </c>
      <c r="V11" s="5">
        <v>27.739000000000001</v>
      </c>
      <c r="W11" s="22">
        <f t="shared" si="1"/>
        <v>2.9799999999999827E-3</v>
      </c>
      <c r="X11" s="21">
        <f t="shared" si="2"/>
        <v>-4.770000000000052E-4</v>
      </c>
      <c r="Y11" s="21">
        <f t="shared" si="3"/>
        <v>-5.8999999999975739E-5</v>
      </c>
      <c r="Z11" s="11">
        <f t="shared" si="4"/>
        <v>-2.6706911985558968E-3</v>
      </c>
      <c r="AA11" s="22">
        <f t="shared" si="5"/>
        <v>2.2099999999998232E-3</v>
      </c>
      <c r="AB11" s="21">
        <f t="shared" si="6"/>
        <v>-3.5859999999999781E-3</v>
      </c>
      <c r="AC11" s="21">
        <f t="shared" si="7"/>
        <v>-9.8530000000000006E-3</v>
      </c>
      <c r="AD11" s="11">
        <f t="shared" si="8"/>
        <v>3.2160572911533736E-2</v>
      </c>
      <c r="AE11" s="22">
        <f t="shared" si="9"/>
        <v>-1.8199999999999328E-3</v>
      </c>
      <c r="AF11" s="21">
        <f t="shared" si="10"/>
        <v>-8.7089999999999668E-3</v>
      </c>
      <c r="AG11" s="21">
        <f t="shared" si="11"/>
        <v>-1.7674999999999996E-2</v>
      </c>
      <c r="AH11" s="11">
        <f t="shared" si="12"/>
        <v>1.9066862601028634E-2</v>
      </c>
      <c r="AI11">
        <v>2.5000000000000001E-2</v>
      </c>
      <c r="AJ11">
        <v>-2.5000000000000001E-2</v>
      </c>
      <c r="AK11">
        <v>1.5E-3</v>
      </c>
      <c r="AL11">
        <v>-1.5E-3</v>
      </c>
      <c r="AM11">
        <v>1.5E-3</v>
      </c>
      <c r="AN11">
        <v>-1.5E-3</v>
      </c>
      <c r="AO11" s="16">
        <v>2.5000000000000001E-2</v>
      </c>
      <c r="AP11" s="16">
        <v>-2.5000000000000001E-2</v>
      </c>
      <c r="AQ11">
        <v>1.4999999999999999E-2</v>
      </c>
      <c r="AR11">
        <v>-1.4999999999999999E-2</v>
      </c>
      <c r="AS11">
        <v>1E-3</v>
      </c>
      <c r="AT11">
        <v>-1E-3</v>
      </c>
      <c r="AU11">
        <v>1E-3</v>
      </c>
      <c r="AV11">
        <v>-1E-3</v>
      </c>
      <c r="AW11" s="16">
        <v>1.4999999999999999E-2</v>
      </c>
      <c r="AX11" s="16">
        <v>-1.4999999999999999E-2</v>
      </c>
      <c r="JR11">
        <v>25.699013157894736</v>
      </c>
    </row>
    <row r="12" spans="1:279" customFormat="1">
      <c r="A12" s="2">
        <v>7</v>
      </c>
      <c r="B12" s="2">
        <v>3.1089500000000001</v>
      </c>
      <c r="C12" s="2">
        <v>0.289273</v>
      </c>
      <c r="D12" s="2">
        <v>0.28025299999999997</v>
      </c>
      <c r="E12" s="2">
        <v>27.7532</v>
      </c>
      <c r="F12" s="17">
        <f t="shared" si="0"/>
        <v>44247.68005787037</v>
      </c>
      <c r="G12" s="9">
        <v>44247.68005787037</v>
      </c>
      <c r="H12" s="25">
        <v>1</v>
      </c>
      <c r="I12" s="5">
        <v>3.11</v>
      </c>
      <c r="J12" s="5">
        <v>0.28866000000000003</v>
      </c>
      <c r="K12" s="5">
        <v>0.28060000000000002</v>
      </c>
      <c r="L12" s="5">
        <v>27.01</v>
      </c>
      <c r="M12" s="5">
        <v>2</v>
      </c>
      <c r="N12" s="5">
        <v>3.109</v>
      </c>
      <c r="O12" s="5">
        <v>0.28634999999999999</v>
      </c>
      <c r="P12" s="5">
        <v>0.27039000000000002</v>
      </c>
      <c r="Q12" s="5">
        <v>28.268999999999998</v>
      </c>
      <c r="R12" s="5">
        <v>3</v>
      </c>
      <c r="S12" s="5">
        <v>3.101</v>
      </c>
      <c r="T12" s="5">
        <v>0.28089999999999998</v>
      </c>
      <c r="U12" s="5">
        <v>0.26385999999999998</v>
      </c>
      <c r="V12" s="5">
        <v>27.748000000000001</v>
      </c>
      <c r="W12" s="22">
        <f t="shared" si="1"/>
        <v>-3.0200000000002447E-3</v>
      </c>
      <c r="X12" s="21">
        <f t="shared" si="2"/>
        <v>-5.1699999999998969E-4</v>
      </c>
      <c r="Y12" s="21">
        <f t="shared" si="3"/>
        <v>1.0000000000287557E-6</v>
      </c>
      <c r="Z12" s="11">
        <f t="shared" si="4"/>
        <v>-8.9516242389253708E-4</v>
      </c>
      <c r="AA12" s="22">
        <f t="shared" si="5"/>
        <v>-2.7900000000000702E-3</v>
      </c>
      <c r="AB12" s="21">
        <f t="shared" si="6"/>
        <v>-3.7159999999999971E-3</v>
      </c>
      <c r="AC12" s="21">
        <f t="shared" si="7"/>
        <v>-9.9529999999999896E-3</v>
      </c>
      <c r="AD12" s="11">
        <f t="shared" si="8"/>
        <v>3.1832068591701956E-2</v>
      </c>
      <c r="AE12" s="22">
        <f t="shared" si="9"/>
        <v>-6.8199999999998262E-3</v>
      </c>
      <c r="AF12" s="21">
        <f t="shared" si="10"/>
        <v>-8.7889999999999913E-3</v>
      </c>
      <c r="AG12" s="21">
        <f t="shared" si="11"/>
        <v>-1.7695000000000016E-2</v>
      </c>
      <c r="AH12" s="11">
        <f t="shared" si="12"/>
        <v>1.9397501836884823E-2</v>
      </c>
      <c r="AI12">
        <v>2.5000000000000001E-2</v>
      </c>
      <c r="AJ12">
        <v>-2.5000000000000001E-2</v>
      </c>
      <c r="AK12">
        <v>1.5E-3</v>
      </c>
      <c r="AL12">
        <v>-1.5E-3</v>
      </c>
      <c r="AM12">
        <v>1.5E-3</v>
      </c>
      <c r="AN12">
        <v>-1.5E-3</v>
      </c>
      <c r="AO12" s="16">
        <v>2.5000000000000001E-2</v>
      </c>
      <c r="AP12" s="16">
        <v>-2.5000000000000001E-2</v>
      </c>
      <c r="AQ12">
        <v>1.4999999999999999E-2</v>
      </c>
      <c r="AR12">
        <v>-1.4999999999999999E-2</v>
      </c>
      <c r="AS12">
        <v>1E-3</v>
      </c>
      <c r="AT12">
        <v>-1E-3</v>
      </c>
      <c r="AU12">
        <v>1E-3</v>
      </c>
      <c r="AV12">
        <v>-1E-3</v>
      </c>
      <c r="AW12" s="16">
        <v>1.4999999999999999E-2</v>
      </c>
      <c r="AX12" s="16">
        <v>-1.4999999999999999E-2</v>
      </c>
      <c r="JP12">
        <v>25.699013157894736</v>
      </c>
      <c r="JR12">
        <v>12.849506578947368</v>
      </c>
      <c r="JS12">
        <v>12.849506578947368</v>
      </c>
    </row>
    <row r="13" spans="1:279" customFormat="1">
      <c r="A13" s="2">
        <v>8</v>
      </c>
      <c r="B13" s="2">
        <v>3.1103700000000001</v>
      </c>
      <c r="C13" s="2">
        <v>0.28980800000000001</v>
      </c>
      <c r="D13" s="2">
        <v>0.28028599999999998</v>
      </c>
      <c r="E13" s="2">
        <v>27.4602</v>
      </c>
      <c r="F13" s="17">
        <f t="shared" si="0"/>
        <v>44248.289826388886</v>
      </c>
      <c r="G13" s="9">
        <v>44248.289826388886</v>
      </c>
      <c r="H13" s="25">
        <v>1</v>
      </c>
      <c r="I13" s="5">
        <v>3.11</v>
      </c>
      <c r="J13" s="2">
        <v>0.28854999999999997</v>
      </c>
      <c r="K13" s="5">
        <v>0.28038000000000002</v>
      </c>
      <c r="L13" s="5">
        <v>26.995999999999999</v>
      </c>
      <c r="M13" s="5">
        <v>2</v>
      </c>
      <c r="N13" s="5">
        <v>3.109</v>
      </c>
      <c r="O13" s="2">
        <v>0.28637000000000001</v>
      </c>
      <c r="P13" s="5">
        <v>0.27029999999999998</v>
      </c>
      <c r="Q13" s="5">
        <v>28.292999999999999</v>
      </c>
      <c r="R13" s="5">
        <v>3</v>
      </c>
      <c r="S13" s="5">
        <v>3.101</v>
      </c>
      <c r="T13" s="2">
        <v>0.28069</v>
      </c>
      <c r="U13" s="5">
        <v>0.26355000000000001</v>
      </c>
      <c r="V13" s="5">
        <v>27.757999999999999</v>
      </c>
      <c r="W13" s="22">
        <f t="shared" si="1"/>
        <v>-3.0200000000002447E-3</v>
      </c>
      <c r="X13" s="21">
        <f t="shared" si="2"/>
        <v>-6.2700000000004419E-4</v>
      </c>
      <c r="Y13" s="21">
        <f t="shared" si="3"/>
        <v>-2.1899999999996922E-4</v>
      </c>
      <c r="Z13" s="11">
        <f t="shared" si="4"/>
        <v>-1.4130249831694197E-3</v>
      </c>
      <c r="AA13" s="22">
        <f t="shared" si="5"/>
        <v>-2.7900000000000702E-3</v>
      </c>
      <c r="AB13" s="21">
        <f t="shared" si="6"/>
        <v>-3.6959999999999771E-3</v>
      </c>
      <c r="AC13" s="21">
        <f t="shared" si="7"/>
        <v>-1.0043000000000024E-2</v>
      </c>
      <c r="AD13" s="11">
        <f t="shared" si="8"/>
        <v>3.270808011125359E-2</v>
      </c>
      <c r="AE13" s="22">
        <f t="shared" si="9"/>
        <v>-6.8199999999998262E-3</v>
      </c>
      <c r="AF13" s="21">
        <f t="shared" si="10"/>
        <v>-8.9989999999999792E-3</v>
      </c>
      <c r="AG13" s="21">
        <f t="shared" si="11"/>
        <v>-1.8004999999999993E-2</v>
      </c>
      <c r="AH13" s="11">
        <f t="shared" si="12"/>
        <v>1.9764878765613503E-2</v>
      </c>
      <c r="AI13">
        <v>2.5000000000000001E-2</v>
      </c>
      <c r="AJ13">
        <v>-2.5000000000000001E-2</v>
      </c>
      <c r="AK13">
        <v>1.5E-3</v>
      </c>
      <c r="AL13">
        <v>-1.5E-3</v>
      </c>
      <c r="AM13">
        <v>1.5E-3</v>
      </c>
      <c r="AN13">
        <v>-1.5E-3</v>
      </c>
      <c r="AO13" s="16">
        <v>2.5000000000000001E-2</v>
      </c>
      <c r="AP13" s="16">
        <v>-2.5000000000000001E-2</v>
      </c>
      <c r="AQ13">
        <v>1.4999999999999999E-2</v>
      </c>
      <c r="AR13">
        <v>-1.4999999999999999E-2</v>
      </c>
      <c r="AS13">
        <v>1E-3</v>
      </c>
      <c r="AT13">
        <v>-1E-3</v>
      </c>
      <c r="AU13">
        <v>1E-3</v>
      </c>
      <c r="AV13">
        <v>-1E-3</v>
      </c>
      <c r="AW13" s="16">
        <v>1.4999999999999999E-2</v>
      </c>
      <c r="AX13" s="16">
        <v>-1.4999999999999999E-2</v>
      </c>
    </row>
    <row r="14" spans="1:279" customFormat="1">
      <c r="A14" s="2">
        <v>9</v>
      </c>
      <c r="B14" s="2">
        <v>3.10961</v>
      </c>
      <c r="C14" s="2">
        <v>0.28914099999999998</v>
      </c>
      <c r="D14" s="2">
        <v>0.27739599999999998</v>
      </c>
      <c r="E14" s="2">
        <v>27.474900000000002</v>
      </c>
      <c r="F14" s="17">
        <f t="shared" si="0"/>
        <v>44248.802546296298</v>
      </c>
      <c r="G14" s="9">
        <v>44248.802546296298</v>
      </c>
      <c r="H14" s="25">
        <v>1</v>
      </c>
      <c r="I14" s="5">
        <v>3.105</v>
      </c>
      <c r="J14" s="5">
        <v>0.28854999999999997</v>
      </c>
      <c r="K14" s="5">
        <v>0.28053</v>
      </c>
      <c r="L14" s="5">
        <v>26.957999999999998</v>
      </c>
      <c r="M14" s="5">
        <v>2</v>
      </c>
      <c r="N14" s="5">
        <v>3.1040000000000001</v>
      </c>
      <c r="O14" s="5">
        <v>0.28627000000000002</v>
      </c>
      <c r="P14" s="5">
        <v>0.27026</v>
      </c>
      <c r="Q14" s="5">
        <v>28.207999999999998</v>
      </c>
      <c r="R14" s="5">
        <v>3</v>
      </c>
      <c r="S14" s="5">
        <v>3.0950000000000002</v>
      </c>
      <c r="T14" s="5">
        <v>0.28066000000000002</v>
      </c>
      <c r="U14" s="5">
        <v>0.26349</v>
      </c>
      <c r="V14" s="5">
        <v>27.652999999999999</v>
      </c>
      <c r="W14" s="22">
        <f t="shared" si="1"/>
        <v>-8.0200000000001381E-3</v>
      </c>
      <c r="X14" s="21">
        <f t="shared" si="2"/>
        <v>-6.2700000000004419E-4</v>
      </c>
      <c r="Y14" s="21">
        <f t="shared" si="3"/>
        <v>-6.8999999999985739E-5</v>
      </c>
      <c r="Z14" s="11">
        <f t="shared" si="4"/>
        <v>-2.8186519297778156E-3</v>
      </c>
      <c r="AA14" s="22">
        <f t="shared" si="5"/>
        <v>-7.7899999999999636E-3</v>
      </c>
      <c r="AB14" s="21">
        <f t="shared" si="6"/>
        <v>-3.7959999999999661E-3</v>
      </c>
      <c r="AC14" s="21">
        <f t="shared" si="7"/>
        <v>-1.0083000000000009E-2</v>
      </c>
      <c r="AD14" s="11">
        <f t="shared" si="8"/>
        <v>2.9605539312842044E-2</v>
      </c>
      <c r="AE14" s="22">
        <f t="shared" si="9"/>
        <v>-1.2819999999999609E-2</v>
      </c>
      <c r="AF14" s="21">
        <f t="shared" si="10"/>
        <v>-9.0289999999999537E-3</v>
      </c>
      <c r="AG14" s="21">
        <f t="shared" si="11"/>
        <v>-1.8064999999999998E-2</v>
      </c>
      <c r="AH14" s="11">
        <f t="shared" si="12"/>
        <v>1.5907421013960255E-2</v>
      </c>
      <c r="AI14">
        <v>2.5000000000000001E-2</v>
      </c>
      <c r="AJ14">
        <v>-2.5000000000000001E-2</v>
      </c>
      <c r="AK14">
        <v>1.5E-3</v>
      </c>
      <c r="AL14">
        <v>-1.5E-3</v>
      </c>
      <c r="AM14">
        <v>1.5E-3</v>
      </c>
      <c r="AN14">
        <v>-1.5E-3</v>
      </c>
      <c r="AO14" s="16">
        <v>2.5000000000000001E-2</v>
      </c>
      <c r="AP14" s="16">
        <v>-2.5000000000000001E-2</v>
      </c>
      <c r="AQ14">
        <v>1.4999999999999999E-2</v>
      </c>
      <c r="AR14">
        <v>-1.4999999999999999E-2</v>
      </c>
      <c r="AS14">
        <v>1E-3</v>
      </c>
      <c r="AT14">
        <v>-1E-3</v>
      </c>
      <c r="AU14">
        <v>1E-3</v>
      </c>
      <c r="AV14">
        <v>-1E-3</v>
      </c>
      <c r="AW14" s="16">
        <v>1.4999999999999999E-2</v>
      </c>
      <c r="AX14" s="16">
        <v>-1.4999999999999999E-2</v>
      </c>
    </row>
    <row r="15" spans="1:279" customFormat="1">
      <c r="A15" s="2">
        <v>10</v>
      </c>
      <c r="B15" s="2">
        <v>3.1197400000000002</v>
      </c>
      <c r="C15" s="2">
        <v>0.28938599999999998</v>
      </c>
      <c r="D15" s="2">
        <v>0.282277</v>
      </c>
      <c r="E15" s="2">
        <v>27.420999999999999</v>
      </c>
      <c r="F15" s="17">
        <f t="shared" si="0"/>
        <v>44249.720810185187</v>
      </c>
      <c r="G15" s="9">
        <v>44249.720810185187</v>
      </c>
      <c r="H15" s="25">
        <v>1</v>
      </c>
      <c r="I15" s="5">
        <v>3.1120000000000001</v>
      </c>
      <c r="J15" s="5">
        <v>0.28860999999999998</v>
      </c>
      <c r="K15" s="5">
        <v>0.28043000000000001</v>
      </c>
      <c r="L15" s="5">
        <v>26.992999999999999</v>
      </c>
      <c r="M15" s="5">
        <v>2</v>
      </c>
      <c r="N15" s="5">
        <v>3.1120000000000001</v>
      </c>
      <c r="O15" s="5">
        <v>0.28643000000000002</v>
      </c>
      <c r="P15" s="5">
        <v>0.27043</v>
      </c>
      <c r="Q15" s="5">
        <v>28.288</v>
      </c>
      <c r="R15" s="5">
        <v>3</v>
      </c>
      <c r="S15" s="5">
        <v>3.1030000000000002</v>
      </c>
      <c r="T15" s="5">
        <v>0.28086</v>
      </c>
      <c r="U15" s="5">
        <v>0.26366000000000001</v>
      </c>
      <c r="V15" s="5">
        <v>27.724</v>
      </c>
      <c r="W15" s="22">
        <f t="shared" si="1"/>
        <v>-1.0200000000000209E-3</v>
      </c>
      <c r="X15" s="21">
        <f t="shared" si="2"/>
        <v>-5.6700000000003969E-4</v>
      </c>
      <c r="Y15" s="21">
        <f t="shared" si="3"/>
        <v>-1.6899999999997473E-4</v>
      </c>
      <c r="Z15" s="11">
        <f t="shared" si="4"/>
        <v>-1.5239955315858866E-3</v>
      </c>
      <c r="AA15" s="22">
        <f t="shared" si="5"/>
        <v>2.1000000000004349E-4</v>
      </c>
      <c r="AB15" s="21">
        <f t="shared" si="6"/>
        <v>-3.6359999999999726E-3</v>
      </c>
      <c r="AC15" s="21">
        <f t="shared" si="7"/>
        <v>-9.9130000000000051E-3</v>
      </c>
      <c r="AD15" s="11">
        <f t="shared" si="8"/>
        <v>3.2525577711346898E-2</v>
      </c>
      <c r="AE15" s="22">
        <f t="shared" si="9"/>
        <v>-4.8199999999996024E-3</v>
      </c>
      <c r="AF15" s="21">
        <f t="shared" si="10"/>
        <v>-8.8289999999999758E-3</v>
      </c>
      <c r="AG15" s="21">
        <f t="shared" si="11"/>
        <v>-1.7894999999999994E-2</v>
      </c>
      <c r="AH15" s="11">
        <f t="shared" si="12"/>
        <v>1.8515797207935281E-2</v>
      </c>
      <c r="AI15">
        <v>2.5000000000000001E-2</v>
      </c>
      <c r="AJ15">
        <v>-2.5000000000000001E-2</v>
      </c>
      <c r="AK15">
        <v>1.5E-3</v>
      </c>
      <c r="AL15">
        <v>-1.5E-3</v>
      </c>
      <c r="AM15">
        <v>1.5E-3</v>
      </c>
      <c r="AN15">
        <v>-1.5E-3</v>
      </c>
      <c r="AO15" s="16">
        <v>2.5000000000000001E-2</v>
      </c>
      <c r="AP15" s="16">
        <v>-2.5000000000000001E-2</v>
      </c>
      <c r="AQ15">
        <v>1.4999999999999999E-2</v>
      </c>
      <c r="AR15">
        <v>-1.4999999999999999E-2</v>
      </c>
      <c r="AS15">
        <v>1E-3</v>
      </c>
      <c r="AT15">
        <v>-1E-3</v>
      </c>
      <c r="AU15">
        <v>1E-3</v>
      </c>
      <c r="AV15">
        <v>-1E-3</v>
      </c>
      <c r="AW15" s="16">
        <v>1.4999999999999999E-2</v>
      </c>
      <c r="AX15" s="16">
        <v>-1.4999999999999999E-2</v>
      </c>
      <c r="JS15">
        <v>30.502684236212787</v>
      </c>
    </row>
    <row r="16" spans="1:279" customFormat="1">
      <c r="A16" s="2">
        <v>11</v>
      </c>
      <c r="B16" s="2">
        <v>3.1175600000000001</v>
      </c>
      <c r="C16" s="2">
        <v>0.28717300000000001</v>
      </c>
      <c r="D16" s="2">
        <v>0.27200000000000002</v>
      </c>
      <c r="E16" s="2">
        <v>28.1784</v>
      </c>
      <c r="F16" s="17">
        <f t="shared" si="0"/>
        <v>44250.725266203706</v>
      </c>
      <c r="G16" s="9">
        <v>44250.725266203706</v>
      </c>
      <c r="H16" s="25">
        <v>1</v>
      </c>
      <c r="I16" s="5">
        <v>3.109</v>
      </c>
      <c r="J16" s="5">
        <v>0.28856999999999999</v>
      </c>
      <c r="K16" s="5">
        <v>0.28061000000000003</v>
      </c>
      <c r="L16" s="5">
        <v>26.905999999999999</v>
      </c>
      <c r="M16" s="5">
        <v>2</v>
      </c>
      <c r="N16" s="5">
        <v>3.1070000000000002</v>
      </c>
      <c r="O16" s="5">
        <v>0.28645999999999999</v>
      </c>
      <c r="P16" s="5">
        <v>0.27051999999999998</v>
      </c>
      <c r="Q16" s="5">
        <v>28.215</v>
      </c>
      <c r="R16" s="5">
        <v>3</v>
      </c>
      <c r="S16" s="5">
        <v>3.0979999999999999</v>
      </c>
      <c r="T16" s="5">
        <v>0.28082000000000001</v>
      </c>
      <c r="U16" s="5">
        <v>0.26363999999999999</v>
      </c>
      <c r="V16" s="5">
        <v>27.698</v>
      </c>
      <c r="W16" s="22">
        <f t="shared" si="1"/>
        <v>-4.0200000000001346E-3</v>
      </c>
      <c r="X16" s="21">
        <f t="shared" si="2"/>
        <v>-6.0700000000002419E-4</v>
      </c>
      <c r="Y16" s="21">
        <f t="shared" si="3"/>
        <v>1.1000000000038757E-5</v>
      </c>
      <c r="Z16" s="11">
        <f t="shared" si="4"/>
        <v>-4.7421414356629832E-3</v>
      </c>
      <c r="AA16" s="22">
        <f t="shared" si="5"/>
        <v>-4.7899999999998499E-3</v>
      </c>
      <c r="AB16" s="21">
        <f t="shared" si="6"/>
        <v>-3.6059999999999981E-3</v>
      </c>
      <c r="AC16" s="21">
        <f t="shared" si="7"/>
        <v>-9.8230000000000262E-3</v>
      </c>
      <c r="AD16" s="11">
        <f t="shared" si="8"/>
        <v>2.986104267271128E-2</v>
      </c>
      <c r="AE16" s="22">
        <f t="shared" si="9"/>
        <v>-9.8199999999999399E-3</v>
      </c>
      <c r="AF16" s="21">
        <f t="shared" si="10"/>
        <v>-8.8689999999999602E-3</v>
      </c>
      <c r="AG16" s="21">
        <f t="shared" si="11"/>
        <v>-1.7915000000000014E-2</v>
      </c>
      <c r="AH16" s="11">
        <f t="shared" si="12"/>
        <v>1.7560617193240313E-2</v>
      </c>
      <c r="AI16">
        <v>2.5000000000000001E-2</v>
      </c>
      <c r="AJ16">
        <v>-2.5000000000000001E-2</v>
      </c>
      <c r="AK16">
        <v>1.5E-3</v>
      </c>
      <c r="AL16">
        <v>-1.5E-3</v>
      </c>
      <c r="AM16">
        <v>1.5E-3</v>
      </c>
      <c r="AN16">
        <v>-1.5E-3</v>
      </c>
      <c r="AO16" s="16">
        <v>2.5000000000000001E-2</v>
      </c>
      <c r="AP16" s="16">
        <v>-2.5000000000000001E-2</v>
      </c>
      <c r="AQ16">
        <v>1.4999999999999999E-2</v>
      </c>
      <c r="AR16">
        <v>-1.4999999999999999E-2</v>
      </c>
      <c r="AS16">
        <v>1E-3</v>
      </c>
      <c r="AT16">
        <v>-1E-3</v>
      </c>
      <c r="AU16">
        <v>1E-3</v>
      </c>
      <c r="AV16">
        <v>-1E-3</v>
      </c>
      <c r="AW16" s="16">
        <v>1.4999999999999999E-2</v>
      </c>
      <c r="AX16" s="16">
        <v>-1.4999999999999999E-2</v>
      </c>
      <c r="JP16">
        <v>30.502684236212787</v>
      </c>
      <c r="JQ16">
        <v>28.935185185185187</v>
      </c>
    </row>
    <row r="17" spans="1:279" customFormat="1">
      <c r="A17" s="2">
        <v>12</v>
      </c>
      <c r="B17" s="2">
        <v>3.1223900000000002</v>
      </c>
      <c r="C17" s="2">
        <v>0.28932200000000002</v>
      </c>
      <c r="D17" s="2">
        <v>0.2777</v>
      </c>
      <c r="E17" s="2">
        <v>28.319299999999998</v>
      </c>
      <c r="F17" s="17">
        <f t="shared" si="0"/>
        <v>44251.641805555555</v>
      </c>
      <c r="G17" s="9">
        <v>44251.641805555555</v>
      </c>
      <c r="H17" s="25">
        <v>1</v>
      </c>
      <c r="I17" s="5">
        <v>3.109</v>
      </c>
      <c r="J17" s="5">
        <v>0.28854000000000002</v>
      </c>
      <c r="K17" s="5">
        <v>0.28048000000000001</v>
      </c>
      <c r="L17" s="5">
        <v>26.954000000000001</v>
      </c>
      <c r="M17" s="5">
        <v>2</v>
      </c>
      <c r="N17" s="5">
        <v>3.1080000000000001</v>
      </c>
      <c r="O17" s="5">
        <v>0.28637000000000001</v>
      </c>
      <c r="P17" s="5">
        <v>0.27044000000000001</v>
      </c>
      <c r="Q17" s="5">
        <v>28.263999999999999</v>
      </c>
      <c r="R17" s="5">
        <v>3</v>
      </c>
      <c r="S17" s="5">
        <v>3.0979999999999999</v>
      </c>
      <c r="T17" s="5">
        <v>0.28090999999999999</v>
      </c>
      <c r="U17" s="5">
        <v>0.26373999999999997</v>
      </c>
      <c r="V17" s="5">
        <v>27.712</v>
      </c>
      <c r="W17" s="22">
        <f t="shared" si="1"/>
        <v>-4.0200000000001346E-3</v>
      </c>
      <c r="X17" s="21">
        <f t="shared" si="2"/>
        <v>-6.3699999999999868E-4</v>
      </c>
      <c r="Y17" s="21">
        <f t="shared" si="3"/>
        <v>-1.1899999999998023E-4</v>
      </c>
      <c r="Z17" s="11">
        <f t="shared" si="4"/>
        <v>-2.9666126609997345E-3</v>
      </c>
      <c r="AA17" s="22">
        <f t="shared" si="5"/>
        <v>-3.7899999999999601E-3</v>
      </c>
      <c r="AB17" s="21">
        <f t="shared" si="6"/>
        <v>-3.6959999999999771E-3</v>
      </c>
      <c r="AC17" s="21">
        <f t="shared" si="7"/>
        <v>-9.9029999999999951E-3</v>
      </c>
      <c r="AD17" s="11">
        <f t="shared" si="8"/>
        <v>3.1649566191795486E-2</v>
      </c>
      <c r="AE17" s="22">
        <f t="shared" si="9"/>
        <v>-9.8199999999999399E-3</v>
      </c>
      <c r="AF17" s="21">
        <f t="shared" si="10"/>
        <v>-8.7789999999999813E-3</v>
      </c>
      <c r="AG17" s="21">
        <f t="shared" si="11"/>
        <v>-1.7815000000000025E-2</v>
      </c>
      <c r="AH17" s="11">
        <f t="shared" si="12"/>
        <v>1.8074944893460732E-2</v>
      </c>
      <c r="AI17">
        <v>2.5000000000000001E-2</v>
      </c>
      <c r="AJ17">
        <v>-2.5000000000000001E-2</v>
      </c>
      <c r="AK17">
        <v>1.5E-3</v>
      </c>
      <c r="AL17">
        <v>-1.5E-3</v>
      </c>
      <c r="AM17">
        <v>1.5E-3</v>
      </c>
      <c r="AN17">
        <v>-1.5E-3</v>
      </c>
      <c r="AO17" s="16">
        <v>2.5000000000000001E-2</v>
      </c>
      <c r="AP17" s="16">
        <v>-2.5000000000000001E-2</v>
      </c>
      <c r="AQ17">
        <v>1.4999999999999999E-2</v>
      </c>
      <c r="AR17">
        <v>-1.4999999999999999E-2</v>
      </c>
      <c r="AS17">
        <v>1E-3</v>
      </c>
      <c r="AT17">
        <v>-1E-3</v>
      </c>
      <c r="AU17">
        <v>1E-3</v>
      </c>
      <c r="AV17">
        <v>-1E-3</v>
      </c>
      <c r="AW17" s="16">
        <v>1.4999999999999999E-2</v>
      </c>
      <c r="AX17" s="16">
        <v>-1.4999999999999999E-2</v>
      </c>
    </row>
    <row r="18" spans="1:279" customFormat="1">
      <c r="A18" s="2">
        <v>13</v>
      </c>
      <c r="B18" s="2">
        <v>3.1213500000000001</v>
      </c>
      <c r="C18" s="2">
        <v>0.288327</v>
      </c>
      <c r="D18" s="2">
        <v>0.27486100000000002</v>
      </c>
      <c r="E18" s="2">
        <v>28.376899999999999</v>
      </c>
      <c r="F18" s="17">
        <f t="shared" si="0"/>
        <v>44252.762719907405</v>
      </c>
      <c r="G18" s="9">
        <v>44252.762719907405</v>
      </c>
      <c r="H18" s="25">
        <v>1</v>
      </c>
      <c r="I18" s="5">
        <v>3.117</v>
      </c>
      <c r="J18" s="5">
        <v>0.28860000000000002</v>
      </c>
      <c r="K18" s="5">
        <v>0.28051999999999999</v>
      </c>
      <c r="L18" s="5">
        <v>26.998000000000001</v>
      </c>
      <c r="M18" s="5">
        <v>2</v>
      </c>
      <c r="N18" s="5">
        <v>3.1160000000000001</v>
      </c>
      <c r="O18" s="5">
        <v>0.28644999999999998</v>
      </c>
      <c r="P18" s="5">
        <v>0.27051999999999998</v>
      </c>
      <c r="Q18" s="5">
        <v>28.265999999999998</v>
      </c>
      <c r="R18" s="5">
        <v>3</v>
      </c>
      <c r="S18" s="5">
        <v>3.1059999999999999</v>
      </c>
      <c r="T18" s="5">
        <v>0.28076000000000001</v>
      </c>
      <c r="U18" s="5">
        <v>0.2636</v>
      </c>
      <c r="V18" s="5">
        <v>27.734000000000002</v>
      </c>
      <c r="W18" s="22">
        <f t="shared" si="1"/>
        <v>3.9799999999998725E-3</v>
      </c>
      <c r="X18" s="21">
        <f t="shared" si="2"/>
        <v>-5.7699999999999418E-4</v>
      </c>
      <c r="Y18" s="21">
        <f t="shared" si="3"/>
        <v>-7.899999999999574E-5</v>
      </c>
      <c r="Z18" s="11">
        <f t="shared" si="4"/>
        <v>-1.3390446175584048E-3</v>
      </c>
      <c r="AA18" s="22">
        <f t="shared" si="5"/>
        <v>4.210000000000047E-3</v>
      </c>
      <c r="AB18" s="21">
        <f t="shared" si="6"/>
        <v>-3.6160000000000081E-3</v>
      </c>
      <c r="AC18" s="21">
        <f t="shared" si="7"/>
        <v>-9.8230000000000262E-3</v>
      </c>
      <c r="AD18" s="11">
        <f t="shared" si="8"/>
        <v>3.172256715175803E-2</v>
      </c>
      <c r="AE18" s="22">
        <f t="shared" si="9"/>
        <v>-1.8199999999999328E-3</v>
      </c>
      <c r="AF18" s="21">
        <f t="shared" si="10"/>
        <v>-8.9289999999999647E-3</v>
      </c>
      <c r="AG18" s="21">
        <f t="shared" si="11"/>
        <v>-1.7954999999999999E-2</v>
      </c>
      <c r="AH18" s="11">
        <f t="shared" si="12"/>
        <v>1.8883174136664405E-2</v>
      </c>
      <c r="AI18">
        <v>2.5000000000000001E-2</v>
      </c>
      <c r="AJ18">
        <v>-2.5000000000000001E-2</v>
      </c>
      <c r="AK18">
        <v>1.5E-3</v>
      </c>
      <c r="AL18">
        <v>-1.5E-3</v>
      </c>
      <c r="AM18">
        <v>1.5E-3</v>
      </c>
      <c r="AN18">
        <v>-1.5E-3</v>
      </c>
      <c r="AO18" s="16">
        <v>2.5000000000000001E-2</v>
      </c>
      <c r="AP18" s="16">
        <v>-2.5000000000000001E-2</v>
      </c>
      <c r="AQ18">
        <v>1.4999999999999999E-2</v>
      </c>
      <c r="AR18">
        <v>-1.4999999999999999E-2</v>
      </c>
      <c r="AS18">
        <v>1E-3</v>
      </c>
      <c r="AT18">
        <v>-1E-3</v>
      </c>
      <c r="AU18">
        <v>1E-3</v>
      </c>
      <c r="AV18">
        <v>-1E-3</v>
      </c>
      <c r="AW18" s="16">
        <v>1.4999999999999999E-2</v>
      </c>
      <c r="AX18" s="16">
        <v>-1.4999999999999999E-2</v>
      </c>
      <c r="JQ18">
        <v>24.187306501547987</v>
      </c>
      <c r="JR18">
        <v>27.64263600176913</v>
      </c>
      <c r="JS18">
        <v>24.187306501547987</v>
      </c>
    </row>
    <row r="19" spans="1:279" customFormat="1">
      <c r="A19" s="2">
        <v>14</v>
      </c>
      <c r="B19" s="2">
        <v>3.1144400000000001</v>
      </c>
      <c r="C19" s="2">
        <v>0.28959099999999999</v>
      </c>
      <c r="D19" s="2">
        <v>0.27601300000000001</v>
      </c>
      <c r="E19" s="2">
        <v>28.756699999999999</v>
      </c>
      <c r="F19" s="17" t="str">
        <f t="shared" si="0"/>
        <v/>
      </c>
      <c r="G19" s="9"/>
      <c r="H19" s="25">
        <v>1</v>
      </c>
      <c r="I19" s="5"/>
      <c r="J19" s="5"/>
      <c r="K19" s="5"/>
      <c r="L19" s="5"/>
      <c r="M19" s="5">
        <v>2</v>
      </c>
      <c r="N19" s="5"/>
      <c r="O19" s="5"/>
      <c r="P19" s="5"/>
      <c r="Q19" s="5"/>
      <c r="R19" s="5">
        <v>3</v>
      </c>
      <c r="S19" s="5"/>
      <c r="T19" s="5"/>
      <c r="U19" s="5"/>
      <c r="V19" s="5"/>
      <c r="W19" s="22">
        <f t="shared" si="1"/>
        <v>-3.1130200000000001</v>
      </c>
      <c r="X19" s="21">
        <f t="shared" si="2"/>
        <v>-0.28917700000000002</v>
      </c>
      <c r="Y19" s="21">
        <f t="shared" si="3"/>
        <v>-0.28059899999999999</v>
      </c>
      <c r="Z19" s="11">
        <f t="shared" si="4"/>
        <v>-1</v>
      </c>
      <c r="AA19" s="22">
        <f t="shared" si="5"/>
        <v>-3.1117900000000001</v>
      </c>
      <c r="AB19" s="21">
        <f t="shared" si="6"/>
        <v>-0.29006599999999999</v>
      </c>
      <c r="AC19" s="21">
        <f t="shared" si="7"/>
        <v>-0.28034300000000001</v>
      </c>
      <c r="AD19" s="11">
        <f t="shared" si="8"/>
        <v>-1</v>
      </c>
      <c r="AE19" s="22">
        <f t="shared" si="9"/>
        <v>-3.1078199999999998</v>
      </c>
      <c r="AF19" s="21">
        <f t="shared" si="10"/>
        <v>-0.28968899999999997</v>
      </c>
      <c r="AG19" s="21">
        <f t="shared" si="11"/>
        <v>-0.281555</v>
      </c>
      <c r="AH19" s="11">
        <f t="shared" si="12"/>
        <v>-1</v>
      </c>
      <c r="AI19">
        <v>2.5000000000000001E-2</v>
      </c>
      <c r="AJ19">
        <v>-2.5000000000000001E-2</v>
      </c>
      <c r="AK19">
        <v>1.5E-3</v>
      </c>
      <c r="AL19">
        <v>-1.5E-3</v>
      </c>
      <c r="AM19">
        <v>1.5E-3</v>
      </c>
      <c r="AN19">
        <v>-1.5E-3</v>
      </c>
      <c r="AO19" s="16">
        <v>2.5000000000000001E-2</v>
      </c>
      <c r="AP19" s="16">
        <v>-2.5000000000000001E-2</v>
      </c>
      <c r="AQ19">
        <v>1.4999999999999999E-2</v>
      </c>
      <c r="AR19">
        <v>-1.4999999999999999E-2</v>
      </c>
      <c r="AS19">
        <v>1E-3</v>
      </c>
      <c r="AT19">
        <v>-1E-3</v>
      </c>
      <c r="AU19">
        <v>1E-3</v>
      </c>
      <c r="AV19">
        <v>-1E-3</v>
      </c>
      <c r="AW19" s="16">
        <v>1.4999999999999999E-2</v>
      </c>
      <c r="AX19" s="16">
        <v>-1.4999999999999999E-2</v>
      </c>
    </row>
    <row r="20" spans="1:279" customFormat="1">
      <c r="A20" s="2">
        <v>15</v>
      </c>
      <c r="B20" s="2">
        <v>3.12513</v>
      </c>
      <c r="C20" s="2">
        <v>0.28943200000000002</v>
      </c>
      <c r="D20" s="2">
        <v>0.27723500000000001</v>
      </c>
      <c r="E20" s="2">
        <v>28.385200000000001</v>
      </c>
      <c r="F20" s="17" t="str">
        <f t="shared" si="0"/>
        <v/>
      </c>
      <c r="G20" s="9"/>
      <c r="H20" s="25">
        <v>1</v>
      </c>
      <c r="I20" s="5"/>
      <c r="J20" s="5"/>
      <c r="K20" s="5"/>
      <c r="L20" s="5"/>
      <c r="M20" s="5">
        <v>2</v>
      </c>
      <c r="N20" s="5"/>
      <c r="O20" s="5"/>
      <c r="P20" s="5"/>
      <c r="Q20" s="5"/>
      <c r="R20" s="5">
        <v>3</v>
      </c>
      <c r="S20" s="5"/>
      <c r="T20" s="5"/>
      <c r="U20" s="5"/>
      <c r="V20" s="5"/>
      <c r="W20" s="22">
        <f t="shared" si="1"/>
        <v>-3.1130200000000001</v>
      </c>
      <c r="X20" s="21">
        <f t="shared" si="2"/>
        <v>-0.28917700000000002</v>
      </c>
      <c r="Y20" s="21">
        <f t="shared" si="3"/>
        <v>-0.28059899999999999</v>
      </c>
      <c r="Z20" s="11">
        <f t="shared" si="4"/>
        <v>-1</v>
      </c>
      <c r="AA20" s="22">
        <f t="shared" si="5"/>
        <v>-3.1117900000000001</v>
      </c>
      <c r="AB20" s="21">
        <f t="shared" si="6"/>
        <v>-0.29006599999999999</v>
      </c>
      <c r="AC20" s="21">
        <f t="shared" si="7"/>
        <v>-0.28034300000000001</v>
      </c>
      <c r="AD20" s="11">
        <f t="shared" si="8"/>
        <v>-1</v>
      </c>
      <c r="AE20" s="22">
        <f t="shared" si="9"/>
        <v>-3.1078199999999998</v>
      </c>
      <c r="AF20" s="21">
        <f t="shared" si="10"/>
        <v>-0.28968899999999997</v>
      </c>
      <c r="AG20" s="21">
        <f t="shared" si="11"/>
        <v>-0.281555</v>
      </c>
      <c r="AH20" s="11">
        <f t="shared" si="12"/>
        <v>-1</v>
      </c>
      <c r="AI20">
        <v>2.5000000000000001E-2</v>
      </c>
      <c r="AJ20">
        <v>-2.5000000000000001E-2</v>
      </c>
      <c r="AK20">
        <v>1.5E-3</v>
      </c>
      <c r="AL20">
        <v>-1.5E-3</v>
      </c>
      <c r="AM20">
        <v>1.5E-3</v>
      </c>
      <c r="AN20">
        <v>-1.5E-3</v>
      </c>
      <c r="AO20" s="16">
        <v>2.5000000000000001E-2</v>
      </c>
      <c r="AP20" s="16">
        <v>-2.5000000000000001E-2</v>
      </c>
      <c r="AQ20">
        <v>1.4999999999999999E-2</v>
      </c>
      <c r="AR20">
        <v>-1.4999999999999999E-2</v>
      </c>
      <c r="AS20">
        <v>1E-3</v>
      </c>
      <c r="AT20">
        <v>-1E-3</v>
      </c>
      <c r="AU20">
        <v>1E-3</v>
      </c>
      <c r="AV20">
        <v>-1E-3</v>
      </c>
      <c r="AW20" s="16">
        <v>1.4999999999999999E-2</v>
      </c>
      <c r="AX20" s="16">
        <v>-1.4999999999999999E-2</v>
      </c>
      <c r="JP20">
        <v>27.64263600176913</v>
      </c>
      <c r="JQ20">
        <v>26.386152547143258</v>
      </c>
    </row>
    <row r="21" spans="1:279" customFormat="1">
      <c r="A21" s="2">
        <v>16</v>
      </c>
      <c r="B21" s="2">
        <v>3.1189800000000001</v>
      </c>
      <c r="C21" s="2">
        <v>0.28695900000000002</v>
      </c>
      <c r="D21" s="2">
        <v>0.27294600000000002</v>
      </c>
      <c r="E21" s="2">
        <v>28.0854</v>
      </c>
      <c r="F21" s="17" t="str">
        <f t="shared" si="0"/>
        <v/>
      </c>
      <c r="G21" s="9"/>
      <c r="H21" s="25">
        <v>1</v>
      </c>
      <c r="I21" s="5"/>
      <c r="J21" s="5"/>
      <c r="K21" s="5"/>
      <c r="L21" s="5"/>
      <c r="M21" s="5">
        <v>2</v>
      </c>
      <c r="N21" s="5"/>
      <c r="O21" s="5"/>
      <c r="P21" s="5"/>
      <c r="Q21" s="5"/>
      <c r="R21" s="5">
        <v>3</v>
      </c>
      <c r="S21" s="5"/>
      <c r="T21" s="5"/>
      <c r="U21" s="5"/>
      <c r="V21" s="5"/>
      <c r="W21" s="22">
        <f t="shared" si="1"/>
        <v>-3.1130200000000001</v>
      </c>
      <c r="X21" s="21">
        <f t="shared" si="2"/>
        <v>-0.28917700000000002</v>
      </c>
      <c r="Y21" s="21">
        <f t="shared" si="3"/>
        <v>-0.28059899999999999</v>
      </c>
      <c r="Z21" s="11">
        <f t="shared" si="4"/>
        <v>-1</v>
      </c>
      <c r="AA21" s="22">
        <f t="shared" si="5"/>
        <v>-3.1117900000000001</v>
      </c>
      <c r="AB21" s="21">
        <f t="shared" si="6"/>
        <v>-0.29006599999999999</v>
      </c>
      <c r="AC21" s="21">
        <f t="shared" si="7"/>
        <v>-0.28034300000000001</v>
      </c>
      <c r="AD21" s="11">
        <f t="shared" si="8"/>
        <v>-1</v>
      </c>
      <c r="AE21" s="22">
        <f t="shared" si="9"/>
        <v>-3.1078199999999998</v>
      </c>
      <c r="AF21" s="21">
        <f t="shared" si="10"/>
        <v>-0.28968899999999997</v>
      </c>
      <c r="AG21" s="21">
        <f t="shared" si="11"/>
        <v>-0.281555</v>
      </c>
      <c r="AH21" s="11">
        <f t="shared" si="12"/>
        <v>-1</v>
      </c>
      <c r="AI21">
        <v>2.5000000000000001E-2</v>
      </c>
      <c r="AJ21">
        <v>-2.5000000000000001E-2</v>
      </c>
      <c r="AK21">
        <v>1.5E-3</v>
      </c>
      <c r="AL21">
        <v>-1.5E-3</v>
      </c>
      <c r="AM21">
        <v>1.5E-3</v>
      </c>
      <c r="AN21">
        <v>-1.5E-3</v>
      </c>
      <c r="AO21" s="16">
        <v>2.5000000000000001E-2</v>
      </c>
      <c r="AP21" s="16">
        <v>-2.5000000000000001E-2</v>
      </c>
      <c r="AQ21">
        <v>1.4999999999999999E-2</v>
      </c>
      <c r="AR21">
        <v>-1.4999999999999999E-2</v>
      </c>
      <c r="AS21">
        <v>1E-3</v>
      </c>
      <c r="AT21">
        <v>-1E-3</v>
      </c>
      <c r="AU21">
        <v>1E-3</v>
      </c>
      <c r="AV21">
        <v>-1E-3</v>
      </c>
      <c r="AW21" s="16">
        <v>1.4999999999999999E-2</v>
      </c>
      <c r="AX21" s="16">
        <v>-1.4999999999999999E-2</v>
      </c>
      <c r="JP21">
        <v>28.935185185185187</v>
      </c>
      <c r="JQ21">
        <v>28.935185185185187</v>
      </c>
    </row>
    <row r="22" spans="1:279" customFormat="1">
      <c r="A22" s="2">
        <v>17</v>
      </c>
      <c r="B22" s="2">
        <v>3.1138699999999999</v>
      </c>
      <c r="C22" s="2">
        <v>0.28690100000000002</v>
      </c>
      <c r="D22" s="2">
        <v>0.27251999999999998</v>
      </c>
      <c r="E22" s="2">
        <v>28.151499999999999</v>
      </c>
      <c r="F22" s="17" t="str">
        <f t="shared" si="0"/>
        <v/>
      </c>
      <c r="G22" s="9"/>
      <c r="H22" s="25">
        <v>1</v>
      </c>
      <c r="I22" s="5"/>
      <c r="J22" s="5"/>
      <c r="K22" s="5"/>
      <c r="L22" s="5"/>
      <c r="M22" s="5">
        <v>2</v>
      </c>
      <c r="N22" s="5"/>
      <c r="O22" s="5"/>
      <c r="P22" s="5"/>
      <c r="Q22" s="5"/>
      <c r="R22" s="5">
        <v>3</v>
      </c>
      <c r="S22" s="5"/>
      <c r="T22" s="5"/>
      <c r="U22" s="5"/>
      <c r="V22" s="5"/>
      <c r="W22" s="22">
        <f t="shared" si="1"/>
        <v>-3.1130200000000001</v>
      </c>
      <c r="X22" s="21">
        <f t="shared" si="2"/>
        <v>-0.28917700000000002</v>
      </c>
      <c r="Y22" s="21">
        <f t="shared" si="3"/>
        <v>-0.28059899999999999</v>
      </c>
      <c r="Z22" s="11">
        <f t="shared" si="4"/>
        <v>-1</v>
      </c>
      <c r="AA22" s="22">
        <f t="shared" si="5"/>
        <v>-3.1117900000000001</v>
      </c>
      <c r="AB22" s="21">
        <f t="shared" si="6"/>
        <v>-0.29006599999999999</v>
      </c>
      <c r="AC22" s="21">
        <f t="shared" si="7"/>
        <v>-0.28034300000000001</v>
      </c>
      <c r="AD22" s="11">
        <f t="shared" si="8"/>
        <v>-1</v>
      </c>
      <c r="AE22" s="22">
        <f t="shared" si="9"/>
        <v>-3.1078199999999998</v>
      </c>
      <c r="AF22" s="21">
        <f t="shared" si="10"/>
        <v>-0.28968899999999997</v>
      </c>
      <c r="AG22" s="21">
        <f t="shared" si="11"/>
        <v>-0.281555</v>
      </c>
      <c r="AH22" s="11">
        <f t="shared" si="12"/>
        <v>-1</v>
      </c>
      <c r="AI22">
        <v>2.5000000000000001E-2</v>
      </c>
      <c r="AJ22">
        <v>-2.5000000000000001E-2</v>
      </c>
      <c r="AK22">
        <v>1.5E-3</v>
      </c>
      <c r="AL22">
        <v>-1.5E-3</v>
      </c>
      <c r="AM22">
        <v>1.5E-3</v>
      </c>
      <c r="AN22">
        <v>-1.5E-3</v>
      </c>
      <c r="AO22" s="16">
        <v>2.5000000000000001E-2</v>
      </c>
      <c r="AP22" s="16">
        <v>-2.5000000000000001E-2</v>
      </c>
      <c r="AQ22">
        <v>1.4999999999999999E-2</v>
      </c>
      <c r="AR22">
        <v>-1.4999999999999999E-2</v>
      </c>
      <c r="AS22">
        <v>1E-3</v>
      </c>
      <c r="AT22">
        <v>-1E-3</v>
      </c>
      <c r="AU22">
        <v>1E-3</v>
      </c>
      <c r="AV22">
        <v>-1E-3</v>
      </c>
      <c r="AW22" s="16">
        <v>1.4999999999999999E-2</v>
      </c>
      <c r="AX22" s="16">
        <v>-1.4999999999999999E-2</v>
      </c>
    </row>
    <row r="23" spans="1:279" customFormat="1">
      <c r="A23" s="2">
        <v>18</v>
      </c>
      <c r="B23" s="2">
        <v>3.11321</v>
      </c>
      <c r="C23" s="2">
        <v>0.287605</v>
      </c>
      <c r="D23" s="2">
        <v>0.27456799999999998</v>
      </c>
      <c r="E23" s="2">
        <v>28.0138</v>
      </c>
      <c r="F23" s="17" t="str">
        <f t="shared" si="0"/>
        <v/>
      </c>
      <c r="G23" s="9"/>
      <c r="H23" s="25">
        <v>1</v>
      </c>
      <c r="I23" s="5"/>
      <c r="J23" s="5"/>
      <c r="K23" s="5"/>
      <c r="L23" s="5"/>
      <c r="M23" s="5">
        <v>2</v>
      </c>
      <c r="N23" s="5"/>
      <c r="O23" s="5"/>
      <c r="P23" s="5"/>
      <c r="Q23" s="5"/>
      <c r="R23" s="5">
        <v>3</v>
      </c>
      <c r="S23" s="5"/>
      <c r="T23" s="5"/>
      <c r="U23" s="5"/>
      <c r="V23" s="5"/>
      <c r="W23" s="22">
        <f t="shared" si="1"/>
        <v>-3.1130200000000001</v>
      </c>
      <c r="X23" s="21">
        <f t="shared" si="2"/>
        <v>-0.28917700000000002</v>
      </c>
      <c r="Y23" s="21">
        <f t="shared" si="3"/>
        <v>-0.28059899999999999</v>
      </c>
      <c r="Z23" s="11">
        <f t="shared" si="4"/>
        <v>-1</v>
      </c>
      <c r="AA23" s="22">
        <f t="shared" si="5"/>
        <v>-3.1117900000000001</v>
      </c>
      <c r="AB23" s="21">
        <f t="shared" si="6"/>
        <v>-0.29006599999999999</v>
      </c>
      <c r="AC23" s="21">
        <f t="shared" si="7"/>
        <v>-0.28034300000000001</v>
      </c>
      <c r="AD23" s="11">
        <f t="shared" si="8"/>
        <v>-1</v>
      </c>
      <c r="AE23" s="22">
        <f t="shared" si="9"/>
        <v>-3.1078199999999998</v>
      </c>
      <c r="AF23" s="21">
        <f t="shared" si="10"/>
        <v>-0.28968899999999997</v>
      </c>
      <c r="AG23" s="21">
        <f t="shared" si="11"/>
        <v>-0.281555</v>
      </c>
      <c r="AH23" s="11">
        <f t="shared" si="12"/>
        <v>-1</v>
      </c>
      <c r="AI23">
        <v>2.5000000000000001E-2</v>
      </c>
      <c r="AJ23">
        <v>-2.5000000000000001E-2</v>
      </c>
      <c r="AK23">
        <v>1.5E-3</v>
      </c>
      <c r="AL23">
        <v>-1.5E-3</v>
      </c>
      <c r="AM23">
        <v>1.5E-3</v>
      </c>
      <c r="AN23">
        <v>-1.5E-3</v>
      </c>
      <c r="AO23" s="16">
        <v>2.5000000000000001E-2</v>
      </c>
      <c r="AP23" s="16">
        <v>-2.5000000000000001E-2</v>
      </c>
      <c r="AQ23">
        <v>1.4999999999999999E-2</v>
      </c>
      <c r="AR23">
        <v>-1.4999999999999999E-2</v>
      </c>
      <c r="AS23">
        <v>1E-3</v>
      </c>
      <c r="AT23">
        <v>-1E-3</v>
      </c>
      <c r="AU23">
        <v>1E-3</v>
      </c>
      <c r="AV23">
        <v>-1E-3</v>
      </c>
      <c r="AW23" s="16">
        <v>1.4999999999999999E-2</v>
      </c>
      <c r="AX23" s="16">
        <v>-1.4999999999999999E-2</v>
      </c>
    </row>
    <row r="24" spans="1:279" customFormat="1">
      <c r="A24" s="2">
        <v>19</v>
      </c>
      <c r="B24" s="2">
        <v>3.1223900000000002</v>
      </c>
      <c r="C24" s="2">
        <v>0.287325</v>
      </c>
      <c r="D24" s="2">
        <v>0.272567</v>
      </c>
      <c r="E24" s="2">
        <v>28.121700000000001</v>
      </c>
      <c r="F24" s="17" t="str">
        <f t="shared" si="0"/>
        <v/>
      </c>
      <c r="G24" s="9"/>
      <c r="H24" s="25">
        <v>1</v>
      </c>
      <c r="I24" s="5"/>
      <c r="J24" s="5"/>
      <c r="K24" s="5"/>
      <c r="L24" s="5"/>
      <c r="M24" s="5">
        <v>2</v>
      </c>
      <c r="N24" s="5"/>
      <c r="O24" s="5"/>
      <c r="P24" s="5"/>
      <c r="Q24" s="5"/>
      <c r="R24" s="5">
        <v>3</v>
      </c>
      <c r="S24" s="5"/>
      <c r="T24" s="5"/>
      <c r="U24" s="5"/>
      <c r="V24" s="5"/>
      <c r="W24" s="22">
        <f t="shared" si="1"/>
        <v>-3.1130200000000001</v>
      </c>
      <c r="X24" s="21">
        <f t="shared" si="2"/>
        <v>-0.28917700000000002</v>
      </c>
      <c r="Y24" s="21">
        <f t="shared" si="3"/>
        <v>-0.28059899999999999</v>
      </c>
      <c r="Z24" s="11">
        <f t="shared" si="4"/>
        <v>-1</v>
      </c>
      <c r="AA24" s="22">
        <f t="shared" si="5"/>
        <v>-3.1117900000000001</v>
      </c>
      <c r="AB24" s="21">
        <f t="shared" si="6"/>
        <v>-0.29006599999999999</v>
      </c>
      <c r="AC24" s="21">
        <f t="shared" si="7"/>
        <v>-0.28034300000000001</v>
      </c>
      <c r="AD24" s="11">
        <f t="shared" si="8"/>
        <v>-1</v>
      </c>
      <c r="AE24" s="22">
        <f t="shared" si="9"/>
        <v>-3.1078199999999998</v>
      </c>
      <c r="AF24" s="21">
        <f t="shared" si="10"/>
        <v>-0.28968899999999997</v>
      </c>
      <c r="AG24" s="21">
        <f t="shared" si="11"/>
        <v>-0.281555</v>
      </c>
      <c r="AH24" s="11">
        <f t="shared" si="12"/>
        <v>-1</v>
      </c>
      <c r="AI24">
        <v>2.5000000000000001E-2</v>
      </c>
      <c r="AJ24">
        <v>-2.5000000000000001E-2</v>
      </c>
      <c r="AK24">
        <v>1.5E-3</v>
      </c>
      <c r="AL24">
        <v>-1.5E-3</v>
      </c>
      <c r="AM24">
        <v>1.5E-3</v>
      </c>
      <c r="AN24">
        <v>-1.5E-3</v>
      </c>
      <c r="AO24" s="16">
        <v>2.5000000000000001E-2</v>
      </c>
      <c r="AP24" s="16">
        <v>-2.5000000000000001E-2</v>
      </c>
      <c r="AQ24">
        <v>1.4999999999999999E-2</v>
      </c>
      <c r="AR24">
        <v>-1.4999999999999999E-2</v>
      </c>
      <c r="AS24">
        <v>1E-3</v>
      </c>
      <c r="AT24">
        <v>-1E-3</v>
      </c>
      <c r="AU24">
        <v>1E-3</v>
      </c>
      <c r="AV24">
        <v>-1E-3</v>
      </c>
      <c r="AW24" s="16">
        <v>1.4999999999999999E-2</v>
      </c>
      <c r="AX24" s="16">
        <v>-1.4999999999999999E-2</v>
      </c>
    </row>
    <row r="25" spans="1:279" customFormat="1">
      <c r="A25" s="2">
        <v>20</v>
      </c>
      <c r="B25" s="2">
        <v>3.1193599999999999</v>
      </c>
      <c r="C25" s="2">
        <v>0.287684</v>
      </c>
      <c r="D25" s="2">
        <v>0.27111400000000002</v>
      </c>
      <c r="E25" s="2">
        <v>28.161799999999999</v>
      </c>
      <c r="F25" s="17" t="str">
        <f t="shared" si="0"/>
        <v/>
      </c>
      <c r="G25" s="9"/>
      <c r="H25" s="25">
        <v>1</v>
      </c>
      <c r="I25" s="5"/>
      <c r="J25" s="5"/>
      <c r="K25" s="5"/>
      <c r="L25" s="5"/>
      <c r="M25" s="5">
        <v>2</v>
      </c>
      <c r="N25" s="5"/>
      <c r="O25" s="5"/>
      <c r="P25" s="5"/>
      <c r="Q25" s="5"/>
      <c r="R25" s="5">
        <v>3</v>
      </c>
      <c r="S25" s="5"/>
      <c r="T25" s="5"/>
      <c r="U25" s="5"/>
      <c r="V25" s="5"/>
      <c r="W25" s="22">
        <f t="shared" si="1"/>
        <v>-3.1130200000000001</v>
      </c>
      <c r="X25" s="21">
        <f t="shared" si="2"/>
        <v>-0.28917700000000002</v>
      </c>
      <c r="Y25" s="21">
        <f t="shared" si="3"/>
        <v>-0.28059899999999999</v>
      </c>
      <c r="Z25" s="11">
        <f t="shared" si="4"/>
        <v>-1</v>
      </c>
      <c r="AA25" s="22">
        <f t="shared" si="5"/>
        <v>-3.1117900000000001</v>
      </c>
      <c r="AB25" s="21">
        <f t="shared" si="6"/>
        <v>-0.29006599999999999</v>
      </c>
      <c r="AC25" s="21">
        <f t="shared" si="7"/>
        <v>-0.28034300000000001</v>
      </c>
      <c r="AD25" s="11">
        <f t="shared" si="8"/>
        <v>-1</v>
      </c>
      <c r="AE25" s="22">
        <f t="shared" si="9"/>
        <v>-3.1078199999999998</v>
      </c>
      <c r="AF25" s="21">
        <f t="shared" si="10"/>
        <v>-0.28968899999999997</v>
      </c>
      <c r="AG25" s="21">
        <f t="shared" si="11"/>
        <v>-0.281555</v>
      </c>
      <c r="AH25" s="11">
        <f t="shared" si="12"/>
        <v>-1</v>
      </c>
      <c r="AI25">
        <v>2.5000000000000001E-2</v>
      </c>
      <c r="AJ25">
        <v>-2.5000000000000001E-2</v>
      </c>
      <c r="AK25">
        <v>1.5E-3</v>
      </c>
      <c r="AL25">
        <v>-1.5E-3</v>
      </c>
      <c r="AM25">
        <v>1.5E-3</v>
      </c>
      <c r="AN25">
        <v>-1.5E-3</v>
      </c>
      <c r="AO25" s="16">
        <v>2.5000000000000001E-2</v>
      </c>
      <c r="AP25" s="16">
        <v>-2.5000000000000001E-2</v>
      </c>
      <c r="AQ25">
        <v>1.4999999999999999E-2</v>
      </c>
      <c r="AR25">
        <v>-1.4999999999999999E-2</v>
      </c>
      <c r="AS25">
        <v>1E-3</v>
      </c>
      <c r="AT25">
        <v>-1E-3</v>
      </c>
      <c r="AU25">
        <v>1E-3</v>
      </c>
      <c r="AV25">
        <v>-1E-3</v>
      </c>
      <c r="AW25" s="16">
        <v>1.4999999999999999E-2</v>
      </c>
      <c r="AX25" s="16">
        <v>-1.4999999999999999E-2</v>
      </c>
    </row>
    <row r="26" spans="1:279" customFormat="1">
      <c r="A26" s="2">
        <v>21</v>
      </c>
      <c r="B26" s="2">
        <v>3.1207799999999999</v>
      </c>
      <c r="C26" s="2">
        <v>0.28349000000000002</v>
      </c>
      <c r="D26" s="2">
        <v>0.26702599999999999</v>
      </c>
      <c r="E26" s="2">
        <v>27.9697</v>
      </c>
      <c r="F26" s="17" t="str">
        <f t="shared" si="0"/>
        <v/>
      </c>
      <c r="G26" s="9"/>
      <c r="H26" s="25">
        <v>1</v>
      </c>
      <c r="I26" s="5"/>
      <c r="J26" s="5"/>
      <c r="K26" s="5"/>
      <c r="L26" s="5"/>
      <c r="M26" s="5">
        <v>2</v>
      </c>
      <c r="N26" s="5"/>
      <c r="O26" s="5"/>
      <c r="P26" s="5"/>
      <c r="Q26" s="5"/>
      <c r="R26" s="5">
        <v>3</v>
      </c>
      <c r="S26" s="5"/>
      <c r="T26" s="5"/>
      <c r="U26" s="5"/>
      <c r="V26" s="5"/>
      <c r="W26" s="22">
        <f t="shared" si="1"/>
        <v>-3.1130200000000001</v>
      </c>
      <c r="X26" s="21">
        <f t="shared" si="2"/>
        <v>-0.28917700000000002</v>
      </c>
      <c r="Y26" s="21">
        <f t="shared" si="3"/>
        <v>-0.28059899999999999</v>
      </c>
      <c r="Z26" s="11">
        <f t="shared" si="4"/>
        <v>-1</v>
      </c>
      <c r="AA26" s="22">
        <f t="shared" si="5"/>
        <v>-3.1117900000000001</v>
      </c>
      <c r="AB26" s="21">
        <f t="shared" si="6"/>
        <v>-0.29006599999999999</v>
      </c>
      <c r="AC26" s="21">
        <f t="shared" si="7"/>
        <v>-0.28034300000000001</v>
      </c>
      <c r="AD26" s="11">
        <f t="shared" si="8"/>
        <v>-1</v>
      </c>
      <c r="AE26" s="22">
        <f t="shared" si="9"/>
        <v>-3.1078199999999998</v>
      </c>
      <c r="AF26" s="21">
        <f t="shared" si="10"/>
        <v>-0.28968899999999997</v>
      </c>
      <c r="AG26" s="21">
        <f t="shared" si="11"/>
        <v>-0.281555</v>
      </c>
      <c r="AH26" s="11">
        <f t="shared" si="12"/>
        <v>-1</v>
      </c>
      <c r="AI26">
        <v>2.5000000000000001E-2</v>
      </c>
      <c r="AJ26">
        <v>-2.5000000000000001E-2</v>
      </c>
      <c r="AK26">
        <v>1.5E-3</v>
      </c>
      <c r="AL26">
        <v>-1.5E-3</v>
      </c>
      <c r="AM26">
        <v>1.5E-3</v>
      </c>
      <c r="AN26">
        <v>-1.5E-3</v>
      </c>
      <c r="AO26" s="16">
        <v>2.5000000000000001E-2</v>
      </c>
      <c r="AP26" s="16">
        <v>-2.5000000000000001E-2</v>
      </c>
      <c r="AQ26">
        <v>1.4999999999999999E-2</v>
      </c>
      <c r="AR26">
        <v>-1.4999999999999999E-2</v>
      </c>
      <c r="AS26">
        <v>1E-3</v>
      </c>
      <c r="AT26">
        <v>-1E-3</v>
      </c>
      <c r="AU26">
        <v>1E-3</v>
      </c>
      <c r="AV26">
        <v>-1E-3</v>
      </c>
      <c r="AW26" s="16">
        <v>1.4999999999999999E-2</v>
      </c>
      <c r="AX26" s="16">
        <v>-1.4999999999999999E-2</v>
      </c>
    </row>
    <row r="27" spans="1:279" customFormat="1">
      <c r="A27" s="2">
        <v>22</v>
      </c>
      <c r="B27" s="2">
        <v>3.1168999999999998</v>
      </c>
      <c r="C27" s="2">
        <v>0.28172599999999998</v>
      </c>
      <c r="D27" s="2">
        <v>0.26464900000000002</v>
      </c>
      <c r="E27" s="2">
        <v>27.8948</v>
      </c>
      <c r="F27" s="17" t="str">
        <f t="shared" si="0"/>
        <v/>
      </c>
      <c r="G27" s="9"/>
      <c r="H27" s="25">
        <v>1</v>
      </c>
      <c r="I27" s="5"/>
      <c r="J27" s="5"/>
      <c r="K27" s="5"/>
      <c r="L27" s="5"/>
      <c r="M27" s="5">
        <v>2</v>
      </c>
      <c r="N27" s="5"/>
      <c r="O27" s="5"/>
      <c r="P27" s="5"/>
      <c r="Q27" s="5"/>
      <c r="R27" s="5">
        <v>3</v>
      </c>
      <c r="S27" s="5"/>
      <c r="T27" s="5"/>
      <c r="U27" s="5"/>
      <c r="V27" s="5"/>
      <c r="W27" s="22">
        <f t="shared" si="1"/>
        <v>-3.1130200000000001</v>
      </c>
      <c r="X27" s="21">
        <f t="shared" si="2"/>
        <v>-0.28917700000000002</v>
      </c>
      <c r="Y27" s="21">
        <f t="shared" si="3"/>
        <v>-0.28059899999999999</v>
      </c>
      <c r="Z27" s="11">
        <f t="shared" si="4"/>
        <v>-1</v>
      </c>
      <c r="AA27" s="22">
        <f t="shared" si="5"/>
        <v>-3.1117900000000001</v>
      </c>
      <c r="AB27" s="21">
        <f t="shared" si="6"/>
        <v>-0.29006599999999999</v>
      </c>
      <c r="AC27" s="21">
        <f t="shared" si="7"/>
        <v>-0.28034300000000001</v>
      </c>
      <c r="AD27" s="11">
        <f t="shared" si="8"/>
        <v>-1</v>
      </c>
      <c r="AE27" s="22">
        <f t="shared" si="9"/>
        <v>-3.1078199999999998</v>
      </c>
      <c r="AF27" s="21">
        <f t="shared" si="10"/>
        <v>-0.28968899999999997</v>
      </c>
      <c r="AG27" s="21">
        <f t="shared" si="11"/>
        <v>-0.281555</v>
      </c>
      <c r="AH27" s="11">
        <f t="shared" si="12"/>
        <v>-1</v>
      </c>
      <c r="AI27">
        <v>2.5000000000000001E-2</v>
      </c>
      <c r="AJ27">
        <v>-2.5000000000000001E-2</v>
      </c>
      <c r="AK27">
        <v>1.5E-3</v>
      </c>
      <c r="AL27">
        <v>-1.5E-3</v>
      </c>
      <c r="AM27">
        <v>1.5E-3</v>
      </c>
      <c r="AN27">
        <v>-1.5E-3</v>
      </c>
      <c r="AO27" s="16">
        <v>2.5000000000000001E-2</v>
      </c>
      <c r="AP27" s="16">
        <v>-2.5000000000000001E-2</v>
      </c>
      <c r="AQ27">
        <v>1.4999999999999999E-2</v>
      </c>
      <c r="AR27">
        <v>-1.4999999999999999E-2</v>
      </c>
      <c r="AS27">
        <v>1E-3</v>
      </c>
      <c r="AT27">
        <v>-1E-3</v>
      </c>
      <c r="AU27">
        <v>1E-3</v>
      </c>
      <c r="AV27">
        <v>-1E-3</v>
      </c>
      <c r="AW27" s="16">
        <v>1.4999999999999999E-2</v>
      </c>
      <c r="AX27" s="16">
        <v>-1.4999999999999999E-2</v>
      </c>
    </row>
    <row r="28" spans="1:279" customFormat="1">
      <c r="A28" s="2">
        <v>23</v>
      </c>
      <c r="B28" s="2">
        <v>3.1219199999999998</v>
      </c>
      <c r="C28" s="2">
        <v>0.284416</v>
      </c>
      <c r="D28" s="2">
        <v>0.26869900000000002</v>
      </c>
      <c r="E28" s="2">
        <v>28.0398</v>
      </c>
      <c r="F28" s="17" t="str">
        <f t="shared" si="0"/>
        <v/>
      </c>
      <c r="G28" s="9"/>
      <c r="H28" s="25">
        <v>1</v>
      </c>
      <c r="I28" s="5"/>
      <c r="J28" s="5"/>
      <c r="K28" s="5"/>
      <c r="L28" s="5"/>
      <c r="M28" s="5">
        <v>2</v>
      </c>
      <c r="N28" s="5"/>
      <c r="O28" s="5"/>
      <c r="P28" s="5"/>
      <c r="Q28" s="5"/>
      <c r="R28" s="5">
        <v>3</v>
      </c>
      <c r="S28" s="5"/>
      <c r="T28" s="5"/>
      <c r="U28" s="5"/>
      <c r="V28" s="5"/>
      <c r="W28" s="22">
        <f t="shared" si="1"/>
        <v>-3.1130200000000001</v>
      </c>
      <c r="X28" s="21">
        <f t="shared" si="2"/>
        <v>-0.28917700000000002</v>
      </c>
      <c r="Y28" s="21">
        <f t="shared" si="3"/>
        <v>-0.28059899999999999</v>
      </c>
      <c r="Z28" s="11">
        <f t="shared" si="4"/>
        <v>-1</v>
      </c>
      <c r="AA28" s="22">
        <f t="shared" si="5"/>
        <v>-3.1117900000000001</v>
      </c>
      <c r="AB28" s="21">
        <f t="shared" si="6"/>
        <v>-0.29006599999999999</v>
      </c>
      <c r="AC28" s="21">
        <f t="shared" si="7"/>
        <v>-0.28034300000000001</v>
      </c>
      <c r="AD28" s="11">
        <f t="shared" si="8"/>
        <v>-1</v>
      </c>
      <c r="AE28" s="22">
        <f t="shared" si="9"/>
        <v>-3.1078199999999998</v>
      </c>
      <c r="AF28" s="21">
        <f t="shared" si="10"/>
        <v>-0.28968899999999997</v>
      </c>
      <c r="AG28" s="21">
        <f t="shared" si="11"/>
        <v>-0.281555</v>
      </c>
      <c r="AH28" s="11">
        <f t="shared" si="12"/>
        <v>-1</v>
      </c>
      <c r="AI28">
        <v>2.5000000000000001E-2</v>
      </c>
      <c r="AJ28">
        <v>-2.5000000000000001E-2</v>
      </c>
      <c r="AK28">
        <v>1.5E-3</v>
      </c>
      <c r="AL28">
        <v>-1.5E-3</v>
      </c>
      <c r="AM28">
        <v>1.5E-3</v>
      </c>
      <c r="AN28">
        <v>-1.5E-3</v>
      </c>
      <c r="AO28" s="16">
        <v>2.5000000000000001E-2</v>
      </c>
      <c r="AP28" s="16">
        <v>-2.5000000000000001E-2</v>
      </c>
      <c r="AQ28">
        <v>1.4999999999999999E-2</v>
      </c>
      <c r="AR28">
        <v>-1.4999999999999999E-2</v>
      </c>
      <c r="AS28">
        <v>1E-3</v>
      </c>
      <c r="AT28">
        <v>-1E-3</v>
      </c>
      <c r="AU28">
        <v>1E-3</v>
      </c>
      <c r="AV28">
        <v>-1E-3</v>
      </c>
      <c r="AW28" s="16">
        <v>1.4999999999999999E-2</v>
      </c>
      <c r="AX28" s="16">
        <v>-1.4999999999999999E-2</v>
      </c>
    </row>
    <row r="29" spans="1:279" customFormat="1">
      <c r="A29" s="2">
        <v>24</v>
      </c>
      <c r="B29" s="2">
        <v>3.12182</v>
      </c>
      <c r="C29" s="2">
        <v>0.28104000000000001</v>
      </c>
      <c r="D29" s="2">
        <v>0.26255000000000001</v>
      </c>
      <c r="E29" s="2">
        <v>27.692599999999999</v>
      </c>
      <c r="F29" s="17" t="str">
        <f t="shared" si="0"/>
        <v/>
      </c>
      <c r="G29" s="9"/>
      <c r="H29" s="25">
        <v>1</v>
      </c>
      <c r="I29" s="5"/>
      <c r="J29" s="5"/>
      <c r="K29" s="5"/>
      <c r="L29" s="5"/>
      <c r="M29" s="5">
        <v>2</v>
      </c>
      <c r="N29" s="5"/>
      <c r="O29" s="5"/>
      <c r="P29" s="5"/>
      <c r="Q29" s="5"/>
      <c r="R29" s="5">
        <v>3</v>
      </c>
      <c r="S29" s="5"/>
      <c r="T29" s="5"/>
      <c r="U29" s="5"/>
      <c r="V29" s="5"/>
      <c r="W29" s="22">
        <f t="shared" si="1"/>
        <v>-3.1130200000000001</v>
      </c>
      <c r="X29" s="21">
        <f t="shared" si="2"/>
        <v>-0.28917700000000002</v>
      </c>
      <c r="Y29" s="21">
        <f t="shared" si="3"/>
        <v>-0.28059899999999999</v>
      </c>
      <c r="Z29" s="11">
        <f t="shared" si="4"/>
        <v>-1</v>
      </c>
      <c r="AA29" s="22">
        <f t="shared" si="5"/>
        <v>-3.1117900000000001</v>
      </c>
      <c r="AB29" s="21">
        <f t="shared" si="6"/>
        <v>-0.29006599999999999</v>
      </c>
      <c r="AC29" s="21">
        <f t="shared" si="7"/>
        <v>-0.28034300000000001</v>
      </c>
      <c r="AD29" s="11">
        <f t="shared" si="8"/>
        <v>-1</v>
      </c>
      <c r="AE29" s="22">
        <f t="shared" si="9"/>
        <v>-3.1078199999999998</v>
      </c>
      <c r="AF29" s="21">
        <f t="shared" si="10"/>
        <v>-0.28968899999999997</v>
      </c>
      <c r="AG29" s="21">
        <f t="shared" si="11"/>
        <v>-0.281555</v>
      </c>
      <c r="AH29" s="11">
        <f t="shared" si="12"/>
        <v>-1</v>
      </c>
      <c r="AI29">
        <v>2.5000000000000001E-2</v>
      </c>
      <c r="AJ29">
        <v>-2.5000000000000001E-2</v>
      </c>
      <c r="AK29">
        <v>1.5E-3</v>
      </c>
      <c r="AL29">
        <v>-1.5E-3</v>
      </c>
      <c r="AM29">
        <v>1.5E-3</v>
      </c>
      <c r="AN29">
        <v>-1.5E-3</v>
      </c>
      <c r="AO29" s="16">
        <v>2.5000000000000001E-2</v>
      </c>
      <c r="AP29" s="16">
        <v>-2.5000000000000001E-2</v>
      </c>
      <c r="AQ29">
        <v>1.4999999999999999E-2</v>
      </c>
      <c r="AR29">
        <v>-1.4999999999999999E-2</v>
      </c>
      <c r="AS29">
        <v>1E-3</v>
      </c>
      <c r="AT29">
        <v>-1E-3</v>
      </c>
      <c r="AU29">
        <v>1E-3</v>
      </c>
      <c r="AV29">
        <v>-1E-3</v>
      </c>
      <c r="AW29" s="16">
        <v>1.4999999999999999E-2</v>
      </c>
      <c r="AX29" s="16">
        <v>-1.4999999999999999E-2</v>
      </c>
    </row>
    <row r="30" spans="1:279" customFormat="1">
      <c r="A30" s="2">
        <v>25</v>
      </c>
      <c r="B30" s="2">
        <v>3.1274999999999999</v>
      </c>
      <c r="C30" s="2">
        <v>0.28336800000000001</v>
      </c>
      <c r="D30" s="2">
        <v>0.266679</v>
      </c>
      <c r="E30" s="2">
        <v>27.975899999999999</v>
      </c>
      <c r="F30" s="17" t="str">
        <f t="shared" si="0"/>
        <v/>
      </c>
      <c r="G30" s="9"/>
      <c r="H30" s="25">
        <v>1</v>
      </c>
      <c r="I30" s="5"/>
      <c r="J30" s="5"/>
      <c r="K30" s="5"/>
      <c r="L30" s="5"/>
      <c r="M30" s="5">
        <v>2</v>
      </c>
      <c r="N30" s="5"/>
      <c r="O30" s="5"/>
      <c r="P30" s="5"/>
      <c r="Q30" s="5"/>
      <c r="R30" s="5">
        <v>3</v>
      </c>
      <c r="S30" s="5"/>
      <c r="T30" s="5"/>
      <c r="U30" s="5"/>
      <c r="V30" s="5"/>
      <c r="W30" s="22">
        <f t="shared" si="1"/>
        <v>-3.1130200000000001</v>
      </c>
      <c r="X30" s="21">
        <f t="shared" si="2"/>
        <v>-0.28917700000000002</v>
      </c>
      <c r="Y30" s="21">
        <f t="shared" si="3"/>
        <v>-0.28059899999999999</v>
      </c>
      <c r="Z30" s="11">
        <f t="shared" si="4"/>
        <v>-1</v>
      </c>
      <c r="AA30" s="22">
        <f t="shared" si="5"/>
        <v>-3.1117900000000001</v>
      </c>
      <c r="AB30" s="21">
        <f t="shared" si="6"/>
        <v>-0.29006599999999999</v>
      </c>
      <c r="AC30" s="21">
        <f t="shared" si="7"/>
        <v>-0.28034300000000001</v>
      </c>
      <c r="AD30" s="11">
        <f t="shared" si="8"/>
        <v>-1</v>
      </c>
      <c r="AE30" s="22">
        <f t="shared" si="9"/>
        <v>-3.1078199999999998</v>
      </c>
      <c r="AF30" s="21">
        <f t="shared" si="10"/>
        <v>-0.28968899999999997</v>
      </c>
      <c r="AG30" s="21">
        <f t="shared" si="11"/>
        <v>-0.281555</v>
      </c>
      <c r="AH30" s="11">
        <f t="shared" si="12"/>
        <v>-1</v>
      </c>
      <c r="AI30">
        <v>2.5000000000000001E-2</v>
      </c>
      <c r="AJ30">
        <v>-2.5000000000000001E-2</v>
      </c>
      <c r="AK30">
        <v>1.5E-3</v>
      </c>
      <c r="AL30">
        <v>-1.5E-3</v>
      </c>
      <c r="AM30">
        <v>1.5E-3</v>
      </c>
      <c r="AN30">
        <v>-1.5E-3</v>
      </c>
      <c r="AO30" s="16">
        <v>2.5000000000000001E-2</v>
      </c>
      <c r="AP30" s="16">
        <v>-2.5000000000000001E-2</v>
      </c>
      <c r="AQ30">
        <v>1.4999999999999999E-2</v>
      </c>
      <c r="AR30">
        <v>-1.4999999999999999E-2</v>
      </c>
      <c r="AS30">
        <v>1E-3</v>
      </c>
      <c r="AT30">
        <v>-1E-3</v>
      </c>
      <c r="AU30">
        <v>1E-3</v>
      </c>
      <c r="AV30">
        <v>-1E-3</v>
      </c>
      <c r="AW30" s="16">
        <v>1.4999999999999999E-2</v>
      </c>
      <c r="AX30" s="16">
        <v>-1.4999999999999999E-2</v>
      </c>
    </row>
    <row r="31" spans="1:279" customFormat="1">
      <c r="A31" s="2">
        <v>26</v>
      </c>
      <c r="B31" s="2">
        <v>3.11103</v>
      </c>
      <c r="C31" s="2">
        <v>0.28412799999999999</v>
      </c>
      <c r="D31" s="2">
        <v>0.26944099999999999</v>
      </c>
      <c r="E31" s="2">
        <v>28.191700000000001</v>
      </c>
      <c r="F31" s="17" t="str">
        <f t="shared" si="0"/>
        <v/>
      </c>
      <c r="G31" s="9"/>
      <c r="H31" s="25">
        <v>1</v>
      </c>
      <c r="I31" s="5"/>
      <c r="J31" s="5"/>
      <c r="K31" s="5"/>
      <c r="L31" s="5"/>
      <c r="M31" s="5">
        <v>2</v>
      </c>
      <c r="N31" s="5"/>
      <c r="O31" s="5"/>
      <c r="P31" s="5"/>
      <c r="Q31" s="5"/>
      <c r="R31" s="5">
        <v>3</v>
      </c>
      <c r="S31" s="5"/>
      <c r="T31" s="5"/>
      <c r="U31" s="5"/>
      <c r="V31" s="5"/>
      <c r="W31" s="22">
        <f t="shared" si="1"/>
        <v>-3.1130200000000001</v>
      </c>
      <c r="X31" s="21">
        <f t="shared" si="2"/>
        <v>-0.28917700000000002</v>
      </c>
      <c r="Y31" s="21">
        <f t="shared" si="3"/>
        <v>-0.28059899999999999</v>
      </c>
      <c r="Z31" s="11">
        <f t="shared" si="4"/>
        <v>-1</v>
      </c>
      <c r="AA31" s="22">
        <f t="shared" si="5"/>
        <v>-3.1117900000000001</v>
      </c>
      <c r="AB31" s="21">
        <f t="shared" si="6"/>
        <v>-0.29006599999999999</v>
      </c>
      <c r="AC31" s="21">
        <f t="shared" si="7"/>
        <v>-0.28034300000000001</v>
      </c>
      <c r="AD31" s="11">
        <f t="shared" si="8"/>
        <v>-1</v>
      </c>
      <c r="AE31" s="22">
        <f t="shared" si="9"/>
        <v>-3.1078199999999998</v>
      </c>
      <c r="AF31" s="21">
        <f t="shared" si="10"/>
        <v>-0.28968899999999997</v>
      </c>
      <c r="AG31" s="21">
        <f t="shared" si="11"/>
        <v>-0.281555</v>
      </c>
      <c r="AH31" s="11">
        <f t="shared" si="12"/>
        <v>-1</v>
      </c>
      <c r="AI31">
        <v>2.5000000000000001E-2</v>
      </c>
      <c r="AJ31">
        <v>-2.5000000000000001E-2</v>
      </c>
      <c r="AK31">
        <v>1.5E-3</v>
      </c>
      <c r="AL31">
        <v>-1.5E-3</v>
      </c>
      <c r="AM31">
        <v>1.5E-3</v>
      </c>
      <c r="AN31">
        <v>-1.5E-3</v>
      </c>
      <c r="AO31" s="16">
        <v>2.5000000000000001E-2</v>
      </c>
      <c r="AP31" s="16">
        <v>-2.5000000000000001E-2</v>
      </c>
      <c r="AQ31">
        <v>1.4999999999999999E-2</v>
      </c>
      <c r="AR31">
        <v>-1.4999999999999999E-2</v>
      </c>
      <c r="AS31">
        <v>1E-3</v>
      </c>
      <c r="AT31">
        <v>-1E-3</v>
      </c>
      <c r="AU31">
        <v>1E-3</v>
      </c>
      <c r="AV31">
        <v>-1E-3</v>
      </c>
      <c r="AW31" s="16">
        <v>1.4999999999999999E-2</v>
      </c>
      <c r="AX31" s="16">
        <v>-1.4999999999999999E-2</v>
      </c>
    </row>
    <row r="32" spans="1:279" customFormat="1">
      <c r="A32" s="2">
        <v>27</v>
      </c>
      <c r="B32" s="2">
        <v>3.1185100000000001</v>
      </c>
      <c r="C32" s="2">
        <v>0.28375699999999998</v>
      </c>
      <c r="D32" s="2">
        <v>0.26868700000000001</v>
      </c>
      <c r="E32" s="2">
        <v>28.115600000000001</v>
      </c>
      <c r="F32" s="17" t="str">
        <f t="shared" si="0"/>
        <v/>
      </c>
      <c r="G32" s="9"/>
      <c r="H32" s="25">
        <v>1</v>
      </c>
      <c r="I32" s="5"/>
      <c r="J32" s="5"/>
      <c r="K32" s="5"/>
      <c r="L32" s="5"/>
      <c r="M32" s="5">
        <v>2</v>
      </c>
      <c r="N32" s="5"/>
      <c r="O32" s="5"/>
      <c r="P32" s="5"/>
      <c r="Q32" s="5"/>
      <c r="R32" s="5">
        <v>3</v>
      </c>
      <c r="S32" s="5"/>
      <c r="T32" s="5"/>
      <c r="U32" s="5"/>
      <c r="V32" s="5"/>
      <c r="W32" s="22">
        <f t="shared" si="1"/>
        <v>-3.1130200000000001</v>
      </c>
      <c r="X32" s="21">
        <f t="shared" si="2"/>
        <v>-0.28917700000000002</v>
      </c>
      <c r="Y32" s="21">
        <f t="shared" si="3"/>
        <v>-0.28059899999999999</v>
      </c>
      <c r="Z32" s="11">
        <f t="shared" si="4"/>
        <v>-1</v>
      </c>
      <c r="AA32" s="22">
        <f t="shared" si="5"/>
        <v>-3.1117900000000001</v>
      </c>
      <c r="AB32" s="21">
        <f t="shared" si="6"/>
        <v>-0.29006599999999999</v>
      </c>
      <c r="AC32" s="21">
        <f t="shared" si="7"/>
        <v>-0.28034300000000001</v>
      </c>
      <c r="AD32" s="11">
        <f t="shared" si="8"/>
        <v>-1</v>
      </c>
      <c r="AE32" s="22">
        <f t="shared" si="9"/>
        <v>-3.1078199999999998</v>
      </c>
      <c r="AF32" s="21">
        <f t="shared" si="10"/>
        <v>-0.28968899999999997</v>
      </c>
      <c r="AG32" s="21">
        <f t="shared" si="11"/>
        <v>-0.281555</v>
      </c>
      <c r="AH32" s="11">
        <f t="shared" si="12"/>
        <v>-1</v>
      </c>
      <c r="AI32">
        <v>2.5000000000000001E-2</v>
      </c>
      <c r="AJ32">
        <v>-2.5000000000000001E-2</v>
      </c>
      <c r="AK32">
        <v>1.5E-3</v>
      </c>
      <c r="AL32">
        <v>-1.5E-3</v>
      </c>
      <c r="AM32">
        <v>1.5E-3</v>
      </c>
      <c r="AN32">
        <v>-1.5E-3</v>
      </c>
      <c r="AO32" s="16">
        <v>2.5000000000000001E-2</v>
      </c>
      <c r="AP32" s="16">
        <v>-2.5000000000000001E-2</v>
      </c>
      <c r="AQ32">
        <v>1.4999999999999999E-2</v>
      </c>
      <c r="AR32">
        <v>-1.4999999999999999E-2</v>
      </c>
      <c r="AS32">
        <v>1E-3</v>
      </c>
      <c r="AT32">
        <v>-1E-3</v>
      </c>
      <c r="AU32">
        <v>1E-3</v>
      </c>
      <c r="AV32">
        <v>-1E-3</v>
      </c>
      <c r="AW32" s="16">
        <v>1.4999999999999999E-2</v>
      </c>
      <c r="AX32" s="16">
        <v>-1.4999999999999999E-2</v>
      </c>
    </row>
    <row r="33" spans="1:279" customFormat="1">
      <c r="A33" s="2">
        <v>28</v>
      </c>
      <c r="B33" s="2">
        <v>3.1106600000000002</v>
      </c>
      <c r="C33" s="2">
        <v>0.283972</v>
      </c>
      <c r="D33" s="2">
        <v>0.26960099999999998</v>
      </c>
      <c r="E33" s="2">
        <v>27.931699999999999</v>
      </c>
      <c r="F33" s="17" t="str">
        <f t="shared" si="0"/>
        <v/>
      </c>
      <c r="G33" s="9"/>
      <c r="H33" s="25">
        <v>1</v>
      </c>
      <c r="I33" s="5"/>
      <c r="J33" s="5"/>
      <c r="K33" s="5"/>
      <c r="L33" s="5"/>
      <c r="M33" s="5">
        <v>2</v>
      </c>
      <c r="N33" s="5"/>
      <c r="O33" s="5"/>
      <c r="P33" s="5"/>
      <c r="Q33" s="5"/>
      <c r="R33" s="5">
        <v>3</v>
      </c>
      <c r="S33" s="5"/>
      <c r="T33" s="5"/>
      <c r="U33" s="5"/>
      <c r="V33" s="5"/>
      <c r="W33" s="22">
        <f t="shared" si="1"/>
        <v>-3.1130200000000001</v>
      </c>
      <c r="X33" s="21">
        <f t="shared" si="2"/>
        <v>-0.28917700000000002</v>
      </c>
      <c r="Y33" s="21">
        <f t="shared" si="3"/>
        <v>-0.28059899999999999</v>
      </c>
      <c r="Z33" s="11">
        <f t="shared" si="4"/>
        <v>-1</v>
      </c>
      <c r="AA33" s="22">
        <f t="shared" si="5"/>
        <v>-3.1117900000000001</v>
      </c>
      <c r="AB33" s="21">
        <f t="shared" si="6"/>
        <v>-0.29006599999999999</v>
      </c>
      <c r="AC33" s="21">
        <f t="shared" si="7"/>
        <v>-0.28034300000000001</v>
      </c>
      <c r="AD33" s="11">
        <f t="shared" si="8"/>
        <v>-1</v>
      </c>
      <c r="AE33" s="22">
        <f t="shared" si="9"/>
        <v>-3.1078199999999998</v>
      </c>
      <c r="AF33" s="21">
        <f t="shared" si="10"/>
        <v>-0.28968899999999997</v>
      </c>
      <c r="AG33" s="21">
        <f t="shared" si="11"/>
        <v>-0.281555</v>
      </c>
      <c r="AH33" s="11">
        <f t="shared" si="12"/>
        <v>-1</v>
      </c>
      <c r="AI33">
        <v>2.5000000000000001E-2</v>
      </c>
      <c r="AJ33">
        <v>-2.5000000000000001E-2</v>
      </c>
      <c r="AK33">
        <v>1.5E-3</v>
      </c>
      <c r="AL33">
        <v>-1.5E-3</v>
      </c>
      <c r="AM33">
        <v>1.5E-3</v>
      </c>
      <c r="AN33">
        <v>-1.5E-3</v>
      </c>
      <c r="AO33" s="16">
        <v>2.5000000000000001E-2</v>
      </c>
      <c r="AP33" s="16">
        <v>-2.5000000000000001E-2</v>
      </c>
      <c r="AQ33">
        <v>1.4999999999999999E-2</v>
      </c>
      <c r="AR33">
        <v>-1.4999999999999999E-2</v>
      </c>
      <c r="AS33">
        <v>1E-3</v>
      </c>
      <c r="AT33">
        <v>-1E-3</v>
      </c>
      <c r="AU33">
        <v>1E-3</v>
      </c>
      <c r="AV33">
        <v>-1E-3</v>
      </c>
      <c r="AW33" s="16">
        <v>1.4999999999999999E-2</v>
      </c>
      <c r="AX33" s="16">
        <v>-1.4999999999999999E-2</v>
      </c>
      <c r="JR33">
        <v>12.849506578947368</v>
      </c>
    </row>
    <row r="34" spans="1:279" customFormat="1">
      <c r="A34" s="2">
        <v>29</v>
      </c>
      <c r="B34" s="2">
        <v>3.1124499999999999</v>
      </c>
      <c r="C34" s="2">
        <v>0.28117199999999998</v>
      </c>
      <c r="D34" s="2">
        <v>0.26465</v>
      </c>
      <c r="E34" s="2">
        <v>27.662299999999998</v>
      </c>
      <c r="F34" s="17" t="str">
        <f t="shared" si="0"/>
        <v/>
      </c>
      <c r="G34" s="9"/>
      <c r="H34" s="25">
        <v>1</v>
      </c>
      <c r="I34" s="5"/>
      <c r="J34" s="5"/>
      <c r="K34" s="5"/>
      <c r="L34" s="5"/>
      <c r="M34" s="5">
        <v>2</v>
      </c>
      <c r="N34" s="5"/>
      <c r="O34" s="5"/>
      <c r="P34" s="5"/>
      <c r="Q34" s="5"/>
      <c r="R34" s="5">
        <v>3</v>
      </c>
      <c r="S34" s="5"/>
      <c r="T34" s="5"/>
      <c r="U34" s="5"/>
      <c r="V34" s="5"/>
      <c r="W34" s="22">
        <f t="shared" si="1"/>
        <v>-3.1130200000000001</v>
      </c>
      <c r="X34" s="21">
        <f t="shared" si="2"/>
        <v>-0.28917700000000002</v>
      </c>
      <c r="Y34" s="21">
        <f t="shared" si="3"/>
        <v>-0.28059899999999999</v>
      </c>
      <c r="Z34" s="11">
        <f t="shared" si="4"/>
        <v>-1</v>
      </c>
      <c r="AA34" s="22">
        <f t="shared" si="5"/>
        <v>-3.1117900000000001</v>
      </c>
      <c r="AB34" s="21">
        <f t="shared" si="6"/>
        <v>-0.29006599999999999</v>
      </c>
      <c r="AC34" s="21">
        <f t="shared" si="7"/>
        <v>-0.28034300000000001</v>
      </c>
      <c r="AD34" s="11">
        <f t="shared" si="8"/>
        <v>-1</v>
      </c>
      <c r="AE34" s="22">
        <f t="shared" si="9"/>
        <v>-3.1078199999999998</v>
      </c>
      <c r="AF34" s="21">
        <f t="shared" si="10"/>
        <v>-0.28968899999999997</v>
      </c>
      <c r="AG34" s="21">
        <f t="shared" si="11"/>
        <v>-0.281555</v>
      </c>
      <c r="AH34" s="11">
        <f t="shared" si="12"/>
        <v>-1</v>
      </c>
      <c r="AI34">
        <v>2.5000000000000001E-2</v>
      </c>
      <c r="AJ34">
        <v>-2.5000000000000001E-2</v>
      </c>
      <c r="AK34">
        <v>1.5E-3</v>
      </c>
      <c r="AL34">
        <v>-1.5E-3</v>
      </c>
      <c r="AM34">
        <v>1.5E-3</v>
      </c>
      <c r="AN34">
        <v>-1.5E-3</v>
      </c>
      <c r="AO34" s="16">
        <v>2.5000000000000001E-2</v>
      </c>
      <c r="AP34" s="16">
        <v>-2.5000000000000001E-2</v>
      </c>
      <c r="AQ34">
        <v>1.4999999999999999E-2</v>
      </c>
      <c r="AR34">
        <v>-1.4999999999999999E-2</v>
      </c>
      <c r="AS34">
        <v>1E-3</v>
      </c>
      <c r="AT34">
        <v>-1E-3</v>
      </c>
      <c r="AU34">
        <v>1E-3</v>
      </c>
      <c r="AV34">
        <v>-1E-3</v>
      </c>
      <c r="AW34" s="16">
        <v>1.4999999999999999E-2</v>
      </c>
      <c r="AX34" s="16">
        <v>-1.4999999999999999E-2</v>
      </c>
      <c r="JR34">
        <v>12.849506578947368</v>
      </c>
      <c r="JS34">
        <v>12.849506578947368</v>
      </c>
    </row>
    <row r="35" spans="1:279" customFormat="1">
      <c r="A35" s="2">
        <v>30</v>
      </c>
      <c r="B35" s="2">
        <v>3.1137800000000002</v>
      </c>
      <c r="C35" s="2">
        <v>0.28374700000000003</v>
      </c>
      <c r="D35" s="2">
        <v>0.26988499999999999</v>
      </c>
      <c r="E35" s="2">
        <v>28.2531</v>
      </c>
      <c r="F35" s="17" t="str">
        <f t="shared" si="0"/>
        <v/>
      </c>
      <c r="G35" s="9"/>
      <c r="H35" s="25">
        <v>1</v>
      </c>
      <c r="I35" s="5"/>
      <c r="J35" s="5"/>
      <c r="K35" s="5"/>
      <c r="L35" s="5"/>
      <c r="M35" s="5">
        <v>2</v>
      </c>
      <c r="N35" s="5"/>
      <c r="O35" s="5"/>
      <c r="P35" s="5"/>
      <c r="Q35" s="5"/>
      <c r="R35" s="5">
        <v>3</v>
      </c>
      <c r="S35" s="5"/>
      <c r="T35" s="5"/>
      <c r="U35" s="5"/>
      <c r="V35" s="5"/>
      <c r="W35" s="22">
        <f t="shared" si="1"/>
        <v>-3.1130200000000001</v>
      </c>
      <c r="X35" s="21">
        <f t="shared" si="2"/>
        <v>-0.28917700000000002</v>
      </c>
      <c r="Y35" s="21">
        <f t="shared" si="3"/>
        <v>-0.28059899999999999</v>
      </c>
      <c r="Z35" s="11">
        <f t="shared" si="4"/>
        <v>-1</v>
      </c>
      <c r="AA35" s="22">
        <f t="shared" si="5"/>
        <v>-3.1117900000000001</v>
      </c>
      <c r="AB35" s="21">
        <f t="shared" si="6"/>
        <v>-0.29006599999999999</v>
      </c>
      <c r="AC35" s="21">
        <f t="shared" si="7"/>
        <v>-0.28034300000000001</v>
      </c>
      <c r="AD35" s="11">
        <f t="shared" si="8"/>
        <v>-1</v>
      </c>
      <c r="AE35" s="22">
        <f t="shared" si="9"/>
        <v>-3.1078199999999998</v>
      </c>
      <c r="AF35" s="21">
        <f t="shared" si="10"/>
        <v>-0.28968899999999997</v>
      </c>
      <c r="AG35" s="21">
        <f t="shared" si="11"/>
        <v>-0.281555</v>
      </c>
      <c r="AH35" s="11">
        <f t="shared" si="12"/>
        <v>-1</v>
      </c>
      <c r="AI35">
        <v>2.5000000000000001E-2</v>
      </c>
      <c r="AJ35">
        <v>-2.5000000000000001E-2</v>
      </c>
      <c r="AK35">
        <v>1.5E-3</v>
      </c>
      <c r="AL35">
        <v>-1.5E-3</v>
      </c>
      <c r="AM35">
        <v>1.5E-3</v>
      </c>
      <c r="AN35">
        <v>-1.5E-3</v>
      </c>
      <c r="AO35" s="16">
        <v>2.5000000000000001E-2</v>
      </c>
      <c r="AP35" s="16">
        <v>-2.5000000000000001E-2</v>
      </c>
      <c r="AQ35">
        <v>1.4999999999999999E-2</v>
      </c>
      <c r="AR35">
        <v>-1.4999999999999999E-2</v>
      </c>
      <c r="AS35">
        <v>1E-3</v>
      </c>
      <c r="AT35">
        <v>-1E-3</v>
      </c>
      <c r="AU35">
        <v>1E-3</v>
      </c>
      <c r="AV35">
        <v>-1E-3</v>
      </c>
      <c r="AW35" s="16">
        <v>1.4999999999999999E-2</v>
      </c>
      <c r="AX35" s="16">
        <v>-1.4999999999999999E-2</v>
      </c>
    </row>
    <row r="36" spans="1:279" customFormat="1">
      <c r="F36" s="17" t="str">
        <f t="shared" si="0"/>
        <v/>
      </c>
      <c r="G36" s="9"/>
      <c r="H36" s="25">
        <v>1</v>
      </c>
      <c r="I36" s="5"/>
      <c r="J36" s="5"/>
      <c r="K36" s="5"/>
      <c r="L36" s="5"/>
      <c r="M36" s="5">
        <v>2</v>
      </c>
      <c r="N36" s="5"/>
      <c r="O36" s="5"/>
      <c r="P36" s="5"/>
      <c r="Q36" s="5"/>
      <c r="R36" s="5">
        <v>3</v>
      </c>
      <c r="S36" s="5"/>
      <c r="T36" s="5"/>
      <c r="U36" s="5"/>
      <c r="V36" s="5"/>
      <c r="W36" s="22">
        <f t="shared" si="1"/>
        <v>-3.1130200000000001</v>
      </c>
      <c r="X36" s="21">
        <f t="shared" si="2"/>
        <v>-0.28917700000000002</v>
      </c>
      <c r="Y36" s="21">
        <f t="shared" si="3"/>
        <v>-0.28059899999999999</v>
      </c>
      <c r="Z36" s="11">
        <f t="shared" si="4"/>
        <v>-1</v>
      </c>
      <c r="AA36" s="22">
        <f t="shared" si="5"/>
        <v>-3.1117900000000001</v>
      </c>
      <c r="AB36" s="21">
        <f t="shared" si="6"/>
        <v>-0.29006599999999999</v>
      </c>
      <c r="AC36" s="21">
        <f t="shared" si="7"/>
        <v>-0.28034300000000001</v>
      </c>
      <c r="AD36" s="11">
        <f t="shared" si="8"/>
        <v>-1</v>
      </c>
      <c r="AE36" s="22">
        <f t="shared" si="9"/>
        <v>-3.1078199999999998</v>
      </c>
      <c r="AF36" s="21">
        <f t="shared" si="10"/>
        <v>-0.28968899999999997</v>
      </c>
      <c r="AG36" s="21">
        <f t="shared" si="11"/>
        <v>-0.281555</v>
      </c>
      <c r="AH36" s="11">
        <f t="shared" si="12"/>
        <v>-1</v>
      </c>
      <c r="AI36">
        <v>2.5000000000000001E-2</v>
      </c>
      <c r="AJ36">
        <v>-2.5000000000000001E-2</v>
      </c>
      <c r="AK36">
        <v>1.5E-3</v>
      </c>
      <c r="AL36">
        <v>-1.5E-3</v>
      </c>
      <c r="AM36">
        <v>1.5E-3</v>
      </c>
      <c r="AN36">
        <v>-1.5E-3</v>
      </c>
      <c r="AO36" s="16">
        <v>2.5000000000000001E-2</v>
      </c>
      <c r="AP36" s="16">
        <v>-2.5000000000000001E-2</v>
      </c>
      <c r="AQ36">
        <v>1.4999999999999999E-2</v>
      </c>
      <c r="AR36">
        <v>-1.4999999999999999E-2</v>
      </c>
      <c r="AS36">
        <v>1E-3</v>
      </c>
      <c r="AT36">
        <v>-1E-3</v>
      </c>
      <c r="AU36">
        <v>1E-3</v>
      </c>
      <c r="AV36">
        <v>-1E-3</v>
      </c>
      <c r="AW36" s="16">
        <v>1.4999999999999999E-2</v>
      </c>
      <c r="AX36" s="16">
        <v>-1.4999999999999999E-2</v>
      </c>
    </row>
    <row r="37" spans="1:279" customFormat="1">
      <c r="F37" s="17" t="str">
        <f t="shared" si="0"/>
        <v/>
      </c>
      <c r="G37" s="9"/>
      <c r="H37" s="25">
        <v>1</v>
      </c>
      <c r="I37" s="5"/>
      <c r="J37" s="5"/>
      <c r="K37" s="5"/>
      <c r="L37" s="5"/>
      <c r="M37" s="5">
        <v>2</v>
      </c>
      <c r="N37" s="5"/>
      <c r="O37" s="5"/>
      <c r="P37" s="5"/>
      <c r="Q37" s="5"/>
      <c r="R37" s="5">
        <v>3</v>
      </c>
      <c r="S37" s="5"/>
      <c r="T37" s="5"/>
      <c r="U37" s="5"/>
      <c r="V37" s="5"/>
      <c r="W37" s="22">
        <f t="shared" si="1"/>
        <v>-3.1130200000000001</v>
      </c>
      <c r="X37" s="21">
        <f t="shared" si="2"/>
        <v>-0.28917700000000002</v>
      </c>
      <c r="Y37" s="21">
        <f t="shared" si="3"/>
        <v>-0.28059899999999999</v>
      </c>
      <c r="Z37" s="11">
        <f t="shared" si="4"/>
        <v>-1</v>
      </c>
      <c r="AA37" s="22">
        <f t="shared" si="5"/>
        <v>-3.1117900000000001</v>
      </c>
      <c r="AB37" s="21">
        <f t="shared" si="6"/>
        <v>-0.29006599999999999</v>
      </c>
      <c r="AC37" s="21">
        <f t="shared" si="7"/>
        <v>-0.28034300000000001</v>
      </c>
      <c r="AD37" s="11">
        <f t="shared" si="8"/>
        <v>-1</v>
      </c>
      <c r="AE37" s="22">
        <f t="shared" si="9"/>
        <v>-3.1078199999999998</v>
      </c>
      <c r="AF37" s="21">
        <f t="shared" si="10"/>
        <v>-0.28968899999999997</v>
      </c>
      <c r="AG37" s="21">
        <f t="shared" si="11"/>
        <v>-0.281555</v>
      </c>
      <c r="AH37" s="11">
        <f t="shared" si="12"/>
        <v>-1</v>
      </c>
      <c r="AI37">
        <v>2.5000000000000001E-2</v>
      </c>
      <c r="AJ37">
        <v>-2.5000000000000001E-2</v>
      </c>
      <c r="AK37">
        <v>1.5E-3</v>
      </c>
      <c r="AL37">
        <v>-1.5E-3</v>
      </c>
      <c r="AM37">
        <v>1.5E-3</v>
      </c>
      <c r="AN37">
        <v>-1.5E-3</v>
      </c>
      <c r="AO37" s="16">
        <v>2.5000000000000001E-2</v>
      </c>
      <c r="AP37" s="16">
        <v>-2.5000000000000001E-2</v>
      </c>
      <c r="AQ37">
        <v>1.4999999999999999E-2</v>
      </c>
      <c r="AR37">
        <v>-1.4999999999999999E-2</v>
      </c>
      <c r="AS37">
        <v>1E-3</v>
      </c>
      <c r="AT37">
        <v>-1E-3</v>
      </c>
      <c r="AU37">
        <v>1E-3</v>
      </c>
      <c r="AV37">
        <v>-1E-3</v>
      </c>
      <c r="AW37" s="16">
        <v>1.4999999999999999E-2</v>
      </c>
      <c r="AX37" s="16">
        <v>-1.4999999999999999E-2</v>
      </c>
    </row>
    <row r="38" spans="1:279" customFormat="1">
      <c r="F38" s="17" t="str">
        <f t="shared" si="0"/>
        <v/>
      </c>
      <c r="G38" s="9"/>
      <c r="H38" s="25">
        <v>1</v>
      </c>
      <c r="I38" s="5"/>
      <c r="J38" s="5"/>
      <c r="K38" s="5"/>
      <c r="L38" s="5"/>
      <c r="M38" s="5">
        <v>2</v>
      </c>
      <c r="N38" s="5"/>
      <c r="O38" s="5"/>
      <c r="P38" s="5"/>
      <c r="Q38" s="5"/>
      <c r="R38" s="5">
        <v>3</v>
      </c>
      <c r="S38" s="5"/>
      <c r="T38" s="5"/>
      <c r="U38" s="5"/>
      <c r="V38" s="5"/>
      <c r="W38" s="22">
        <f t="shared" si="1"/>
        <v>-3.1130200000000001</v>
      </c>
      <c r="X38" s="21">
        <f t="shared" si="2"/>
        <v>-0.28917700000000002</v>
      </c>
      <c r="Y38" s="21">
        <f t="shared" si="3"/>
        <v>-0.28059899999999999</v>
      </c>
      <c r="Z38" s="11">
        <f t="shared" si="4"/>
        <v>-1</v>
      </c>
      <c r="AA38" s="22">
        <f t="shared" si="5"/>
        <v>-3.1117900000000001</v>
      </c>
      <c r="AB38" s="21">
        <f t="shared" si="6"/>
        <v>-0.29006599999999999</v>
      </c>
      <c r="AC38" s="21">
        <f t="shared" si="7"/>
        <v>-0.28034300000000001</v>
      </c>
      <c r="AD38" s="11">
        <f t="shared" si="8"/>
        <v>-1</v>
      </c>
      <c r="AE38" s="22">
        <f t="shared" si="9"/>
        <v>-3.1078199999999998</v>
      </c>
      <c r="AF38" s="21">
        <f t="shared" si="10"/>
        <v>-0.28968899999999997</v>
      </c>
      <c r="AG38" s="21">
        <f t="shared" si="11"/>
        <v>-0.281555</v>
      </c>
      <c r="AH38" s="11">
        <f t="shared" si="12"/>
        <v>-1</v>
      </c>
      <c r="AI38">
        <v>2.5000000000000001E-2</v>
      </c>
      <c r="AJ38">
        <v>-2.5000000000000001E-2</v>
      </c>
      <c r="AK38">
        <v>1.5E-3</v>
      </c>
      <c r="AL38">
        <v>-1.5E-3</v>
      </c>
      <c r="AM38">
        <v>1.5E-3</v>
      </c>
      <c r="AN38">
        <v>-1.5E-3</v>
      </c>
      <c r="AO38" s="16">
        <v>2.5000000000000001E-2</v>
      </c>
      <c r="AP38" s="16">
        <v>-2.5000000000000001E-2</v>
      </c>
      <c r="AQ38">
        <v>1.4999999999999999E-2</v>
      </c>
      <c r="AR38">
        <v>-1.4999999999999999E-2</v>
      </c>
      <c r="AS38">
        <v>1E-3</v>
      </c>
      <c r="AT38">
        <v>-1E-3</v>
      </c>
      <c r="AU38">
        <v>1E-3</v>
      </c>
      <c r="AV38">
        <v>-1E-3</v>
      </c>
      <c r="AW38" s="16">
        <v>1.4999999999999999E-2</v>
      </c>
      <c r="AX38" s="16">
        <v>-1.4999999999999999E-2</v>
      </c>
    </row>
    <row r="39" spans="1:279" customFormat="1">
      <c r="F39" s="17" t="str">
        <f t="shared" si="0"/>
        <v/>
      </c>
      <c r="G39" s="9"/>
      <c r="H39" s="25">
        <v>1</v>
      </c>
      <c r="I39" s="5"/>
      <c r="J39" s="5"/>
      <c r="K39" s="5"/>
      <c r="L39" s="5"/>
      <c r="M39" s="5">
        <v>2</v>
      </c>
      <c r="N39" s="5"/>
      <c r="O39" s="5"/>
      <c r="P39" s="5"/>
      <c r="Q39" s="5"/>
      <c r="R39" s="5">
        <v>3</v>
      </c>
      <c r="S39" s="5"/>
      <c r="T39" s="5"/>
      <c r="U39" s="5"/>
      <c r="V39" s="5"/>
      <c r="W39" s="22">
        <f t="shared" si="1"/>
        <v>-3.1130200000000001</v>
      </c>
      <c r="X39" s="21">
        <f t="shared" si="2"/>
        <v>-0.28917700000000002</v>
      </c>
      <c r="Y39" s="21">
        <f t="shared" si="3"/>
        <v>-0.28059899999999999</v>
      </c>
      <c r="Z39" s="11">
        <f t="shared" si="4"/>
        <v>-1</v>
      </c>
      <c r="AA39" s="22">
        <f t="shared" si="5"/>
        <v>-3.1117900000000001</v>
      </c>
      <c r="AB39" s="21">
        <f t="shared" si="6"/>
        <v>-0.29006599999999999</v>
      </c>
      <c r="AC39" s="21">
        <f t="shared" si="7"/>
        <v>-0.28034300000000001</v>
      </c>
      <c r="AD39" s="11">
        <f t="shared" si="8"/>
        <v>-1</v>
      </c>
      <c r="AE39" s="22">
        <f t="shared" si="9"/>
        <v>-3.1078199999999998</v>
      </c>
      <c r="AF39" s="21">
        <f t="shared" si="10"/>
        <v>-0.28968899999999997</v>
      </c>
      <c r="AG39" s="21">
        <f t="shared" si="11"/>
        <v>-0.281555</v>
      </c>
      <c r="AH39" s="11">
        <f t="shared" si="12"/>
        <v>-1</v>
      </c>
      <c r="AI39">
        <v>2.5000000000000001E-2</v>
      </c>
      <c r="AJ39">
        <v>-2.5000000000000001E-2</v>
      </c>
      <c r="AK39">
        <v>1.5E-3</v>
      </c>
      <c r="AL39">
        <v>-1.5E-3</v>
      </c>
      <c r="AM39">
        <v>1.5E-3</v>
      </c>
      <c r="AN39">
        <v>-1.5E-3</v>
      </c>
      <c r="AO39" s="16">
        <v>2.5000000000000001E-2</v>
      </c>
      <c r="AP39" s="16">
        <v>-2.5000000000000001E-2</v>
      </c>
      <c r="AQ39">
        <v>1.4999999999999999E-2</v>
      </c>
      <c r="AR39">
        <v>-1.4999999999999999E-2</v>
      </c>
      <c r="AS39">
        <v>1E-3</v>
      </c>
      <c r="AT39">
        <v>-1E-3</v>
      </c>
      <c r="AU39">
        <v>1E-3</v>
      </c>
      <c r="AV39">
        <v>-1E-3</v>
      </c>
      <c r="AW39" s="16">
        <v>1.4999999999999999E-2</v>
      </c>
      <c r="AX39" s="16">
        <v>-1.4999999999999999E-2</v>
      </c>
    </row>
    <row r="40" spans="1:279" customFormat="1">
      <c r="F40" s="17" t="str">
        <f t="shared" si="0"/>
        <v/>
      </c>
      <c r="G40" s="9"/>
      <c r="H40" s="2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22" t="e">
        <f t="shared" si="1"/>
        <v>#N/A</v>
      </c>
      <c r="X40" s="21" t="e">
        <f t="shared" si="2"/>
        <v>#N/A</v>
      </c>
      <c r="Y40" s="21" t="e">
        <f t="shared" si="3"/>
        <v>#N/A</v>
      </c>
      <c r="Z40" s="11" t="e">
        <f t="shared" si="4"/>
        <v>#N/A</v>
      </c>
      <c r="AA40" s="22" t="e">
        <f t="shared" si="5"/>
        <v>#N/A</v>
      </c>
      <c r="AB40" s="21" t="e">
        <f t="shared" si="6"/>
        <v>#N/A</v>
      </c>
      <c r="AC40" s="21" t="e">
        <f t="shared" si="7"/>
        <v>#N/A</v>
      </c>
      <c r="AD40" s="11" t="e">
        <f t="shared" si="8"/>
        <v>#N/A</v>
      </c>
      <c r="AE40" s="22" t="e">
        <f t="shared" si="9"/>
        <v>#N/A</v>
      </c>
      <c r="AF40" s="21" t="e">
        <f t="shared" si="10"/>
        <v>#N/A</v>
      </c>
      <c r="AG40" s="21" t="e">
        <f t="shared" si="11"/>
        <v>#N/A</v>
      </c>
      <c r="AH40" s="11" t="e">
        <f t="shared" si="12"/>
        <v>#N/A</v>
      </c>
      <c r="AI40">
        <v>2.5000000000000001E-2</v>
      </c>
      <c r="AJ40">
        <v>-2.5000000000000001E-2</v>
      </c>
      <c r="AK40">
        <v>1.5E-3</v>
      </c>
      <c r="AL40">
        <v>-1.5E-3</v>
      </c>
      <c r="AM40">
        <v>1.5E-3</v>
      </c>
      <c r="AN40">
        <v>-1.5E-3</v>
      </c>
      <c r="AO40" s="16">
        <v>2.5000000000000001E-2</v>
      </c>
      <c r="AP40" s="16">
        <v>-2.5000000000000001E-2</v>
      </c>
      <c r="AQ40">
        <v>1.4999999999999999E-2</v>
      </c>
      <c r="AR40">
        <v>-1.4999999999999999E-2</v>
      </c>
      <c r="AS40">
        <v>1E-3</v>
      </c>
      <c r="AT40">
        <v>-1E-3</v>
      </c>
      <c r="AU40">
        <v>1E-3</v>
      </c>
      <c r="AV40">
        <v>-1E-3</v>
      </c>
      <c r="AW40" s="16">
        <v>1.4999999999999999E-2</v>
      </c>
      <c r="AX40" s="16">
        <v>-1.4999999999999999E-2</v>
      </c>
    </row>
    <row r="41" spans="1:279" customFormat="1">
      <c r="F41" s="17" t="str">
        <f t="shared" si="0"/>
        <v/>
      </c>
      <c r="G41" s="9"/>
      <c r="H41" s="2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22" t="e">
        <f t="shared" si="1"/>
        <v>#N/A</v>
      </c>
      <c r="X41" s="21" t="e">
        <f t="shared" si="2"/>
        <v>#N/A</v>
      </c>
      <c r="Y41" s="21" t="e">
        <f t="shared" si="3"/>
        <v>#N/A</v>
      </c>
      <c r="Z41" s="11" t="e">
        <f t="shared" si="4"/>
        <v>#N/A</v>
      </c>
      <c r="AA41" s="22" t="e">
        <f t="shared" si="5"/>
        <v>#N/A</v>
      </c>
      <c r="AB41" s="21" t="e">
        <f t="shared" si="6"/>
        <v>#N/A</v>
      </c>
      <c r="AC41" s="21" t="e">
        <f t="shared" si="7"/>
        <v>#N/A</v>
      </c>
      <c r="AD41" s="11" t="e">
        <f t="shared" si="8"/>
        <v>#N/A</v>
      </c>
      <c r="AE41" s="22" t="e">
        <f t="shared" si="9"/>
        <v>#N/A</v>
      </c>
      <c r="AF41" s="21" t="e">
        <f t="shared" si="10"/>
        <v>#N/A</v>
      </c>
      <c r="AG41" s="21" t="e">
        <f t="shared" si="11"/>
        <v>#N/A</v>
      </c>
      <c r="AH41" s="11" t="e">
        <f t="shared" si="12"/>
        <v>#N/A</v>
      </c>
      <c r="AI41">
        <v>2.5000000000000001E-2</v>
      </c>
      <c r="AJ41">
        <v>-2.5000000000000001E-2</v>
      </c>
      <c r="AK41">
        <v>1.5E-3</v>
      </c>
      <c r="AL41">
        <v>-1.5E-3</v>
      </c>
      <c r="AM41">
        <v>1.5E-3</v>
      </c>
      <c r="AN41">
        <v>-1.5E-3</v>
      </c>
      <c r="AO41" s="16">
        <v>2.5000000000000001E-2</v>
      </c>
      <c r="AP41" s="16">
        <v>-2.5000000000000001E-2</v>
      </c>
      <c r="AQ41">
        <v>1.4999999999999999E-2</v>
      </c>
      <c r="AR41">
        <v>-1.4999999999999999E-2</v>
      </c>
      <c r="AS41">
        <v>1E-3</v>
      </c>
      <c r="AT41">
        <v>-1E-3</v>
      </c>
      <c r="AU41">
        <v>1E-3</v>
      </c>
      <c r="AV41">
        <v>-1E-3</v>
      </c>
      <c r="AW41" s="16">
        <v>1.4999999999999999E-2</v>
      </c>
      <c r="AX41" s="16">
        <v>-1.4999999999999999E-2</v>
      </c>
    </row>
    <row r="42" spans="1:279" customFormat="1">
      <c r="F42" s="17" t="str">
        <f t="shared" si="0"/>
        <v/>
      </c>
      <c r="G42" s="9"/>
      <c r="H42" s="2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22" t="e">
        <f t="shared" si="1"/>
        <v>#N/A</v>
      </c>
      <c r="X42" s="21" t="e">
        <f t="shared" si="2"/>
        <v>#N/A</v>
      </c>
      <c r="Y42" s="21" t="e">
        <f t="shared" si="3"/>
        <v>#N/A</v>
      </c>
      <c r="Z42" s="11" t="e">
        <f t="shared" si="4"/>
        <v>#N/A</v>
      </c>
      <c r="AA42" s="22" t="e">
        <f t="shared" si="5"/>
        <v>#N/A</v>
      </c>
      <c r="AB42" s="21" t="e">
        <f t="shared" si="6"/>
        <v>#N/A</v>
      </c>
      <c r="AC42" s="21" t="e">
        <f t="shared" si="7"/>
        <v>#N/A</v>
      </c>
      <c r="AD42" s="11" t="e">
        <f t="shared" si="8"/>
        <v>#N/A</v>
      </c>
      <c r="AE42" s="22" t="e">
        <f t="shared" si="9"/>
        <v>#N/A</v>
      </c>
      <c r="AF42" s="21" t="e">
        <f t="shared" si="10"/>
        <v>#N/A</v>
      </c>
      <c r="AG42" s="21" t="e">
        <f t="shared" si="11"/>
        <v>#N/A</v>
      </c>
      <c r="AH42" s="11" t="e">
        <f t="shared" si="12"/>
        <v>#N/A</v>
      </c>
      <c r="AI42">
        <v>2.5000000000000001E-2</v>
      </c>
      <c r="AJ42">
        <v>-2.5000000000000001E-2</v>
      </c>
      <c r="AK42">
        <v>1.5E-3</v>
      </c>
      <c r="AL42">
        <v>-1.5E-3</v>
      </c>
      <c r="AM42">
        <v>1.5E-3</v>
      </c>
      <c r="AN42">
        <v>-1.5E-3</v>
      </c>
      <c r="AO42" s="16">
        <v>2.5000000000000001E-2</v>
      </c>
      <c r="AP42" s="16">
        <v>-2.5000000000000001E-2</v>
      </c>
      <c r="AQ42">
        <v>1.4999999999999999E-2</v>
      </c>
      <c r="AR42">
        <v>-1.4999999999999999E-2</v>
      </c>
      <c r="AS42">
        <v>1E-3</v>
      </c>
      <c r="AT42">
        <v>-1E-3</v>
      </c>
      <c r="AU42">
        <v>1E-3</v>
      </c>
      <c r="AV42">
        <v>-1E-3</v>
      </c>
      <c r="AW42" s="16">
        <v>1.4999999999999999E-2</v>
      </c>
      <c r="AX42" s="16">
        <v>-1.4999999999999999E-2</v>
      </c>
    </row>
    <row r="43" spans="1:279" customFormat="1">
      <c r="F43" s="17" t="str">
        <f t="shared" si="0"/>
        <v/>
      </c>
      <c r="G43" s="9"/>
      <c r="H43" s="2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22" t="e">
        <f t="shared" si="1"/>
        <v>#N/A</v>
      </c>
      <c r="X43" s="21" t="e">
        <f t="shared" si="2"/>
        <v>#N/A</v>
      </c>
      <c r="Y43" s="21" t="e">
        <f t="shared" si="3"/>
        <v>#N/A</v>
      </c>
      <c r="Z43" s="11" t="e">
        <f t="shared" si="4"/>
        <v>#N/A</v>
      </c>
      <c r="AA43" s="22" t="e">
        <f t="shared" si="5"/>
        <v>#N/A</v>
      </c>
      <c r="AB43" s="21" t="e">
        <f t="shared" si="6"/>
        <v>#N/A</v>
      </c>
      <c r="AC43" s="21" t="e">
        <f t="shared" si="7"/>
        <v>#N/A</v>
      </c>
      <c r="AD43" s="11" t="e">
        <f t="shared" si="8"/>
        <v>#N/A</v>
      </c>
      <c r="AE43" s="22" t="e">
        <f t="shared" si="9"/>
        <v>#N/A</v>
      </c>
      <c r="AF43" s="21" t="e">
        <f t="shared" si="10"/>
        <v>#N/A</v>
      </c>
      <c r="AG43" s="21" t="e">
        <f t="shared" si="11"/>
        <v>#N/A</v>
      </c>
      <c r="AH43" s="11" t="e">
        <f t="shared" si="12"/>
        <v>#N/A</v>
      </c>
      <c r="AI43">
        <v>2.5000000000000001E-2</v>
      </c>
      <c r="AJ43">
        <v>-2.5000000000000001E-2</v>
      </c>
      <c r="AK43">
        <v>1.5E-3</v>
      </c>
      <c r="AL43">
        <v>-1.5E-3</v>
      </c>
      <c r="AM43">
        <v>1.5E-3</v>
      </c>
      <c r="AN43">
        <v>-1.5E-3</v>
      </c>
      <c r="AO43" s="16">
        <v>2.5000000000000001E-2</v>
      </c>
      <c r="AP43" s="16">
        <v>-2.5000000000000001E-2</v>
      </c>
      <c r="AQ43">
        <v>1.4999999999999999E-2</v>
      </c>
      <c r="AR43">
        <v>-1.4999999999999999E-2</v>
      </c>
      <c r="AS43">
        <v>1E-3</v>
      </c>
      <c r="AT43">
        <v>-1E-3</v>
      </c>
      <c r="AU43">
        <v>1E-3</v>
      </c>
      <c r="AV43">
        <v>-1E-3</v>
      </c>
      <c r="AW43" s="16">
        <v>1.4999999999999999E-2</v>
      </c>
      <c r="AX43" s="16">
        <v>-1.4999999999999999E-2</v>
      </c>
    </row>
    <row r="44" spans="1:279" customFormat="1">
      <c r="F44" s="17" t="str">
        <f t="shared" si="0"/>
        <v/>
      </c>
      <c r="G44" s="9"/>
      <c r="H44" s="2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22" t="e">
        <f t="shared" si="1"/>
        <v>#N/A</v>
      </c>
      <c r="X44" s="21" t="e">
        <f t="shared" si="2"/>
        <v>#N/A</v>
      </c>
      <c r="Y44" s="21" t="e">
        <f t="shared" si="3"/>
        <v>#N/A</v>
      </c>
      <c r="Z44" s="11" t="e">
        <f t="shared" si="4"/>
        <v>#N/A</v>
      </c>
      <c r="AA44" s="22" t="e">
        <f t="shared" si="5"/>
        <v>#N/A</v>
      </c>
      <c r="AB44" s="21" t="e">
        <f t="shared" si="6"/>
        <v>#N/A</v>
      </c>
      <c r="AC44" s="21" t="e">
        <f t="shared" si="7"/>
        <v>#N/A</v>
      </c>
      <c r="AD44" s="11" t="e">
        <f t="shared" si="8"/>
        <v>#N/A</v>
      </c>
      <c r="AE44" s="22" t="e">
        <f t="shared" si="9"/>
        <v>#N/A</v>
      </c>
      <c r="AF44" s="21" t="e">
        <f t="shared" si="10"/>
        <v>#N/A</v>
      </c>
      <c r="AG44" s="21" t="e">
        <f t="shared" si="11"/>
        <v>#N/A</v>
      </c>
      <c r="AH44" s="11" t="e">
        <f t="shared" si="12"/>
        <v>#N/A</v>
      </c>
      <c r="AI44">
        <v>2.5000000000000001E-2</v>
      </c>
      <c r="AJ44">
        <v>-2.5000000000000001E-2</v>
      </c>
      <c r="AK44">
        <v>1.5E-3</v>
      </c>
      <c r="AL44">
        <v>-1.5E-3</v>
      </c>
      <c r="AM44">
        <v>1.5E-3</v>
      </c>
      <c r="AN44">
        <v>-1.5E-3</v>
      </c>
      <c r="AO44" s="16">
        <v>2.5000000000000001E-2</v>
      </c>
      <c r="AP44" s="16">
        <v>-2.5000000000000001E-2</v>
      </c>
      <c r="AQ44">
        <v>1.4999999999999999E-2</v>
      </c>
      <c r="AR44">
        <v>-1.4999999999999999E-2</v>
      </c>
      <c r="AS44">
        <v>1E-3</v>
      </c>
      <c r="AT44">
        <v>-1E-3</v>
      </c>
      <c r="AU44">
        <v>1E-3</v>
      </c>
      <c r="AV44">
        <v>-1E-3</v>
      </c>
      <c r="AW44" s="16">
        <v>1.4999999999999999E-2</v>
      </c>
      <c r="AX44" s="16">
        <v>-1.4999999999999999E-2</v>
      </c>
    </row>
    <row r="45" spans="1:279" customFormat="1">
      <c r="F45" s="17" t="str">
        <f t="shared" si="0"/>
        <v/>
      </c>
      <c r="G45" s="9"/>
      <c r="H45" s="2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22" t="e">
        <f t="shared" si="1"/>
        <v>#N/A</v>
      </c>
      <c r="X45" s="21" t="e">
        <f t="shared" si="2"/>
        <v>#N/A</v>
      </c>
      <c r="Y45" s="21" t="e">
        <f t="shared" si="3"/>
        <v>#N/A</v>
      </c>
      <c r="Z45" s="11" t="e">
        <f t="shared" si="4"/>
        <v>#N/A</v>
      </c>
      <c r="AA45" s="22" t="e">
        <f t="shared" si="5"/>
        <v>#N/A</v>
      </c>
      <c r="AB45" s="21" t="e">
        <f t="shared" si="6"/>
        <v>#N/A</v>
      </c>
      <c r="AC45" s="21" t="e">
        <f t="shared" si="7"/>
        <v>#N/A</v>
      </c>
      <c r="AD45" s="11" t="e">
        <f t="shared" si="8"/>
        <v>#N/A</v>
      </c>
      <c r="AE45" s="22" t="e">
        <f t="shared" si="9"/>
        <v>#N/A</v>
      </c>
      <c r="AF45" s="21" t="e">
        <f t="shared" si="10"/>
        <v>#N/A</v>
      </c>
      <c r="AG45" s="21" t="e">
        <f t="shared" si="11"/>
        <v>#N/A</v>
      </c>
      <c r="AH45" s="11" t="e">
        <f t="shared" si="12"/>
        <v>#N/A</v>
      </c>
      <c r="AI45">
        <v>2.5000000000000001E-2</v>
      </c>
      <c r="AJ45">
        <v>-2.5000000000000001E-2</v>
      </c>
      <c r="AK45">
        <v>1.5E-3</v>
      </c>
      <c r="AL45">
        <v>-1.5E-3</v>
      </c>
      <c r="AM45">
        <v>1.5E-3</v>
      </c>
      <c r="AN45">
        <v>-1.5E-3</v>
      </c>
      <c r="AO45" s="16">
        <v>2.5000000000000001E-2</v>
      </c>
      <c r="AP45" s="16">
        <v>-2.5000000000000001E-2</v>
      </c>
      <c r="AQ45">
        <v>1.4999999999999999E-2</v>
      </c>
      <c r="AR45">
        <v>-1.4999999999999999E-2</v>
      </c>
      <c r="AS45">
        <v>1E-3</v>
      </c>
      <c r="AT45">
        <v>-1E-3</v>
      </c>
      <c r="AU45">
        <v>1E-3</v>
      </c>
      <c r="AV45">
        <v>-1E-3</v>
      </c>
      <c r="AW45" s="16">
        <v>1.4999999999999999E-2</v>
      </c>
      <c r="AX45" s="16">
        <v>-1.4999999999999999E-2</v>
      </c>
    </row>
    <row r="46" spans="1:279" customFormat="1">
      <c r="F46" s="17" t="str">
        <f t="shared" si="0"/>
        <v/>
      </c>
      <c r="G46" s="9"/>
      <c r="H46" s="2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22" t="e">
        <f t="shared" si="1"/>
        <v>#N/A</v>
      </c>
      <c r="X46" s="21" t="e">
        <f t="shared" si="2"/>
        <v>#N/A</v>
      </c>
      <c r="Y46" s="21" t="e">
        <f t="shared" si="3"/>
        <v>#N/A</v>
      </c>
      <c r="Z46" s="11" t="e">
        <f t="shared" si="4"/>
        <v>#N/A</v>
      </c>
      <c r="AA46" s="22" t="e">
        <f t="shared" si="5"/>
        <v>#N/A</v>
      </c>
      <c r="AB46" s="21" t="e">
        <f t="shared" si="6"/>
        <v>#N/A</v>
      </c>
      <c r="AC46" s="21" t="e">
        <f t="shared" si="7"/>
        <v>#N/A</v>
      </c>
      <c r="AD46" s="11" t="e">
        <f t="shared" si="8"/>
        <v>#N/A</v>
      </c>
      <c r="AE46" s="22" t="e">
        <f t="shared" si="9"/>
        <v>#N/A</v>
      </c>
      <c r="AF46" s="21" t="e">
        <f t="shared" si="10"/>
        <v>#N/A</v>
      </c>
      <c r="AG46" s="21" t="e">
        <f t="shared" si="11"/>
        <v>#N/A</v>
      </c>
      <c r="AH46" s="11" t="e">
        <f t="shared" si="12"/>
        <v>#N/A</v>
      </c>
      <c r="AI46">
        <v>2.5000000000000001E-2</v>
      </c>
      <c r="AJ46">
        <v>-2.5000000000000001E-2</v>
      </c>
      <c r="AK46">
        <v>1.5E-3</v>
      </c>
      <c r="AL46">
        <v>-1.5E-3</v>
      </c>
      <c r="AM46">
        <v>1.5E-3</v>
      </c>
      <c r="AN46">
        <v>-1.5E-3</v>
      </c>
      <c r="AO46" s="16">
        <v>2.5000000000000001E-2</v>
      </c>
      <c r="AP46" s="16">
        <v>-2.5000000000000001E-2</v>
      </c>
      <c r="AQ46">
        <v>1.4999999999999999E-2</v>
      </c>
      <c r="AR46">
        <v>-1.4999999999999999E-2</v>
      </c>
      <c r="AS46">
        <v>1E-3</v>
      </c>
      <c r="AT46">
        <v>-1E-3</v>
      </c>
      <c r="AU46">
        <v>1E-3</v>
      </c>
      <c r="AV46">
        <v>-1E-3</v>
      </c>
      <c r="AW46" s="16">
        <v>1.4999999999999999E-2</v>
      </c>
      <c r="AX46" s="16">
        <v>-1.4999999999999999E-2</v>
      </c>
      <c r="JR46">
        <v>12.849506578947368</v>
      </c>
      <c r="JS46">
        <v>25.699013157894736</v>
      </c>
    </row>
    <row r="47" spans="1:279" customFormat="1">
      <c r="F47" s="17" t="str">
        <f t="shared" si="0"/>
        <v/>
      </c>
      <c r="G47" s="9"/>
      <c r="H47" s="2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22" t="e">
        <f t="shared" si="1"/>
        <v>#N/A</v>
      </c>
      <c r="X47" s="21" t="e">
        <f t="shared" si="2"/>
        <v>#N/A</v>
      </c>
      <c r="Y47" s="21" t="e">
        <f t="shared" si="3"/>
        <v>#N/A</v>
      </c>
      <c r="Z47" s="11" t="e">
        <f t="shared" si="4"/>
        <v>#N/A</v>
      </c>
      <c r="AA47" s="22" t="e">
        <f t="shared" si="5"/>
        <v>#N/A</v>
      </c>
      <c r="AB47" s="21" t="e">
        <f t="shared" si="6"/>
        <v>#N/A</v>
      </c>
      <c r="AC47" s="21" t="e">
        <f t="shared" si="7"/>
        <v>#N/A</v>
      </c>
      <c r="AD47" s="11" t="e">
        <f t="shared" si="8"/>
        <v>#N/A</v>
      </c>
      <c r="AE47" s="22" t="e">
        <f t="shared" si="9"/>
        <v>#N/A</v>
      </c>
      <c r="AF47" s="21" t="e">
        <f t="shared" si="10"/>
        <v>#N/A</v>
      </c>
      <c r="AG47" s="21" t="e">
        <f t="shared" si="11"/>
        <v>#N/A</v>
      </c>
      <c r="AH47" s="11" t="e">
        <f t="shared" si="12"/>
        <v>#N/A</v>
      </c>
      <c r="AI47">
        <v>2.5000000000000001E-2</v>
      </c>
      <c r="AJ47">
        <v>-2.5000000000000001E-2</v>
      </c>
      <c r="AK47">
        <v>1.5E-3</v>
      </c>
      <c r="AL47">
        <v>-1.5E-3</v>
      </c>
      <c r="AM47">
        <v>1.5E-3</v>
      </c>
      <c r="AN47">
        <v>-1.5E-3</v>
      </c>
      <c r="AO47" s="16">
        <v>2.5000000000000001E-2</v>
      </c>
      <c r="AP47" s="16">
        <v>-2.5000000000000001E-2</v>
      </c>
      <c r="AQ47">
        <v>1.4999999999999999E-2</v>
      </c>
      <c r="AR47">
        <v>-1.4999999999999999E-2</v>
      </c>
      <c r="AS47">
        <v>1E-3</v>
      </c>
      <c r="AT47">
        <v>-1E-3</v>
      </c>
      <c r="AU47">
        <v>1E-3</v>
      </c>
      <c r="AV47">
        <v>-1E-3</v>
      </c>
      <c r="AW47" s="16">
        <v>1.4999999999999999E-2</v>
      </c>
      <c r="AX47" s="16">
        <v>-1.4999999999999999E-2</v>
      </c>
    </row>
    <row r="48" spans="1:279" customFormat="1">
      <c r="F48" s="17" t="str">
        <f t="shared" si="0"/>
        <v/>
      </c>
      <c r="G48" s="9"/>
      <c r="H48" s="2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22" t="e">
        <f t="shared" si="1"/>
        <v>#N/A</v>
      </c>
      <c r="X48" s="21" t="e">
        <f t="shared" si="2"/>
        <v>#N/A</v>
      </c>
      <c r="Y48" s="21" t="e">
        <f t="shared" si="3"/>
        <v>#N/A</v>
      </c>
      <c r="Z48" s="11" t="e">
        <f t="shared" si="4"/>
        <v>#N/A</v>
      </c>
      <c r="AA48" s="22" t="e">
        <f t="shared" si="5"/>
        <v>#N/A</v>
      </c>
      <c r="AB48" s="21" t="e">
        <f t="shared" si="6"/>
        <v>#N/A</v>
      </c>
      <c r="AC48" s="21" t="e">
        <f t="shared" si="7"/>
        <v>#N/A</v>
      </c>
      <c r="AD48" s="11" t="e">
        <f t="shared" si="8"/>
        <v>#N/A</v>
      </c>
      <c r="AE48" s="22" t="e">
        <f t="shared" si="9"/>
        <v>#N/A</v>
      </c>
      <c r="AF48" s="21" t="e">
        <f t="shared" si="10"/>
        <v>#N/A</v>
      </c>
      <c r="AG48" s="21" t="e">
        <f t="shared" si="11"/>
        <v>#N/A</v>
      </c>
      <c r="AH48" s="11" t="e">
        <f t="shared" si="12"/>
        <v>#N/A</v>
      </c>
      <c r="AI48">
        <v>2.5000000000000001E-2</v>
      </c>
      <c r="AJ48">
        <v>-2.5000000000000001E-2</v>
      </c>
      <c r="AK48">
        <v>1.5E-3</v>
      </c>
      <c r="AL48">
        <v>-1.5E-3</v>
      </c>
      <c r="AM48">
        <v>1.5E-3</v>
      </c>
      <c r="AN48">
        <v>-1.5E-3</v>
      </c>
      <c r="AO48" s="16">
        <v>2.5000000000000001E-2</v>
      </c>
      <c r="AP48" s="16">
        <v>-2.5000000000000001E-2</v>
      </c>
      <c r="AQ48">
        <v>1.4999999999999999E-2</v>
      </c>
      <c r="AR48">
        <v>-1.4999999999999999E-2</v>
      </c>
      <c r="AS48">
        <v>1E-3</v>
      </c>
      <c r="AT48">
        <v>-1E-3</v>
      </c>
      <c r="AU48">
        <v>1E-3</v>
      </c>
      <c r="AV48">
        <v>-1E-3</v>
      </c>
      <c r="AW48" s="16">
        <v>1.4999999999999999E-2</v>
      </c>
      <c r="AX48" s="16">
        <v>-1.4999999999999999E-2</v>
      </c>
      <c r="JQ48">
        <v>12.849506578947368</v>
      </c>
      <c r="JR48">
        <v>12.849506578947368</v>
      </c>
      <c r="JS48">
        <v>12.849506578947368</v>
      </c>
    </row>
    <row r="49" spans="6:279" customFormat="1">
      <c r="F49" s="17" t="str">
        <f t="shared" si="0"/>
        <v/>
      </c>
      <c r="G49" s="9"/>
      <c r="H49" s="2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22" t="e">
        <f t="shared" si="1"/>
        <v>#N/A</v>
      </c>
      <c r="X49" s="21" t="e">
        <f t="shared" si="2"/>
        <v>#N/A</v>
      </c>
      <c r="Y49" s="21" t="e">
        <f t="shared" si="3"/>
        <v>#N/A</v>
      </c>
      <c r="Z49" s="11" t="e">
        <f t="shared" si="4"/>
        <v>#N/A</v>
      </c>
      <c r="AA49" s="22" t="e">
        <f t="shared" si="5"/>
        <v>#N/A</v>
      </c>
      <c r="AB49" s="21" t="e">
        <f t="shared" si="6"/>
        <v>#N/A</v>
      </c>
      <c r="AC49" s="21" t="e">
        <f t="shared" si="7"/>
        <v>#N/A</v>
      </c>
      <c r="AD49" s="11" t="e">
        <f t="shared" si="8"/>
        <v>#N/A</v>
      </c>
      <c r="AE49" s="22" t="e">
        <f t="shared" si="9"/>
        <v>#N/A</v>
      </c>
      <c r="AF49" s="21" t="e">
        <f t="shared" si="10"/>
        <v>#N/A</v>
      </c>
      <c r="AG49" s="21" t="e">
        <f t="shared" si="11"/>
        <v>#N/A</v>
      </c>
      <c r="AH49" s="11" t="e">
        <f t="shared" si="12"/>
        <v>#N/A</v>
      </c>
      <c r="AI49">
        <v>2.5000000000000001E-2</v>
      </c>
      <c r="AJ49">
        <v>-2.5000000000000001E-2</v>
      </c>
      <c r="AK49">
        <v>1.5E-3</v>
      </c>
      <c r="AL49">
        <v>-1.5E-3</v>
      </c>
      <c r="AM49">
        <v>1.5E-3</v>
      </c>
      <c r="AN49">
        <v>-1.5E-3</v>
      </c>
      <c r="AO49" s="16">
        <v>2.5000000000000001E-2</v>
      </c>
      <c r="AP49" s="16">
        <v>-2.5000000000000001E-2</v>
      </c>
      <c r="AQ49">
        <v>1.4999999999999999E-2</v>
      </c>
      <c r="AR49">
        <v>-1.4999999999999999E-2</v>
      </c>
      <c r="AS49">
        <v>1E-3</v>
      </c>
      <c r="AT49">
        <v>-1E-3</v>
      </c>
      <c r="AU49">
        <v>1E-3</v>
      </c>
      <c r="AV49">
        <v>-1E-3</v>
      </c>
      <c r="AW49" s="16">
        <v>1.4999999999999999E-2</v>
      </c>
      <c r="AX49" s="16">
        <v>-1.4999999999999999E-2</v>
      </c>
    </row>
    <row r="50" spans="6:279" customFormat="1">
      <c r="F50" s="17" t="str">
        <f t="shared" si="0"/>
        <v/>
      </c>
      <c r="G50" s="9"/>
      <c r="H50" s="2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22" t="e">
        <f t="shared" si="1"/>
        <v>#N/A</v>
      </c>
      <c r="X50" s="21" t="e">
        <f t="shared" si="2"/>
        <v>#N/A</v>
      </c>
      <c r="Y50" s="21" t="e">
        <f t="shared" si="3"/>
        <v>#N/A</v>
      </c>
      <c r="Z50" s="11" t="e">
        <f t="shared" si="4"/>
        <v>#N/A</v>
      </c>
      <c r="AA50" s="22" t="e">
        <f t="shared" si="5"/>
        <v>#N/A</v>
      </c>
      <c r="AB50" s="21" t="e">
        <f t="shared" si="6"/>
        <v>#N/A</v>
      </c>
      <c r="AC50" s="21" t="e">
        <f t="shared" si="7"/>
        <v>#N/A</v>
      </c>
      <c r="AD50" s="11" t="e">
        <f t="shared" si="8"/>
        <v>#N/A</v>
      </c>
      <c r="AE50" s="22" t="e">
        <f t="shared" si="9"/>
        <v>#N/A</v>
      </c>
      <c r="AF50" s="21" t="e">
        <f t="shared" si="10"/>
        <v>#N/A</v>
      </c>
      <c r="AG50" s="21" t="e">
        <f t="shared" si="11"/>
        <v>#N/A</v>
      </c>
      <c r="AH50" s="11" t="e">
        <f t="shared" si="12"/>
        <v>#N/A</v>
      </c>
      <c r="AI50">
        <v>2.5000000000000001E-2</v>
      </c>
      <c r="AJ50">
        <v>-2.5000000000000001E-2</v>
      </c>
      <c r="AK50">
        <v>1.5E-3</v>
      </c>
      <c r="AL50">
        <v>-1.5E-3</v>
      </c>
      <c r="AM50">
        <v>1.5E-3</v>
      </c>
      <c r="AN50">
        <v>-1.5E-3</v>
      </c>
      <c r="AO50" s="16">
        <v>2.5000000000000001E-2</v>
      </c>
      <c r="AP50" s="16">
        <v>-2.5000000000000001E-2</v>
      </c>
      <c r="AQ50">
        <v>1.4999999999999999E-2</v>
      </c>
      <c r="AR50">
        <v>-1.4999999999999999E-2</v>
      </c>
      <c r="AS50">
        <v>1E-3</v>
      </c>
      <c r="AT50">
        <v>-1E-3</v>
      </c>
      <c r="AU50">
        <v>1E-3</v>
      </c>
      <c r="AV50">
        <v>-1E-3</v>
      </c>
      <c r="AW50" s="16">
        <v>1.4999999999999999E-2</v>
      </c>
      <c r="AX50" s="16">
        <v>-1.4999999999999999E-2</v>
      </c>
    </row>
    <row r="51" spans="6:279" customFormat="1">
      <c r="F51" s="17" t="str">
        <f t="shared" si="0"/>
        <v/>
      </c>
      <c r="G51" s="9"/>
      <c r="H51" s="2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22" t="e">
        <f t="shared" si="1"/>
        <v>#N/A</v>
      </c>
      <c r="X51" s="21" t="e">
        <f t="shared" si="2"/>
        <v>#N/A</v>
      </c>
      <c r="Y51" s="21" t="e">
        <f t="shared" si="3"/>
        <v>#N/A</v>
      </c>
      <c r="Z51" s="11" t="e">
        <f t="shared" si="4"/>
        <v>#N/A</v>
      </c>
      <c r="AA51" s="22" t="e">
        <f t="shared" si="5"/>
        <v>#N/A</v>
      </c>
      <c r="AB51" s="21" t="e">
        <f t="shared" si="6"/>
        <v>#N/A</v>
      </c>
      <c r="AC51" s="21" t="e">
        <f t="shared" si="7"/>
        <v>#N/A</v>
      </c>
      <c r="AD51" s="11" t="e">
        <f t="shared" si="8"/>
        <v>#N/A</v>
      </c>
      <c r="AE51" s="22" t="e">
        <f t="shared" si="9"/>
        <v>#N/A</v>
      </c>
      <c r="AF51" s="21" t="e">
        <f t="shared" si="10"/>
        <v>#N/A</v>
      </c>
      <c r="AG51" s="21" t="e">
        <f t="shared" si="11"/>
        <v>#N/A</v>
      </c>
      <c r="AH51" s="11" t="e">
        <f t="shared" si="12"/>
        <v>#N/A</v>
      </c>
      <c r="AI51">
        <v>2.5000000000000001E-2</v>
      </c>
      <c r="AJ51">
        <v>-2.5000000000000001E-2</v>
      </c>
      <c r="AK51">
        <v>1.5E-3</v>
      </c>
      <c r="AL51">
        <v>-1.5E-3</v>
      </c>
      <c r="AM51">
        <v>1.5E-3</v>
      </c>
      <c r="AN51">
        <v>-1.5E-3</v>
      </c>
      <c r="AO51" s="16">
        <v>2.5000000000000001E-2</v>
      </c>
      <c r="AP51" s="16">
        <v>-2.5000000000000001E-2</v>
      </c>
      <c r="AQ51">
        <v>1.4999999999999999E-2</v>
      </c>
      <c r="AR51">
        <v>-1.4999999999999999E-2</v>
      </c>
      <c r="AS51">
        <v>1E-3</v>
      </c>
      <c r="AT51">
        <v>-1E-3</v>
      </c>
      <c r="AU51">
        <v>1E-3</v>
      </c>
      <c r="AV51">
        <v>-1E-3</v>
      </c>
      <c r="AW51" s="16">
        <v>1.4999999999999999E-2</v>
      </c>
      <c r="AX51" s="16">
        <v>-1.4999999999999999E-2</v>
      </c>
    </row>
    <row r="52" spans="6:279" customFormat="1">
      <c r="F52" s="17" t="str">
        <f t="shared" si="0"/>
        <v/>
      </c>
      <c r="G52" s="9"/>
      <c r="H52" s="2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22" t="e">
        <f t="shared" si="1"/>
        <v>#N/A</v>
      </c>
      <c r="X52" s="21" t="e">
        <f t="shared" si="2"/>
        <v>#N/A</v>
      </c>
      <c r="Y52" s="21" t="e">
        <f t="shared" si="3"/>
        <v>#N/A</v>
      </c>
      <c r="Z52" s="11" t="e">
        <f t="shared" si="4"/>
        <v>#N/A</v>
      </c>
      <c r="AA52" s="22" t="e">
        <f t="shared" si="5"/>
        <v>#N/A</v>
      </c>
      <c r="AB52" s="21" t="e">
        <f t="shared" si="6"/>
        <v>#N/A</v>
      </c>
      <c r="AC52" s="21" t="e">
        <f t="shared" si="7"/>
        <v>#N/A</v>
      </c>
      <c r="AD52" s="11" t="e">
        <f t="shared" si="8"/>
        <v>#N/A</v>
      </c>
      <c r="AE52" s="22" t="e">
        <f t="shared" si="9"/>
        <v>#N/A</v>
      </c>
      <c r="AF52" s="21" t="e">
        <f t="shared" si="10"/>
        <v>#N/A</v>
      </c>
      <c r="AG52" s="21" t="e">
        <f t="shared" si="11"/>
        <v>#N/A</v>
      </c>
      <c r="AH52" s="11" t="e">
        <f t="shared" si="12"/>
        <v>#N/A</v>
      </c>
      <c r="AI52">
        <v>2.5000000000000001E-2</v>
      </c>
      <c r="AJ52">
        <v>-2.5000000000000001E-2</v>
      </c>
      <c r="AK52">
        <v>1.5E-3</v>
      </c>
      <c r="AL52">
        <v>-1.5E-3</v>
      </c>
      <c r="AM52">
        <v>1.5E-3</v>
      </c>
      <c r="AN52">
        <v>-1.5E-3</v>
      </c>
      <c r="AO52" s="16">
        <v>2.5000000000000001E-2</v>
      </c>
      <c r="AP52" s="16">
        <v>-2.5000000000000001E-2</v>
      </c>
      <c r="AQ52">
        <v>1.4999999999999999E-2</v>
      </c>
      <c r="AR52">
        <v>-1.4999999999999999E-2</v>
      </c>
      <c r="AS52">
        <v>1E-3</v>
      </c>
      <c r="AT52">
        <v>-1E-3</v>
      </c>
      <c r="AU52">
        <v>1E-3</v>
      </c>
      <c r="AV52">
        <v>-1E-3</v>
      </c>
      <c r="AW52" s="16">
        <v>1.4999999999999999E-2</v>
      </c>
      <c r="AX52" s="16">
        <v>-1.4999999999999999E-2</v>
      </c>
    </row>
    <row r="53" spans="6:279" customFormat="1">
      <c r="F53" s="17" t="str">
        <f t="shared" si="0"/>
        <v/>
      </c>
      <c r="G53" s="9"/>
      <c r="H53" s="2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22" t="e">
        <f t="shared" si="1"/>
        <v>#N/A</v>
      </c>
      <c r="X53" s="21" t="e">
        <f t="shared" si="2"/>
        <v>#N/A</v>
      </c>
      <c r="Y53" s="21" t="e">
        <f t="shared" si="3"/>
        <v>#N/A</v>
      </c>
      <c r="Z53" s="11" t="e">
        <f t="shared" si="4"/>
        <v>#N/A</v>
      </c>
      <c r="AA53" s="22" t="e">
        <f t="shared" si="5"/>
        <v>#N/A</v>
      </c>
      <c r="AB53" s="21" t="e">
        <f t="shared" si="6"/>
        <v>#N/A</v>
      </c>
      <c r="AC53" s="21" t="e">
        <f t="shared" si="7"/>
        <v>#N/A</v>
      </c>
      <c r="AD53" s="11" t="e">
        <f t="shared" si="8"/>
        <v>#N/A</v>
      </c>
      <c r="AE53" s="22" t="e">
        <f t="shared" si="9"/>
        <v>#N/A</v>
      </c>
      <c r="AF53" s="21" t="e">
        <f t="shared" si="10"/>
        <v>#N/A</v>
      </c>
      <c r="AG53" s="21" t="e">
        <f t="shared" si="11"/>
        <v>#N/A</v>
      </c>
      <c r="AH53" s="11" t="e">
        <f t="shared" si="12"/>
        <v>#N/A</v>
      </c>
      <c r="AI53">
        <v>2.5000000000000001E-2</v>
      </c>
      <c r="AJ53">
        <v>-2.5000000000000001E-2</v>
      </c>
      <c r="AK53">
        <v>1.5E-3</v>
      </c>
      <c r="AL53">
        <v>-1.5E-3</v>
      </c>
      <c r="AM53">
        <v>1.5E-3</v>
      </c>
      <c r="AN53">
        <v>-1.5E-3</v>
      </c>
      <c r="AO53" s="16">
        <v>2.5000000000000001E-2</v>
      </c>
      <c r="AP53" s="16">
        <v>-2.5000000000000001E-2</v>
      </c>
      <c r="AQ53">
        <v>1.4999999999999999E-2</v>
      </c>
      <c r="AR53">
        <v>-1.4999999999999999E-2</v>
      </c>
      <c r="AS53">
        <v>1E-3</v>
      </c>
      <c r="AT53">
        <v>-1E-3</v>
      </c>
      <c r="AU53">
        <v>1E-3</v>
      </c>
      <c r="AV53">
        <v>-1E-3</v>
      </c>
      <c r="AW53" s="16">
        <v>1.4999999999999999E-2</v>
      </c>
      <c r="AX53" s="16">
        <v>-1.4999999999999999E-2</v>
      </c>
      <c r="JR53">
        <v>12.849506578947368</v>
      </c>
    </row>
    <row r="54" spans="6:279" customFormat="1">
      <c r="F54" s="17" t="str">
        <f t="shared" si="0"/>
        <v/>
      </c>
      <c r="G54" s="9"/>
      <c r="H54" s="2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22" t="e">
        <f t="shared" si="1"/>
        <v>#N/A</v>
      </c>
      <c r="X54" s="21" t="e">
        <f t="shared" si="2"/>
        <v>#N/A</v>
      </c>
      <c r="Y54" s="21" t="e">
        <f t="shared" si="3"/>
        <v>#N/A</v>
      </c>
      <c r="Z54" s="11" t="e">
        <f t="shared" si="4"/>
        <v>#N/A</v>
      </c>
      <c r="AA54" s="22" t="e">
        <f t="shared" si="5"/>
        <v>#N/A</v>
      </c>
      <c r="AB54" s="21" t="e">
        <f t="shared" si="6"/>
        <v>#N/A</v>
      </c>
      <c r="AC54" s="21" t="e">
        <f t="shared" si="7"/>
        <v>#N/A</v>
      </c>
      <c r="AD54" s="11" t="e">
        <f t="shared" si="8"/>
        <v>#N/A</v>
      </c>
      <c r="AE54" s="22" t="e">
        <f t="shared" si="9"/>
        <v>#N/A</v>
      </c>
      <c r="AF54" s="21" t="e">
        <f t="shared" si="10"/>
        <v>#N/A</v>
      </c>
      <c r="AG54" s="21" t="e">
        <f t="shared" si="11"/>
        <v>#N/A</v>
      </c>
      <c r="AH54" s="11" t="e">
        <f t="shared" si="12"/>
        <v>#N/A</v>
      </c>
      <c r="AI54">
        <v>2.5000000000000001E-2</v>
      </c>
      <c r="AJ54">
        <v>-2.5000000000000001E-2</v>
      </c>
      <c r="AK54">
        <v>1.5E-3</v>
      </c>
      <c r="AL54">
        <v>-1.5E-3</v>
      </c>
      <c r="AM54">
        <v>1.5E-3</v>
      </c>
      <c r="AN54">
        <v>-1.5E-3</v>
      </c>
      <c r="AO54" s="16">
        <v>2.5000000000000001E-2</v>
      </c>
      <c r="AP54" s="16">
        <v>-2.5000000000000001E-2</v>
      </c>
      <c r="AQ54">
        <v>1.4999999999999999E-2</v>
      </c>
      <c r="AR54">
        <v>-1.4999999999999999E-2</v>
      </c>
      <c r="AS54">
        <v>1E-3</v>
      </c>
      <c r="AT54">
        <v>-1E-3</v>
      </c>
      <c r="AU54">
        <v>1E-3</v>
      </c>
      <c r="AV54">
        <v>-1E-3</v>
      </c>
      <c r="AW54" s="16">
        <v>1.4999999999999999E-2</v>
      </c>
      <c r="AX54" s="16">
        <v>-1.4999999999999999E-2</v>
      </c>
    </row>
    <row r="55" spans="6:279" customFormat="1">
      <c r="F55" s="17" t="str">
        <f t="shared" si="0"/>
        <v/>
      </c>
      <c r="G55" s="9"/>
      <c r="H55" s="2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22" t="e">
        <f t="shared" si="1"/>
        <v>#N/A</v>
      </c>
      <c r="X55" s="21" t="e">
        <f t="shared" si="2"/>
        <v>#N/A</v>
      </c>
      <c r="Y55" s="21" t="e">
        <f t="shared" si="3"/>
        <v>#N/A</v>
      </c>
      <c r="Z55" s="11" t="e">
        <f t="shared" si="4"/>
        <v>#N/A</v>
      </c>
      <c r="AA55" s="22" t="e">
        <f t="shared" si="5"/>
        <v>#N/A</v>
      </c>
      <c r="AB55" s="21" t="e">
        <f t="shared" si="6"/>
        <v>#N/A</v>
      </c>
      <c r="AC55" s="21" t="e">
        <f t="shared" si="7"/>
        <v>#N/A</v>
      </c>
      <c r="AD55" s="11" t="e">
        <f t="shared" si="8"/>
        <v>#N/A</v>
      </c>
      <c r="AE55" s="22" t="e">
        <f t="shared" si="9"/>
        <v>#N/A</v>
      </c>
      <c r="AF55" s="21" t="e">
        <f t="shared" si="10"/>
        <v>#N/A</v>
      </c>
      <c r="AG55" s="21" t="e">
        <f t="shared" si="11"/>
        <v>#N/A</v>
      </c>
      <c r="AH55" s="11" t="e">
        <f t="shared" si="12"/>
        <v>#N/A</v>
      </c>
      <c r="AI55">
        <v>2.5000000000000001E-2</v>
      </c>
      <c r="AJ55">
        <v>-2.5000000000000001E-2</v>
      </c>
      <c r="AK55">
        <v>1.5E-3</v>
      </c>
      <c r="AL55">
        <v>-1.5E-3</v>
      </c>
      <c r="AM55">
        <v>1.5E-3</v>
      </c>
      <c r="AN55">
        <v>-1.5E-3</v>
      </c>
      <c r="AO55" s="16">
        <v>2.5000000000000001E-2</v>
      </c>
      <c r="AP55" s="16">
        <v>-2.5000000000000001E-2</v>
      </c>
      <c r="AQ55">
        <v>1.4999999999999999E-2</v>
      </c>
      <c r="AR55">
        <v>-1.4999999999999999E-2</v>
      </c>
      <c r="AS55">
        <v>1E-3</v>
      </c>
      <c r="AT55">
        <v>-1E-3</v>
      </c>
      <c r="AU55">
        <v>1E-3</v>
      </c>
      <c r="AV55">
        <v>-1E-3</v>
      </c>
      <c r="AW55" s="16">
        <v>1.4999999999999999E-2</v>
      </c>
      <c r="AX55" s="16">
        <v>-1.4999999999999999E-2</v>
      </c>
      <c r="JR55">
        <v>12.849506578947368</v>
      </c>
      <c r="JS55">
        <v>12.849506578947368</v>
      </c>
    </row>
    <row r="56" spans="6:279" customFormat="1">
      <c r="F56" s="17" t="str">
        <f t="shared" si="0"/>
        <v/>
      </c>
      <c r="G56" s="9"/>
      <c r="H56" s="2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22" t="e">
        <f t="shared" si="1"/>
        <v>#N/A</v>
      </c>
      <c r="X56" s="21" t="e">
        <f t="shared" si="2"/>
        <v>#N/A</v>
      </c>
      <c r="Y56" s="21" t="e">
        <f t="shared" si="3"/>
        <v>#N/A</v>
      </c>
      <c r="Z56" s="11" t="e">
        <f t="shared" si="4"/>
        <v>#N/A</v>
      </c>
      <c r="AA56" s="22" t="e">
        <f t="shared" si="5"/>
        <v>#N/A</v>
      </c>
      <c r="AB56" s="21" t="e">
        <f t="shared" si="6"/>
        <v>#N/A</v>
      </c>
      <c r="AC56" s="21" t="e">
        <f t="shared" si="7"/>
        <v>#N/A</v>
      </c>
      <c r="AD56" s="11" t="e">
        <f t="shared" si="8"/>
        <v>#N/A</v>
      </c>
      <c r="AE56" s="22" t="e">
        <f t="shared" si="9"/>
        <v>#N/A</v>
      </c>
      <c r="AF56" s="21" t="e">
        <f t="shared" si="10"/>
        <v>#N/A</v>
      </c>
      <c r="AG56" s="21" t="e">
        <f t="shared" si="11"/>
        <v>#N/A</v>
      </c>
      <c r="AH56" s="11" t="e">
        <f t="shared" si="12"/>
        <v>#N/A</v>
      </c>
      <c r="AI56">
        <v>2.5000000000000001E-2</v>
      </c>
      <c r="AJ56">
        <v>-2.5000000000000001E-2</v>
      </c>
      <c r="AK56">
        <v>1.5E-3</v>
      </c>
      <c r="AL56">
        <v>-1.5E-3</v>
      </c>
      <c r="AM56">
        <v>1.5E-3</v>
      </c>
      <c r="AN56">
        <v>-1.5E-3</v>
      </c>
      <c r="AO56" s="16">
        <v>2.5000000000000001E-2</v>
      </c>
      <c r="AP56" s="16">
        <v>-2.5000000000000001E-2</v>
      </c>
      <c r="AQ56">
        <v>1.4999999999999999E-2</v>
      </c>
      <c r="AR56">
        <v>-1.4999999999999999E-2</v>
      </c>
      <c r="AS56">
        <v>1E-3</v>
      </c>
      <c r="AT56">
        <v>-1E-3</v>
      </c>
      <c r="AU56">
        <v>1E-3</v>
      </c>
      <c r="AV56">
        <v>-1E-3</v>
      </c>
      <c r="AW56" s="16">
        <v>1.4999999999999999E-2</v>
      </c>
      <c r="AX56" s="16">
        <v>-1.4999999999999999E-2</v>
      </c>
      <c r="JP56">
        <v>12.849506578947368</v>
      </c>
    </row>
    <row r="57" spans="6:279" customFormat="1">
      <c r="F57" s="17" t="str">
        <f t="shared" si="0"/>
        <v/>
      </c>
      <c r="G57" s="9"/>
      <c r="H57" s="2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22" t="e">
        <f t="shared" si="1"/>
        <v>#N/A</v>
      </c>
      <c r="X57" s="21" t="e">
        <f t="shared" si="2"/>
        <v>#N/A</v>
      </c>
      <c r="Y57" s="21" t="e">
        <f t="shared" si="3"/>
        <v>#N/A</v>
      </c>
      <c r="Z57" s="11" t="e">
        <f t="shared" si="4"/>
        <v>#N/A</v>
      </c>
      <c r="AA57" s="22" t="e">
        <f t="shared" si="5"/>
        <v>#N/A</v>
      </c>
      <c r="AB57" s="21" t="e">
        <f t="shared" si="6"/>
        <v>#N/A</v>
      </c>
      <c r="AC57" s="21" t="e">
        <f t="shared" si="7"/>
        <v>#N/A</v>
      </c>
      <c r="AD57" s="11" t="e">
        <f t="shared" si="8"/>
        <v>#N/A</v>
      </c>
      <c r="AE57" s="22" t="e">
        <f t="shared" si="9"/>
        <v>#N/A</v>
      </c>
      <c r="AF57" s="21" t="e">
        <f t="shared" si="10"/>
        <v>#N/A</v>
      </c>
      <c r="AG57" s="21" t="e">
        <f t="shared" si="11"/>
        <v>#N/A</v>
      </c>
      <c r="AH57" s="11" t="e">
        <f t="shared" si="12"/>
        <v>#N/A</v>
      </c>
      <c r="AI57">
        <v>2.5000000000000001E-2</v>
      </c>
      <c r="AJ57">
        <v>-2.5000000000000001E-2</v>
      </c>
      <c r="AK57">
        <v>1.5E-3</v>
      </c>
      <c r="AL57">
        <v>-1.5E-3</v>
      </c>
      <c r="AM57">
        <v>1.5E-3</v>
      </c>
      <c r="AN57">
        <v>-1.5E-3</v>
      </c>
      <c r="AO57" s="16">
        <v>2.5000000000000001E-2</v>
      </c>
      <c r="AP57" s="16">
        <v>-2.5000000000000001E-2</v>
      </c>
      <c r="AQ57">
        <v>1.4999999999999999E-2</v>
      </c>
      <c r="AR57">
        <v>-1.4999999999999999E-2</v>
      </c>
      <c r="AS57">
        <v>1E-3</v>
      </c>
      <c r="AT57">
        <v>-1E-3</v>
      </c>
      <c r="AU57">
        <v>1E-3</v>
      </c>
      <c r="AV57">
        <v>-1E-3</v>
      </c>
      <c r="AW57" s="16">
        <v>1.4999999999999999E-2</v>
      </c>
      <c r="AX57" s="16">
        <v>-1.4999999999999999E-2</v>
      </c>
      <c r="JP57">
        <v>38.548519736842103</v>
      </c>
      <c r="JR57">
        <v>12.849506578947368</v>
      </c>
      <c r="JS57">
        <v>12.849506578947368</v>
      </c>
    </row>
    <row r="58" spans="6:279" customFormat="1">
      <c r="F58" s="17" t="str">
        <f t="shared" si="0"/>
        <v/>
      </c>
      <c r="G58" s="9"/>
      <c r="H58" s="2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22" t="e">
        <f t="shared" si="1"/>
        <v>#N/A</v>
      </c>
      <c r="X58" s="21" t="e">
        <f t="shared" si="2"/>
        <v>#N/A</v>
      </c>
      <c r="Y58" s="21" t="e">
        <f t="shared" si="3"/>
        <v>#N/A</v>
      </c>
      <c r="Z58" s="11" t="e">
        <f t="shared" si="4"/>
        <v>#N/A</v>
      </c>
      <c r="AA58" s="22" t="e">
        <f t="shared" si="5"/>
        <v>#N/A</v>
      </c>
      <c r="AB58" s="21" t="e">
        <f t="shared" si="6"/>
        <v>#N/A</v>
      </c>
      <c r="AC58" s="21" t="e">
        <f t="shared" si="7"/>
        <v>#N/A</v>
      </c>
      <c r="AD58" s="11" t="e">
        <f t="shared" si="8"/>
        <v>#N/A</v>
      </c>
      <c r="AE58" s="22" t="e">
        <f t="shared" si="9"/>
        <v>#N/A</v>
      </c>
      <c r="AF58" s="21" t="e">
        <f t="shared" si="10"/>
        <v>#N/A</v>
      </c>
      <c r="AG58" s="21" t="e">
        <f t="shared" si="11"/>
        <v>#N/A</v>
      </c>
      <c r="AH58" s="11" t="e">
        <f t="shared" si="12"/>
        <v>#N/A</v>
      </c>
      <c r="AI58">
        <v>2.5000000000000001E-2</v>
      </c>
      <c r="AJ58">
        <v>-2.5000000000000001E-2</v>
      </c>
      <c r="AK58">
        <v>1.5E-3</v>
      </c>
      <c r="AL58">
        <v>-1.5E-3</v>
      </c>
      <c r="AM58">
        <v>1.5E-3</v>
      </c>
      <c r="AN58">
        <v>-1.5E-3</v>
      </c>
      <c r="AO58" s="16">
        <v>2.5000000000000001E-2</v>
      </c>
      <c r="AP58" s="16">
        <v>-2.5000000000000001E-2</v>
      </c>
      <c r="AQ58">
        <v>1.4999999999999999E-2</v>
      </c>
      <c r="AR58">
        <v>-1.4999999999999999E-2</v>
      </c>
      <c r="AS58">
        <v>1E-3</v>
      </c>
      <c r="AT58">
        <v>-1E-3</v>
      </c>
      <c r="AU58">
        <v>1E-3</v>
      </c>
      <c r="AV58">
        <v>-1E-3</v>
      </c>
      <c r="AW58" s="16">
        <v>1.4999999999999999E-2</v>
      </c>
      <c r="AX58" s="16">
        <v>-1.4999999999999999E-2</v>
      </c>
    </row>
    <row r="59" spans="6:279" customFormat="1">
      <c r="F59" s="17" t="str">
        <f t="shared" si="0"/>
        <v/>
      </c>
      <c r="G59" s="9"/>
      <c r="H59" s="2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22" t="e">
        <f t="shared" si="1"/>
        <v>#N/A</v>
      </c>
      <c r="X59" s="21" t="e">
        <f t="shared" si="2"/>
        <v>#N/A</v>
      </c>
      <c r="Y59" s="21" t="e">
        <f t="shared" si="3"/>
        <v>#N/A</v>
      </c>
      <c r="Z59" s="11" t="e">
        <f t="shared" si="4"/>
        <v>#N/A</v>
      </c>
      <c r="AA59" s="22" t="e">
        <f t="shared" si="5"/>
        <v>#N/A</v>
      </c>
      <c r="AB59" s="21" t="e">
        <f t="shared" si="6"/>
        <v>#N/A</v>
      </c>
      <c r="AC59" s="21" t="e">
        <f t="shared" si="7"/>
        <v>#N/A</v>
      </c>
      <c r="AD59" s="11" t="e">
        <f t="shared" si="8"/>
        <v>#N/A</v>
      </c>
      <c r="AE59" s="22" t="e">
        <f t="shared" si="9"/>
        <v>#N/A</v>
      </c>
      <c r="AF59" s="21" t="e">
        <f t="shared" si="10"/>
        <v>#N/A</v>
      </c>
      <c r="AG59" s="21" t="e">
        <f t="shared" si="11"/>
        <v>#N/A</v>
      </c>
      <c r="AH59" s="11" t="e">
        <f t="shared" si="12"/>
        <v>#N/A</v>
      </c>
      <c r="AI59">
        <v>2.5000000000000001E-2</v>
      </c>
      <c r="AJ59">
        <v>-2.5000000000000001E-2</v>
      </c>
      <c r="AK59">
        <v>1.5E-3</v>
      </c>
      <c r="AL59">
        <v>-1.5E-3</v>
      </c>
      <c r="AM59">
        <v>1.5E-3</v>
      </c>
      <c r="AN59">
        <v>-1.5E-3</v>
      </c>
      <c r="AO59" s="16">
        <v>2.5000000000000001E-2</v>
      </c>
      <c r="AP59" s="16">
        <v>-2.5000000000000001E-2</v>
      </c>
      <c r="AQ59">
        <v>1.4999999999999999E-2</v>
      </c>
      <c r="AR59">
        <v>-1.4999999999999999E-2</v>
      </c>
      <c r="AS59">
        <v>1E-3</v>
      </c>
      <c r="AT59">
        <v>-1E-3</v>
      </c>
      <c r="AU59">
        <v>1E-3</v>
      </c>
      <c r="AV59">
        <v>-1E-3</v>
      </c>
      <c r="AW59" s="16">
        <v>1.4999999999999999E-2</v>
      </c>
      <c r="AX59" s="16">
        <v>-1.4999999999999999E-2</v>
      </c>
      <c r="JQ59">
        <v>12.849506578947368</v>
      </c>
      <c r="JR59">
        <v>12.849506578947368</v>
      </c>
      <c r="JS59">
        <v>38.548519736842103</v>
      </c>
    </row>
    <row r="60" spans="6:279" customFormat="1">
      <c r="F60" s="17" t="str">
        <f t="shared" si="0"/>
        <v/>
      </c>
      <c r="G60" s="9"/>
      <c r="H60" s="2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22" t="e">
        <f t="shared" si="1"/>
        <v>#N/A</v>
      </c>
      <c r="X60" s="21" t="e">
        <f t="shared" si="2"/>
        <v>#N/A</v>
      </c>
      <c r="Y60" s="21" t="e">
        <f t="shared" si="3"/>
        <v>#N/A</v>
      </c>
      <c r="Z60" s="11" t="e">
        <f t="shared" si="4"/>
        <v>#N/A</v>
      </c>
      <c r="AA60" s="22" t="e">
        <f t="shared" si="5"/>
        <v>#N/A</v>
      </c>
      <c r="AB60" s="21" t="e">
        <f t="shared" si="6"/>
        <v>#N/A</v>
      </c>
      <c r="AC60" s="21" t="e">
        <f t="shared" si="7"/>
        <v>#N/A</v>
      </c>
      <c r="AD60" s="11" t="e">
        <f t="shared" si="8"/>
        <v>#N/A</v>
      </c>
      <c r="AE60" s="22" t="e">
        <f t="shared" si="9"/>
        <v>#N/A</v>
      </c>
      <c r="AF60" s="21" t="e">
        <f t="shared" si="10"/>
        <v>#N/A</v>
      </c>
      <c r="AG60" s="21" t="e">
        <f t="shared" si="11"/>
        <v>#N/A</v>
      </c>
      <c r="AH60" s="11" t="e">
        <f t="shared" si="12"/>
        <v>#N/A</v>
      </c>
      <c r="AI60">
        <v>2.5000000000000001E-2</v>
      </c>
      <c r="AJ60">
        <v>-2.5000000000000001E-2</v>
      </c>
      <c r="AK60">
        <v>1.5E-3</v>
      </c>
      <c r="AL60">
        <v>-1.5E-3</v>
      </c>
      <c r="AM60">
        <v>1.5E-3</v>
      </c>
      <c r="AN60">
        <v>-1.5E-3</v>
      </c>
      <c r="AO60" s="16">
        <v>2.5000000000000001E-2</v>
      </c>
      <c r="AP60" s="16">
        <v>-2.5000000000000001E-2</v>
      </c>
      <c r="AQ60">
        <v>1.4999999999999999E-2</v>
      </c>
      <c r="AR60">
        <v>-1.4999999999999999E-2</v>
      </c>
      <c r="AS60">
        <v>1E-3</v>
      </c>
      <c r="AT60">
        <v>-1E-3</v>
      </c>
      <c r="AU60">
        <v>1E-3</v>
      </c>
      <c r="AV60">
        <v>-1E-3</v>
      </c>
      <c r="AW60" s="16">
        <v>1.4999999999999999E-2</v>
      </c>
      <c r="AX60" s="16">
        <v>-1.4999999999999999E-2</v>
      </c>
    </row>
    <row r="61" spans="6:279" customFormat="1">
      <c r="F61" s="17" t="str">
        <f t="shared" si="0"/>
        <v/>
      </c>
      <c r="G61" s="9"/>
      <c r="H61" s="2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22" t="e">
        <f t="shared" si="1"/>
        <v>#N/A</v>
      </c>
      <c r="X61" s="21" t="e">
        <f t="shared" si="2"/>
        <v>#N/A</v>
      </c>
      <c r="Y61" s="21" t="e">
        <f t="shared" si="3"/>
        <v>#N/A</v>
      </c>
      <c r="Z61" s="11" t="e">
        <f t="shared" si="4"/>
        <v>#N/A</v>
      </c>
      <c r="AA61" s="22" t="e">
        <f t="shared" si="5"/>
        <v>#N/A</v>
      </c>
      <c r="AB61" s="21" t="e">
        <f t="shared" si="6"/>
        <v>#N/A</v>
      </c>
      <c r="AC61" s="21" t="e">
        <f t="shared" si="7"/>
        <v>#N/A</v>
      </c>
      <c r="AD61" s="11" t="e">
        <f t="shared" si="8"/>
        <v>#N/A</v>
      </c>
      <c r="AE61" s="22" t="e">
        <f t="shared" si="9"/>
        <v>#N/A</v>
      </c>
      <c r="AF61" s="21" t="e">
        <f t="shared" si="10"/>
        <v>#N/A</v>
      </c>
      <c r="AG61" s="21" t="e">
        <f t="shared" si="11"/>
        <v>#N/A</v>
      </c>
      <c r="AH61" s="11" t="e">
        <f t="shared" si="12"/>
        <v>#N/A</v>
      </c>
      <c r="AI61">
        <v>2.5000000000000001E-2</v>
      </c>
      <c r="AJ61">
        <v>-2.5000000000000001E-2</v>
      </c>
      <c r="AK61">
        <v>1.5E-3</v>
      </c>
      <c r="AL61">
        <v>-1.5E-3</v>
      </c>
      <c r="AM61">
        <v>1.5E-3</v>
      </c>
      <c r="AN61">
        <v>-1.5E-3</v>
      </c>
      <c r="AO61" s="16">
        <v>2.5000000000000001E-2</v>
      </c>
      <c r="AP61" s="16">
        <v>-2.5000000000000001E-2</v>
      </c>
      <c r="AQ61">
        <v>1.4999999999999999E-2</v>
      </c>
      <c r="AR61">
        <v>-1.4999999999999999E-2</v>
      </c>
      <c r="AS61">
        <v>1E-3</v>
      </c>
      <c r="AT61">
        <v>-1E-3</v>
      </c>
      <c r="AU61">
        <v>1E-3</v>
      </c>
      <c r="AV61">
        <v>-1E-3</v>
      </c>
      <c r="AW61" s="16">
        <v>1.4999999999999999E-2</v>
      </c>
      <c r="AX61" s="16">
        <v>-1.4999999999999999E-2</v>
      </c>
      <c r="JS61">
        <v>12.849506578947368</v>
      </c>
    </row>
    <row r="62" spans="6:279" customFormat="1">
      <c r="F62" s="17" t="str">
        <f t="shared" si="0"/>
        <v/>
      </c>
      <c r="G62" s="9"/>
      <c r="H62" s="2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22" t="e">
        <f t="shared" si="1"/>
        <v>#N/A</v>
      </c>
      <c r="X62" s="21" t="e">
        <f t="shared" si="2"/>
        <v>#N/A</v>
      </c>
      <c r="Y62" s="21" t="e">
        <f t="shared" si="3"/>
        <v>#N/A</v>
      </c>
      <c r="Z62" s="11" t="e">
        <f t="shared" si="4"/>
        <v>#N/A</v>
      </c>
      <c r="AA62" s="22" t="e">
        <f t="shared" si="5"/>
        <v>#N/A</v>
      </c>
      <c r="AB62" s="21" t="e">
        <f t="shared" si="6"/>
        <v>#N/A</v>
      </c>
      <c r="AC62" s="21" t="e">
        <f t="shared" si="7"/>
        <v>#N/A</v>
      </c>
      <c r="AD62" s="11" t="e">
        <f t="shared" si="8"/>
        <v>#N/A</v>
      </c>
      <c r="AE62" s="22" t="e">
        <f t="shared" si="9"/>
        <v>#N/A</v>
      </c>
      <c r="AF62" s="21" t="e">
        <f t="shared" si="10"/>
        <v>#N/A</v>
      </c>
      <c r="AG62" s="21" t="e">
        <f t="shared" si="11"/>
        <v>#N/A</v>
      </c>
      <c r="AH62" s="11" t="e">
        <f t="shared" si="12"/>
        <v>#N/A</v>
      </c>
      <c r="AI62">
        <v>2.5000000000000001E-2</v>
      </c>
      <c r="AJ62">
        <v>-2.5000000000000001E-2</v>
      </c>
      <c r="AK62">
        <v>1.5E-3</v>
      </c>
      <c r="AL62">
        <v>-1.5E-3</v>
      </c>
      <c r="AM62">
        <v>1.5E-3</v>
      </c>
      <c r="AN62">
        <v>-1.5E-3</v>
      </c>
      <c r="AO62" s="16">
        <v>2.5000000000000001E-2</v>
      </c>
      <c r="AP62" s="16">
        <v>-2.5000000000000001E-2</v>
      </c>
      <c r="AQ62">
        <v>1.4999999999999999E-2</v>
      </c>
      <c r="AR62">
        <v>-1.4999999999999999E-2</v>
      </c>
      <c r="AS62">
        <v>1E-3</v>
      </c>
      <c r="AT62">
        <v>-1E-3</v>
      </c>
      <c r="AU62">
        <v>1E-3</v>
      </c>
      <c r="AV62">
        <v>-1E-3</v>
      </c>
      <c r="AW62" s="16">
        <v>1.4999999999999999E-2</v>
      </c>
      <c r="AX62" s="16">
        <v>-1.4999999999999999E-2</v>
      </c>
      <c r="JS62">
        <v>12.849506578947368</v>
      </c>
    </row>
    <row r="63" spans="6:279" customFormat="1">
      <c r="F63" s="17" t="str">
        <f t="shared" si="0"/>
        <v/>
      </c>
      <c r="G63" s="9"/>
      <c r="H63" s="2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22" t="e">
        <f t="shared" si="1"/>
        <v>#N/A</v>
      </c>
      <c r="X63" s="21" t="e">
        <f t="shared" si="2"/>
        <v>#N/A</v>
      </c>
      <c r="Y63" s="21" t="e">
        <f t="shared" si="3"/>
        <v>#N/A</v>
      </c>
      <c r="Z63" s="11" t="e">
        <f t="shared" si="4"/>
        <v>#N/A</v>
      </c>
      <c r="AA63" s="22" t="e">
        <f t="shared" si="5"/>
        <v>#N/A</v>
      </c>
      <c r="AB63" s="21" t="e">
        <f t="shared" si="6"/>
        <v>#N/A</v>
      </c>
      <c r="AC63" s="21" t="e">
        <f t="shared" si="7"/>
        <v>#N/A</v>
      </c>
      <c r="AD63" s="11" t="e">
        <f t="shared" si="8"/>
        <v>#N/A</v>
      </c>
      <c r="AE63" s="22" t="e">
        <f t="shared" si="9"/>
        <v>#N/A</v>
      </c>
      <c r="AF63" s="21" t="e">
        <f t="shared" si="10"/>
        <v>#N/A</v>
      </c>
      <c r="AG63" s="21" t="e">
        <f t="shared" si="11"/>
        <v>#N/A</v>
      </c>
      <c r="AH63" s="11" t="e">
        <f t="shared" si="12"/>
        <v>#N/A</v>
      </c>
      <c r="AI63">
        <v>2.5000000000000001E-2</v>
      </c>
      <c r="AJ63">
        <v>-2.5000000000000001E-2</v>
      </c>
      <c r="AK63">
        <v>1.5E-3</v>
      </c>
      <c r="AL63">
        <v>-1.5E-3</v>
      </c>
      <c r="AM63">
        <v>1.5E-3</v>
      </c>
      <c r="AN63">
        <v>-1.5E-3</v>
      </c>
      <c r="AO63" s="16">
        <v>2.5000000000000001E-2</v>
      </c>
      <c r="AP63" s="16">
        <v>-2.5000000000000001E-2</v>
      </c>
      <c r="AQ63">
        <v>1.4999999999999999E-2</v>
      </c>
      <c r="AR63">
        <v>-1.4999999999999999E-2</v>
      </c>
      <c r="AS63">
        <v>1E-3</v>
      </c>
      <c r="AT63">
        <v>-1E-3</v>
      </c>
      <c r="AU63">
        <v>1E-3</v>
      </c>
      <c r="AV63">
        <v>-1E-3</v>
      </c>
      <c r="AW63" s="16">
        <v>1.4999999999999999E-2</v>
      </c>
      <c r="AX63" s="16">
        <v>-1.4999999999999999E-2</v>
      </c>
      <c r="JR63">
        <v>12.849506578947368</v>
      </c>
    </row>
    <row r="64" spans="6:279" customFormat="1">
      <c r="F64" s="17" t="str">
        <f t="shared" si="0"/>
        <v/>
      </c>
      <c r="G64" s="9"/>
      <c r="H64" s="2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22" t="e">
        <f t="shared" si="1"/>
        <v>#N/A</v>
      </c>
      <c r="X64" s="21" t="e">
        <f t="shared" si="2"/>
        <v>#N/A</v>
      </c>
      <c r="Y64" s="21" t="e">
        <f t="shared" si="3"/>
        <v>#N/A</v>
      </c>
      <c r="Z64" s="11" t="e">
        <f t="shared" si="4"/>
        <v>#N/A</v>
      </c>
      <c r="AA64" s="22" t="e">
        <f t="shared" si="5"/>
        <v>#N/A</v>
      </c>
      <c r="AB64" s="21" t="e">
        <f t="shared" si="6"/>
        <v>#N/A</v>
      </c>
      <c r="AC64" s="21" t="e">
        <f t="shared" si="7"/>
        <v>#N/A</v>
      </c>
      <c r="AD64" s="11" t="e">
        <f t="shared" si="8"/>
        <v>#N/A</v>
      </c>
      <c r="AE64" s="22" t="e">
        <f t="shared" si="9"/>
        <v>#N/A</v>
      </c>
      <c r="AF64" s="21" t="e">
        <f t="shared" si="10"/>
        <v>#N/A</v>
      </c>
      <c r="AG64" s="21" t="e">
        <f t="shared" si="11"/>
        <v>#N/A</v>
      </c>
      <c r="AH64" s="11" t="e">
        <f t="shared" si="12"/>
        <v>#N/A</v>
      </c>
      <c r="AI64">
        <v>2.5000000000000001E-2</v>
      </c>
      <c r="AJ64">
        <v>-2.5000000000000001E-2</v>
      </c>
      <c r="AK64">
        <v>1.5E-3</v>
      </c>
      <c r="AL64">
        <v>-1.5E-3</v>
      </c>
      <c r="AM64">
        <v>1.5E-3</v>
      </c>
      <c r="AN64">
        <v>-1.5E-3</v>
      </c>
      <c r="AO64" s="16">
        <v>2.5000000000000001E-2</v>
      </c>
      <c r="AP64" s="16">
        <v>-2.5000000000000001E-2</v>
      </c>
      <c r="AQ64">
        <v>1.4999999999999999E-2</v>
      </c>
      <c r="AR64">
        <v>-1.4999999999999999E-2</v>
      </c>
      <c r="AS64">
        <v>1E-3</v>
      </c>
      <c r="AT64">
        <v>-1E-3</v>
      </c>
      <c r="AU64">
        <v>1E-3</v>
      </c>
      <c r="AV64">
        <v>-1E-3</v>
      </c>
      <c r="AW64" s="16">
        <v>1.4999999999999999E-2</v>
      </c>
      <c r="AX64" s="16">
        <v>-1.4999999999999999E-2</v>
      </c>
    </row>
    <row r="65" spans="6:278" customFormat="1">
      <c r="F65" s="17" t="str">
        <f t="shared" si="0"/>
        <v/>
      </c>
      <c r="G65" s="9"/>
      <c r="H65" s="2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22" t="e">
        <f t="shared" si="1"/>
        <v>#N/A</v>
      </c>
      <c r="X65" s="21" t="e">
        <f t="shared" si="2"/>
        <v>#N/A</v>
      </c>
      <c r="Y65" s="21" t="e">
        <f t="shared" si="3"/>
        <v>#N/A</v>
      </c>
      <c r="Z65" s="11" t="e">
        <f t="shared" si="4"/>
        <v>#N/A</v>
      </c>
      <c r="AA65" s="22" t="e">
        <f t="shared" si="5"/>
        <v>#N/A</v>
      </c>
      <c r="AB65" s="21" t="e">
        <f t="shared" si="6"/>
        <v>#N/A</v>
      </c>
      <c r="AC65" s="21" t="e">
        <f t="shared" si="7"/>
        <v>#N/A</v>
      </c>
      <c r="AD65" s="11" t="e">
        <f t="shared" si="8"/>
        <v>#N/A</v>
      </c>
      <c r="AE65" s="22" t="e">
        <f t="shared" si="9"/>
        <v>#N/A</v>
      </c>
      <c r="AF65" s="21" t="e">
        <f t="shared" si="10"/>
        <v>#N/A</v>
      </c>
      <c r="AG65" s="21" t="e">
        <f t="shared" si="11"/>
        <v>#N/A</v>
      </c>
      <c r="AH65" s="11" t="e">
        <f t="shared" si="12"/>
        <v>#N/A</v>
      </c>
      <c r="AI65">
        <v>2.5000000000000001E-2</v>
      </c>
      <c r="AJ65">
        <v>-2.5000000000000001E-2</v>
      </c>
      <c r="AK65">
        <v>1.5E-3</v>
      </c>
      <c r="AL65">
        <v>-1.5E-3</v>
      </c>
      <c r="AM65">
        <v>1.5E-3</v>
      </c>
      <c r="AN65">
        <v>-1.5E-3</v>
      </c>
      <c r="AO65" s="16">
        <v>2.5000000000000001E-2</v>
      </c>
      <c r="AP65" s="16">
        <v>-2.5000000000000001E-2</v>
      </c>
      <c r="AQ65">
        <v>1.4999999999999999E-2</v>
      </c>
      <c r="AR65">
        <v>-1.4999999999999999E-2</v>
      </c>
      <c r="AS65">
        <v>1E-3</v>
      </c>
      <c r="AT65">
        <v>-1E-3</v>
      </c>
      <c r="AU65">
        <v>1E-3</v>
      </c>
      <c r="AV65">
        <v>-1E-3</v>
      </c>
      <c r="AW65" s="16">
        <v>1.4999999999999999E-2</v>
      </c>
      <c r="AX65" s="16">
        <v>-1.4999999999999999E-2</v>
      </c>
      <c r="JR65">
        <v>12.849506578947368</v>
      </c>
    </row>
    <row r="66" spans="6:278" customFormat="1">
      <c r="F66" s="17" t="str">
        <f t="shared" si="0"/>
        <v/>
      </c>
      <c r="G66" s="9"/>
      <c r="H66" s="2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22" t="e">
        <f t="shared" si="1"/>
        <v>#N/A</v>
      </c>
      <c r="X66" s="21" t="e">
        <f t="shared" si="2"/>
        <v>#N/A</v>
      </c>
      <c r="Y66" s="21" t="e">
        <f t="shared" si="3"/>
        <v>#N/A</v>
      </c>
      <c r="Z66" s="11" t="e">
        <f t="shared" si="4"/>
        <v>#N/A</v>
      </c>
      <c r="AA66" s="22" t="e">
        <f t="shared" si="5"/>
        <v>#N/A</v>
      </c>
      <c r="AB66" s="21" t="e">
        <f t="shared" si="6"/>
        <v>#N/A</v>
      </c>
      <c r="AC66" s="21" t="e">
        <f t="shared" si="7"/>
        <v>#N/A</v>
      </c>
      <c r="AD66" s="11" t="e">
        <f t="shared" si="8"/>
        <v>#N/A</v>
      </c>
      <c r="AE66" s="22" t="e">
        <f t="shared" si="9"/>
        <v>#N/A</v>
      </c>
      <c r="AF66" s="21" t="e">
        <f t="shared" si="10"/>
        <v>#N/A</v>
      </c>
      <c r="AG66" s="21" t="e">
        <f t="shared" si="11"/>
        <v>#N/A</v>
      </c>
      <c r="AH66" s="11" t="e">
        <f t="shared" si="12"/>
        <v>#N/A</v>
      </c>
      <c r="AI66">
        <v>2.5000000000000001E-2</v>
      </c>
      <c r="AJ66">
        <v>-2.5000000000000001E-2</v>
      </c>
      <c r="AK66">
        <v>1.5E-3</v>
      </c>
      <c r="AL66">
        <v>-1.5E-3</v>
      </c>
      <c r="AM66">
        <v>1.5E-3</v>
      </c>
      <c r="AN66">
        <v>-1.5E-3</v>
      </c>
      <c r="AO66" s="16">
        <v>2.5000000000000001E-2</v>
      </c>
      <c r="AP66" s="16">
        <v>-2.5000000000000001E-2</v>
      </c>
      <c r="AQ66">
        <v>1.4999999999999999E-2</v>
      </c>
      <c r="AR66">
        <v>-1.4999999999999999E-2</v>
      </c>
      <c r="AS66">
        <v>1E-3</v>
      </c>
      <c r="AT66">
        <v>-1E-3</v>
      </c>
      <c r="AU66">
        <v>1E-3</v>
      </c>
      <c r="AV66">
        <v>-1E-3</v>
      </c>
      <c r="AW66" s="16">
        <v>1.4999999999999999E-2</v>
      </c>
      <c r="AX66" s="16">
        <v>-1.4999999999999999E-2</v>
      </c>
      <c r="JR66">
        <v>24.187306501547987</v>
      </c>
    </row>
    <row r="67" spans="6:278" customFormat="1">
      <c r="F67" s="17" t="str">
        <f t="shared" si="0"/>
        <v/>
      </c>
      <c r="G67" s="9"/>
      <c r="H67" s="2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22" t="e">
        <f t="shared" si="1"/>
        <v>#N/A</v>
      </c>
      <c r="X67" s="21" t="e">
        <f t="shared" si="2"/>
        <v>#N/A</v>
      </c>
      <c r="Y67" s="21" t="e">
        <f t="shared" si="3"/>
        <v>#N/A</v>
      </c>
      <c r="Z67" s="11" t="e">
        <f t="shared" si="4"/>
        <v>#N/A</v>
      </c>
      <c r="AA67" s="22" t="e">
        <f t="shared" si="5"/>
        <v>#N/A</v>
      </c>
      <c r="AB67" s="21" t="e">
        <f t="shared" si="6"/>
        <v>#N/A</v>
      </c>
      <c r="AC67" s="21" t="e">
        <f t="shared" si="7"/>
        <v>#N/A</v>
      </c>
      <c r="AD67" s="11" t="e">
        <f t="shared" si="8"/>
        <v>#N/A</v>
      </c>
      <c r="AE67" s="22" t="e">
        <f t="shared" si="9"/>
        <v>#N/A</v>
      </c>
      <c r="AF67" s="21" t="e">
        <f t="shared" si="10"/>
        <v>#N/A</v>
      </c>
      <c r="AG67" s="21" t="e">
        <f t="shared" si="11"/>
        <v>#N/A</v>
      </c>
      <c r="AH67" s="11" t="e">
        <f t="shared" si="12"/>
        <v>#N/A</v>
      </c>
      <c r="AI67">
        <v>2.5000000000000001E-2</v>
      </c>
      <c r="AJ67">
        <v>-2.5000000000000001E-2</v>
      </c>
      <c r="AK67">
        <v>1.5E-3</v>
      </c>
      <c r="AL67">
        <v>-1.5E-3</v>
      </c>
      <c r="AM67">
        <v>1.5E-3</v>
      </c>
      <c r="AN67">
        <v>-1.5E-3</v>
      </c>
      <c r="AO67" s="16">
        <v>2.5000000000000001E-2</v>
      </c>
      <c r="AP67" s="16">
        <v>-2.5000000000000001E-2</v>
      </c>
      <c r="AQ67">
        <v>1.4999999999999999E-2</v>
      </c>
      <c r="AR67">
        <v>-1.4999999999999999E-2</v>
      </c>
      <c r="AS67">
        <v>1E-3</v>
      </c>
      <c r="AT67">
        <v>-1E-3</v>
      </c>
      <c r="AU67">
        <v>1E-3</v>
      </c>
      <c r="AV67">
        <v>-1E-3</v>
      </c>
      <c r="AW67" s="16">
        <v>1.4999999999999999E-2</v>
      </c>
      <c r="AX67" s="16">
        <v>-1.4999999999999999E-2</v>
      </c>
    </row>
    <row r="68" spans="6:278" customFormat="1">
      <c r="F68" s="17" t="str">
        <f t="shared" si="0"/>
        <v/>
      </c>
      <c r="G68" s="9"/>
      <c r="H68" s="2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22" t="e">
        <f t="shared" si="1"/>
        <v>#N/A</v>
      </c>
      <c r="X68" s="21" t="e">
        <f t="shared" si="2"/>
        <v>#N/A</v>
      </c>
      <c r="Y68" s="21" t="e">
        <f t="shared" si="3"/>
        <v>#N/A</v>
      </c>
      <c r="Z68" s="11" t="e">
        <f t="shared" si="4"/>
        <v>#N/A</v>
      </c>
      <c r="AA68" s="22" t="e">
        <f t="shared" si="5"/>
        <v>#N/A</v>
      </c>
      <c r="AB68" s="21" t="e">
        <f t="shared" si="6"/>
        <v>#N/A</v>
      </c>
      <c r="AC68" s="21" t="e">
        <f t="shared" si="7"/>
        <v>#N/A</v>
      </c>
      <c r="AD68" s="11" t="e">
        <f t="shared" si="8"/>
        <v>#N/A</v>
      </c>
      <c r="AE68" s="22" t="e">
        <f t="shared" si="9"/>
        <v>#N/A</v>
      </c>
      <c r="AF68" s="21" t="e">
        <f t="shared" si="10"/>
        <v>#N/A</v>
      </c>
      <c r="AG68" s="21" t="e">
        <f t="shared" si="11"/>
        <v>#N/A</v>
      </c>
      <c r="AH68" s="11" t="e">
        <f t="shared" si="12"/>
        <v>#N/A</v>
      </c>
      <c r="AI68">
        <v>2.5000000000000001E-2</v>
      </c>
      <c r="AJ68">
        <v>-2.5000000000000001E-2</v>
      </c>
      <c r="AK68">
        <v>1.5E-3</v>
      </c>
      <c r="AL68">
        <v>-1.5E-3</v>
      </c>
      <c r="AM68">
        <v>1.5E-3</v>
      </c>
      <c r="AN68">
        <v>-1.5E-3</v>
      </c>
      <c r="AO68" s="16">
        <v>2.5000000000000001E-2</v>
      </c>
      <c r="AP68" s="16">
        <v>-2.5000000000000001E-2</v>
      </c>
      <c r="AQ68">
        <v>1.4999999999999999E-2</v>
      </c>
      <c r="AR68">
        <v>-1.4999999999999999E-2</v>
      </c>
      <c r="AS68">
        <v>1E-3</v>
      </c>
      <c r="AT68">
        <v>-1E-3</v>
      </c>
      <c r="AU68">
        <v>1E-3</v>
      </c>
      <c r="AV68">
        <v>-1E-3</v>
      </c>
      <c r="AW68" s="16">
        <v>1.4999999999999999E-2</v>
      </c>
      <c r="AX68" s="16">
        <v>-1.4999999999999999E-2</v>
      </c>
    </row>
    <row r="69" spans="6:278" customFormat="1">
      <c r="F69" s="17" t="str">
        <f t="shared" si="0"/>
        <v/>
      </c>
      <c r="G69" s="9"/>
      <c r="H69" s="2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22" t="e">
        <f t="shared" si="1"/>
        <v>#N/A</v>
      </c>
      <c r="X69" s="21" t="e">
        <f t="shared" si="2"/>
        <v>#N/A</v>
      </c>
      <c r="Y69" s="21" t="e">
        <f t="shared" si="3"/>
        <v>#N/A</v>
      </c>
      <c r="Z69" s="11" t="e">
        <f t="shared" si="4"/>
        <v>#N/A</v>
      </c>
      <c r="AA69" s="22" t="e">
        <f t="shared" si="5"/>
        <v>#N/A</v>
      </c>
      <c r="AB69" s="21" t="e">
        <f t="shared" si="6"/>
        <v>#N/A</v>
      </c>
      <c r="AC69" s="21" t="e">
        <f t="shared" si="7"/>
        <v>#N/A</v>
      </c>
      <c r="AD69" s="11" t="e">
        <f t="shared" si="8"/>
        <v>#N/A</v>
      </c>
      <c r="AE69" s="22" t="e">
        <f t="shared" si="9"/>
        <v>#N/A</v>
      </c>
      <c r="AF69" s="21" t="e">
        <f t="shared" si="10"/>
        <v>#N/A</v>
      </c>
      <c r="AG69" s="21" t="e">
        <f t="shared" si="11"/>
        <v>#N/A</v>
      </c>
      <c r="AH69" s="11" t="e">
        <f t="shared" si="12"/>
        <v>#N/A</v>
      </c>
      <c r="AI69">
        <v>2.5000000000000001E-2</v>
      </c>
      <c r="AJ69">
        <v>-2.5000000000000001E-2</v>
      </c>
      <c r="AK69">
        <v>1.5E-3</v>
      </c>
      <c r="AL69">
        <v>-1.5E-3</v>
      </c>
      <c r="AM69">
        <v>1.5E-3</v>
      </c>
      <c r="AN69">
        <v>-1.5E-3</v>
      </c>
      <c r="AO69" s="16">
        <v>2.5000000000000001E-2</v>
      </c>
      <c r="AP69" s="16">
        <v>-2.5000000000000001E-2</v>
      </c>
      <c r="AQ69">
        <v>1.4999999999999999E-2</v>
      </c>
      <c r="AR69">
        <v>-1.4999999999999999E-2</v>
      </c>
      <c r="AS69">
        <v>1E-3</v>
      </c>
      <c r="AT69">
        <v>-1E-3</v>
      </c>
      <c r="AU69">
        <v>1E-3</v>
      </c>
      <c r="AV69">
        <v>-1E-3</v>
      </c>
      <c r="AW69" s="16">
        <v>1.4999999999999999E-2</v>
      </c>
      <c r="AX69" s="16">
        <v>-1.4999999999999999E-2</v>
      </c>
    </row>
    <row r="70" spans="6:278" customFormat="1">
      <c r="F70" s="17" t="str">
        <f t="shared" si="0"/>
        <v/>
      </c>
      <c r="G70" s="9"/>
      <c r="H70" s="2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22" t="e">
        <f t="shared" si="1"/>
        <v>#N/A</v>
      </c>
      <c r="X70" s="21" t="e">
        <f t="shared" si="2"/>
        <v>#N/A</v>
      </c>
      <c r="Y70" s="21" t="e">
        <f t="shared" si="3"/>
        <v>#N/A</v>
      </c>
      <c r="Z70" s="11" t="e">
        <f t="shared" si="4"/>
        <v>#N/A</v>
      </c>
      <c r="AA70" s="22" t="e">
        <f t="shared" si="5"/>
        <v>#N/A</v>
      </c>
      <c r="AB70" s="21" t="e">
        <f t="shared" si="6"/>
        <v>#N/A</v>
      </c>
      <c r="AC70" s="21" t="e">
        <f t="shared" si="7"/>
        <v>#N/A</v>
      </c>
      <c r="AD70" s="11" t="e">
        <f t="shared" si="8"/>
        <v>#N/A</v>
      </c>
      <c r="AE70" s="22" t="e">
        <f t="shared" si="9"/>
        <v>#N/A</v>
      </c>
      <c r="AF70" s="21" t="e">
        <f t="shared" si="10"/>
        <v>#N/A</v>
      </c>
      <c r="AG70" s="21" t="e">
        <f t="shared" si="11"/>
        <v>#N/A</v>
      </c>
      <c r="AH70" s="11" t="e">
        <f t="shared" si="12"/>
        <v>#N/A</v>
      </c>
      <c r="AI70">
        <v>2.5000000000000001E-2</v>
      </c>
      <c r="AJ70">
        <v>-2.5000000000000001E-2</v>
      </c>
      <c r="AK70">
        <v>1.5E-3</v>
      </c>
      <c r="AL70">
        <v>-1.5E-3</v>
      </c>
      <c r="AM70">
        <v>1.5E-3</v>
      </c>
      <c r="AN70">
        <v>-1.5E-3</v>
      </c>
      <c r="AO70" s="16">
        <v>2.5000000000000001E-2</v>
      </c>
      <c r="AP70" s="16">
        <v>-2.5000000000000001E-2</v>
      </c>
      <c r="AQ70">
        <v>1.4999999999999999E-2</v>
      </c>
      <c r="AR70">
        <v>-1.4999999999999999E-2</v>
      </c>
      <c r="AS70">
        <v>1E-3</v>
      </c>
      <c r="AT70">
        <v>-1E-3</v>
      </c>
      <c r="AU70">
        <v>1E-3</v>
      </c>
      <c r="AV70">
        <v>-1E-3</v>
      </c>
      <c r="AW70" s="16">
        <v>1.4999999999999999E-2</v>
      </c>
      <c r="AX70" s="16">
        <v>-1.4999999999999999E-2</v>
      </c>
    </row>
    <row r="71" spans="6:278" customFormat="1">
      <c r="F71" s="17" t="str">
        <f t="shared" ref="F71:F100" si="13">IF(G71="","",G71)</f>
        <v/>
      </c>
      <c r="G71" s="9"/>
      <c r="H71" s="2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22" t="e">
        <f t="shared" ref="W71:W100" si="14">IF(H71="",NA(),I71-VLOOKUP(H71,$A$6:$E$35,2,FALSE))</f>
        <v>#N/A</v>
      </c>
      <c r="X71" s="21" t="e">
        <f t="shared" ref="X71:X100" si="15">IF(H71="",NA(),J71-VLOOKUP(H71,$A$6:$E$35,3,FALSE))</f>
        <v>#N/A</v>
      </c>
      <c r="Y71" s="21" t="e">
        <f t="shared" ref="Y71:Y100" si="16">IF(H71="",NA(),K71-VLOOKUP(H71,$A$6:$E$35,4,FALSE))</f>
        <v>#N/A</v>
      </c>
      <c r="Z71" s="11" t="e">
        <f t="shared" ref="Z71:Z100" si="17">IF(H71="",NA(),L71/VLOOKUP(H71,$A$6:$E$35,5,FALSE)-1)</f>
        <v>#N/A</v>
      </c>
      <c r="AA71" s="22" t="e">
        <f t="shared" ref="AA71:AA100" si="18">IF(M71="",NA(),N71-VLOOKUP(M71,$A$6:$E$35,2,FALSE))</f>
        <v>#N/A</v>
      </c>
      <c r="AB71" s="21" t="e">
        <f t="shared" ref="AB71:AB100" si="19">IF(M71="",NA(),O71-VLOOKUP(M71,$A$6:$E$35,3,FALSE))</f>
        <v>#N/A</v>
      </c>
      <c r="AC71" s="21" t="e">
        <f t="shared" ref="AC71:AC100" si="20">IF(M71="",NA(),P71-VLOOKUP(M71,$A$6:$E$35,4,FALSE))</f>
        <v>#N/A</v>
      </c>
      <c r="AD71" s="11" t="e">
        <f t="shared" ref="AD71:AD100" si="21">IF(M71="",NA(),Q71/VLOOKUP(M71,$A$6:$E$35,5,FALSE)-1)</f>
        <v>#N/A</v>
      </c>
      <c r="AE71" s="22" t="e">
        <f t="shared" ref="AE71:AE100" si="22">IF(R71="",NA(),S71-VLOOKUP(R71,$A$6:$E$35,2,FALSE))</f>
        <v>#N/A</v>
      </c>
      <c r="AF71" s="21" t="e">
        <f t="shared" ref="AF71:AF100" si="23">IF(R71="",NA(),T71-VLOOKUP(R71,$A$6:$E$35,3,FALSE))</f>
        <v>#N/A</v>
      </c>
      <c r="AG71" s="21" t="e">
        <f t="shared" ref="AG71:AG100" si="24">IF(R71="",NA(),U71-VLOOKUP(R71,$A$6:$E$35,4,FALSE))</f>
        <v>#N/A</v>
      </c>
      <c r="AH71" s="11" t="e">
        <f t="shared" ref="AH71:AH100" si="25">IF(R71="",NA(),V71/VLOOKUP(R71,$A$6:$E$35,5,FALSE)-1)</f>
        <v>#N/A</v>
      </c>
      <c r="AI71">
        <v>2.5000000000000001E-2</v>
      </c>
      <c r="AJ71">
        <v>-2.5000000000000001E-2</v>
      </c>
      <c r="AK71">
        <v>1.5E-3</v>
      </c>
      <c r="AL71">
        <v>-1.5E-3</v>
      </c>
      <c r="AM71">
        <v>1.5E-3</v>
      </c>
      <c r="AN71">
        <v>-1.5E-3</v>
      </c>
      <c r="AO71" s="16">
        <v>2.5000000000000001E-2</v>
      </c>
      <c r="AP71" s="16">
        <v>-2.5000000000000001E-2</v>
      </c>
      <c r="AQ71">
        <v>1.4999999999999999E-2</v>
      </c>
      <c r="AR71">
        <v>-1.4999999999999999E-2</v>
      </c>
      <c r="AS71">
        <v>1E-3</v>
      </c>
      <c r="AT71">
        <v>-1E-3</v>
      </c>
      <c r="AU71">
        <v>1E-3</v>
      </c>
      <c r="AV71">
        <v>-1E-3</v>
      </c>
      <c r="AW71" s="16">
        <v>1.4999999999999999E-2</v>
      </c>
      <c r="AX71" s="16">
        <v>-1.4999999999999999E-2</v>
      </c>
    </row>
    <row r="72" spans="6:278" customFormat="1">
      <c r="F72" s="17" t="str">
        <f t="shared" si="13"/>
        <v/>
      </c>
      <c r="G72" s="9"/>
      <c r="H72" s="2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22" t="e">
        <f t="shared" si="14"/>
        <v>#N/A</v>
      </c>
      <c r="X72" s="21" t="e">
        <f t="shared" si="15"/>
        <v>#N/A</v>
      </c>
      <c r="Y72" s="21" t="e">
        <f t="shared" si="16"/>
        <v>#N/A</v>
      </c>
      <c r="Z72" s="11" t="e">
        <f t="shared" si="17"/>
        <v>#N/A</v>
      </c>
      <c r="AA72" s="22" t="e">
        <f t="shared" si="18"/>
        <v>#N/A</v>
      </c>
      <c r="AB72" s="21" t="e">
        <f t="shared" si="19"/>
        <v>#N/A</v>
      </c>
      <c r="AC72" s="21" t="e">
        <f t="shared" si="20"/>
        <v>#N/A</v>
      </c>
      <c r="AD72" s="11" t="e">
        <f t="shared" si="21"/>
        <v>#N/A</v>
      </c>
      <c r="AE72" s="22" t="e">
        <f t="shared" si="22"/>
        <v>#N/A</v>
      </c>
      <c r="AF72" s="21" t="e">
        <f t="shared" si="23"/>
        <v>#N/A</v>
      </c>
      <c r="AG72" s="21" t="e">
        <f t="shared" si="24"/>
        <v>#N/A</v>
      </c>
      <c r="AH72" s="11" t="e">
        <f t="shared" si="25"/>
        <v>#N/A</v>
      </c>
      <c r="AI72">
        <v>2.5000000000000001E-2</v>
      </c>
      <c r="AJ72">
        <v>-2.5000000000000001E-2</v>
      </c>
      <c r="AK72">
        <v>1.5E-3</v>
      </c>
      <c r="AL72">
        <v>-1.5E-3</v>
      </c>
      <c r="AM72">
        <v>1.5E-3</v>
      </c>
      <c r="AN72">
        <v>-1.5E-3</v>
      </c>
      <c r="AO72" s="16">
        <v>2.5000000000000001E-2</v>
      </c>
      <c r="AP72" s="16">
        <v>-2.5000000000000001E-2</v>
      </c>
      <c r="AQ72">
        <v>1.4999999999999999E-2</v>
      </c>
      <c r="AR72">
        <v>-1.4999999999999999E-2</v>
      </c>
      <c r="AS72">
        <v>1E-3</v>
      </c>
      <c r="AT72">
        <v>-1E-3</v>
      </c>
      <c r="AU72">
        <v>1E-3</v>
      </c>
      <c r="AV72">
        <v>-1E-3</v>
      </c>
      <c r="AW72" s="16">
        <v>1.4999999999999999E-2</v>
      </c>
      <c r="AX72" s="16">
        <v>-1.4999999999999999E-2</v>
      </c>
    </row>
    <row r="73" spans="6:278" customFormat="1">
      <c r="F73" s="17" t="str">
        <f t="shared" si="13"/>
        <v/>
      </c>
      <c r="G73" s="4"/>
      <c r="H73" s="2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22" t="e">
        <f t="shared" si="14"/>
        <v>#N/A</v>
      </c>
      <c r="X73" s="21" t="e">
        <f t="shared" si="15"/>
        <v>#N/A</v>
      </c>
      <c r="Y73" s="21" t="e">
        <f t="shared" si="16"/>
        <v>#N/A</v>
      </c>
      <c r="Z73" s="11" t="e">
        <f t="shared" si="17"/>
        <v>#N/A</v>
      </c>
      <c r="AA73" s="22" t="e">
        <f t="shared" si="18"/>
        <v>#N/A</v>
      </c>
      <c r="AB73" s="21" t="e">
        <f t="shared" si="19"/>
        <v>#N/A</v>
      </c>
      <c r="AC73" s="21" t="e">
        <f t="shared" si="20"/>
        <v>#N/A</v>
      </c>
      <c r="AD73" s="11" t="e">
        <f t="shared" si="21"/>
        <v>#N/A</v>
      </c>
      <c r="AE73" s="22" t="e">
        <f t="shared" si="22"/>
        <v>#N/A</v>
      </c>
      <c r="AF73" s="21" t="e">
        <f t="shared" si="23"/>
        <v>#N/A</v>
      </c>
      <c r="AG73" s="21" t="e">
        <f t="shared" si="24"/>
        <v>#N/A</v>
      </c>
      <c r="AH73" s="11" t="e">
        <f t="shared" si="25"/>
        <v>#N/A</v>
      </c>
      <c r="AI73">
        <v>2.5000000000000001E-2</v>
      </c>
      <c r="AJ73">
        <v>-2.5000000000000001E-2</v>
      </c>
      <c r="AK73">
        <v>1.5E-3</v>
      </c>
      <c r="AL73">
        <v>-1.5E-3</v>
      </c>
      <c r="AM73">
        <v>1.5E-3</v>
      </c>
      <c r="AN73">
        <v>-1.5E-3</v>
      </c>
      <c r="AO73" s="16">
        <v>2.5000000000000001E-2</v>
      </c>
      <c r="AP73" s="16">
        <v>-2.5000000000000001E-2</v>
      </c>
      <c r="AQ73">
        <v>1.4999999999999999E-2</v>
      </c>
      <c r="AR73">
        <v>-1.4999999999999999E-2</v>
      </c>
      <c r="AS73">
        <v>1E-3</v>
      </c>
      <c r="AT73">
        <v>-1E-3</v>
      </c>
      <c r="AU73">
        <v>1E-3</v>
      </c>
      <c r="AV73">
        <v>-1E-3</v>
      </c>
      <c r="AW73" s="16">
        <v>1.4999999999999999E-2</v>
      </c>
      <c r="AX73" s="16">
        <v>-1.4999999999999999E-2</v>
      </c>
    </row>
    <row r="74" spans="6:278" customFormat="1">
      <c r="F74" s="17" t="str">
        <f t="shared" si="13"/>
        <v/>
      </c>
      <c r="G74" s="4"/>
      <c r="H74" s="2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22" t="e">
        <f t="shared" si="14"/>
        <v>#N/A</v>
      </c>
      <c r="X74" s="21" t="e">
        <f t="shared" si="15"/>
        <v>#N/A</v>
      </c>
      <c r="Y74" s="21" t="e">
        <f t="shared" si="16"/>
        <v>#N/A</v>
      </c>
      <c r="Z74" s="11" t="e">
        <f t="shared" si="17"/>
        <v>#N/A</v>
      </c>
      <c r="AA74" s="22" t="e">
        <f t="shared" si="18"/>
        <v>#N/A</v>
      </c>
      <c r="AB74" s="21" t="e">
        <f t="shared" si="19"/>
        <v>#N/A</v>
      </c>
      <c r="AC74" s="21" t="e">
        <f t="shared" si="20"/>
        <v>#N/A</v>
      </c>
      <c r="AD74" s="11" t="e">
        <f t="shared" si="21"/>
        <v>#N/A</v>
      </c>
      <c r="AE74" s="22" t="e">
        <f t="shared" si="22"/>
        <v>#N/A</v>
      </c>
      <c r="AF74" s="21" t="e">
        <f t="shared" si="23"/>
        <v>#N/A</v>
      </c>
      <c r="AG74" s="21" t="e">
        <f t="shared" si="24"/>
        <v>#N/A</v>
      </c>
      <c r="AH74" s="11" t="e">
        <f t="shared" si="25"/>
        <v>#N/A</v>
      </c>
      <c r="AI74">
        <v>2.5000000000000001E-2</v>
      </c>
      <c r="AJ74">
        <v>-2.5000000000000001E-2</v>
      </c>
      <c r="AK74">
        <v>1.5E-3</v>
      </c>
      <c r="AL74">
        <v>-1.5E-3</v>
      </c>
      <c r="AM74">
        <v>1.5E-3</v>
      </c>
      <c r="AN74">
        <v>-1.5E-3</v>
      </c>
      <c r="AO74" s="16">
        <v>2.5000000000000001E-2</v>
      </c>
      <c r="AP74" s="16">
        <v>-2.5000000000000001E-2</v>
      </c>
      <c r="AQ74">
        <v>1.4999999999999999E-2</v>
      </c>
      <c r="AR74">
        <v>-1.4999999999999999E-2</v>
      </c>
      <c r="AS74">
        <v>1E-3</v>
      </c>
      <c r="AT74">
        <v>-1E-3</v>
      </c>
      <c r="AU74">
        <v>1E-3</v>
      </c>
      <c r="AV74">
        <v>-1E-3</v>
      </c>
      <c r="AW74" s="16">
        <v>1.4999999999999999E-2</v>
      </c>
      <c r="AX74" s="16">
        <v>-1.4999999999999999E-2</v>
      </c>
    </row>
    <row r="75" spans="6:278" customFormat="1">
      <c r="F75" s="17" t="str">
        <f t="shared" si="13"/>
        <v/>
      </c>
      <c r="G75" s="4"/>
      <c r="H75" s="2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22" t="e">
        <f t="shared" si="14"/>
        <v>#N/A</v>
      </c>
      <c r="X75" s="21" t="e">
        <f t="shared" si="15"/>
        <v>#N/A</v>
      </c>
      <c r="Y75" s="21" t="e">
        <f t="shared" si="16"/>
        <v>#N/A</v>
      </c>
      <c r="Z75" s="11" t="e">
        <f t="shared" si="17"/>
        <v>#N/A</v>
      </c>
      <c r="AA75" s="22" t="e">
        <f t="shared" si="18"/>
        <v>#N/A</v>
      </c>
      <c r="AB75" s="21" t="e">
        <f t="shared" si="19"/>
        <v>#N/A</v>
      </c>
      <c r="AC75" s="21" t="e">
        <f t="shared" si="20"/>
        <v>#N/A</v>
      </c>
      <c r="AD75" s="11" t="e">
        <f t="shared" si="21"/>
        <v>#N/A</v>
      </c>
      <c r="AE75" s="22" t="e">
        <f t="shared" si="22"/>
        <v>#N/A</v>
      </c>
      <c r="AF75" s="21" t="e">
        <f t="shared" si="23"/>
        <v>#N/A</v>
      </c>
      <c r="AG75" s="21" t="e">
        <f t="shared" si="24"/>
        <v>#N/A</v>
      </c>
      <c r="AH75" s="11" t="e">
        <f t="shared" si="25"/>
        <v>#N/A</v>
      </c>
      <c r="AI75">
        <v>2.5000000000000001E-2</v>
      </c>
      <c r="AJ75">
        <v>-2.5000000000000001E-2</v>
      </c>
      <c r="AK75">
        <v>1.5E-3</v>
      </c>
      <c r="AL75">
        <v>-1.5E-3</v>
      </c>
      <c r="AM75">
        <v>1.5E-3</v>
      </c>
      <c r="AN75">
        <v>-1.5E-3</v>
      </c>
      <c r="AO75" s="16">
        <v>2.5000000000000001E-2</v>
      </c>
      <c r="AP75" s="16">
        <v>-2.5000000000000001E-2</v>
      </c>
      <c r="AQ75">
        <v>1.4999999999999999E-2</v>
      </c>
      <c r="AR75">
        <v>-1.4999999999999999E-2</v>
      </c>
      <c r="AS75">
        <v>1E-3</v>
      </c>
      <c r="AT75">
        <v>-1E-3</v>
      </c>
      <c r="AU75">
        <v>1E-3</v>
      </c>
      <c r="AV75">
        <v>-1E-3</v>
      </c>
      <c r="AW75" s="16">
        <v>1.4999999999999999E-2</v>
      </c>
      <c r="AX75" s="16">
        <v>-1.4999999999999999E-2</v>
      </c>
    </row>
    <row r="76" spans="6:278" customFormat="1">
      <c r="F76" s="17" t="str">
        <f t="shared" si="13"/>
        <v/>
      </c>
      <c r="G76" s="4"/>
      <c r="H76" s="2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22" t="e">
        <f t="shared" si="14"/>
        <v>#N/A</v>
      </c>
      <c r="X76" s="21" t="e">
        <f t="shared" si="15"/>
        <v>#N/A</v>
      </c>
      <c r="Y76" s="21" t="e">
        <f t="shared" si="16"/>
        <v>#N/A</v>
      </c>
      <c r="Z76" s="11" t="e">
        <f t="shared" si="17"/>
        <v>#N/A</v>
      </c>
      <c r="AA76" s="22" t="e">
        <f t="shared" si="18"/>
        <v>#N/A</v>
      </c>
      <c r="AB76" s="21" t="e">
        <f t="shared" si="19"/>
        <v>#N/A</v>
      </c>
      <c r="AC76" s="21" t="e">
        <f t="shared" si="20"/>
        <v>#N/A</v>
      </c>
      <c r="AD76" s="11" t="e">
        <f t="shared" si="21"/>
        <v>#N/A</v>
      </c>
      <c r="AE76" s="22" t="e">
        <f t="shared" si="22"/>
        <v>#N/A</v>
      </c>
      <c r="AF76" s="21" t="e">
        <f t="shared" si="23"/>
        <v>#N/A</v>
      </c>
      <c r="AG76" s="21" t="e">
        <f t="shared" si="24"/>
        <v>#N/A</v>
      </c>
      <c r="AH76" s="11" t="e">
        <f t="shared" si="25"/>
        <v>#N/A</v>
      </c>
      <c r="AI76">
        <v>2.5000000000000001E-2</v>
      </c>
      <c r="AJ76">
        <v>-2.5000000000000001E-2</v>
      </c>
      <c r="AK76">
        <v>1.5E-3</v>
      </c>
      <c r="AL76">
        <v>-1.5E-3</v>
      </c>
      <c r="AM76">
        <v>1.5E-3</v>
      </c>
      <c r="AN76">
        <v>-1.5E-3</v>
      </c>
      <c r="AO76" s="16">
        <v>2.5000000000000001E-2</v>
      </c>
      <c r="AP76" s="16">
        <v>-2.5000000000000001E-2</v>
      </c>
      <c r="AQ76">
        <v>1.4999999999999999E-2</v>
      </c>
      <c r="AR76">
        <v>-1.4999999999999999E-2</v>
      </c>
      <c r="AS76">
        <v>1E-3</v>
      </c>
      <c r="AT76">
        <v>-1E-3</v>
      </c>
      <c r="AU76">
        <v>1E-3</v>
      </c>
      <c r="AV76">
        <v>-1E-3</v>
      </c>
      <c r="AW76" s="16">
        <v>1.4999999999999999E-2</v>
      </c>
      <c r="AX76" s="16">
        <v>-1.4999999999999999E-2</v>
      </c>
    </row>
    <row r="77" spans="6:278" customFormat="1">
      <c r="F77" s="17" t="str">
        <f t="shared" si="13"/>
        <v/>
      </c>
      <c r="G77" s="4"/>
      <c r="H77" s="2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22" t="e">
        <f t="shared" si="14"/>
        <v>#N/A</v>
      </c>
      <c r="X77" s="21" t="e">
        <f t="shared" si="15"/>
        <v>#N/A</v>
      </c>
      <c r="Y77" s="21" t="e">
        <f t="shared" si="16"/>
        <v>#N/A</v>
      </c>
      <c r="Z77" s="11" t="e">
        <f t="shared" si="17"/>
        <v>#N/A</v>
      </c>
      <c r="AA77" s="22" t="e">
        <f t="shared" si="18"/>
        <v>#N/A</v>
      </c>
      <c r="AB77" s="21" t="e">
        <f t="shared" si="19"/>
        <v>#N/A</v>
      </c>
      <c r="AC77" s="21" t="e">
        <f t="shared" si="20"/>
        <v>#N/A</v>
      </c>
      <c r="AD77" s="11" t="e">
        <f t="shared" si="21"/>
        <v>#N/A</v>
      </c>
      <c r="AE77" s="22" t="e">
        <f t="shared" si="22"/>
        <v>#N/A</v>
      </c>
      <c r="AF77" s="21" t="e">
        <f t="shared" si="23"/>
        <v>#N/A</v>
      </c>
      <c r="AG77" s="21" t="e">
        <f t="shared" si="24"/>
        <v>#N/A</v>
      </c>
      <c r="AH77" s="11" t="e">
        <f t="shared" si="25"/>
        <v>#N/A</v>
      </c>
      <c r="AI77">
        <v>2.5000000000000001E-2</v>
      </c>
      <c r="AJ77">
        <v>-2.5000000000000001E-2</v>
      </c>
      <c r="AK77">
        <v>1.5E-3</v>
      </c>
      <c r="AL77">
        <v>-1.5E-3</v>
      </c>
      <c r="AM77">
        <v>1.5E-3</v>
      </c>
      <c r="AN77">
        <v>-1.5E-3</v>
      </c>
      <c r="AO77" s="16">
        <v>2.5000000000000001E-2</v>
      </c>
      <c r="AP77" s="16">
        <v>-2.5000000000000001E-2</v>
      </c>
      <c r="AQ77">
        <v>1.4999999999999999E-2</v>
      </c>
      <c r="AR77">
        <v>-1.4999999999999999E-2</v>
      </c>
      <c r="AS77">
        <v>1E-3</v>
      </c>
      <c r="AT77">
        <v>-1E-3</v>
      </c>
      <c r="AU77">
        <v>1E-3</v>
      </c>
      <c r="AV77">
        <v>-1E-3</v>
      </c>
      <c r="AW77" s="16">
        <v>1.4999999999999999E-2</v>
      </c>
      <c r="AX77" s="16">
        <v>-1.4999999999999999E-2</v>
      </c>
    </row>
    <row r="78" spans="6:278" customFormat="1">
      <c r="F78" s="17" t="str">
        <f t="shared" si="13"/>
        <v/>
      </c>
      <c r="G78" s="4"/>
      <c r="H78" s="2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22" t="e">
        <f t="shared" si="14"/>
        <v>#N/A</v>
      </c>
      <c r="X78" s="21" t="e">
        <f t="shared" si="15"/>
        <v>#N/A</v>
      </c>
      <c r="Y78" s="21" t="e">
        <f t="shared" si="16"/>
        <v>#N/A</v>
      </c>
      <c r="Z78" s="11" t="e">
        <f t="shared" si="17"/>
        <v>#N/A</v>
      </c>
      <c r="AA78" s="22" t="e">
        <f t="shared" si="18"/>
        <v>#N/A</v>
      </c>
      <c r="AB78" s="21" t="e">
        <f t="shared" si="19"/>
        <v>#N/A</v>
      </c>
      <c r="AC78" s="21" t="e">
        <f t="shared" si="20"/>
        <v>#N/A</v>
      </c>
      <c r="AD78" s="11" t="e">
        <f t="shared" si="21"/>
        <v>#N/A</v>
      </c>
      <c r="AE78" s="22" t="e">
        <f t="shared" si="22"/>
        <v>#N/A</v>
      </c>
      <c r="AF78" s="21" t="e">
        <f t="shared" si="23"/>
        <v>#N/A</v>
      </c>
      <c r="AG78" s="21" t="e">
        <f t="shared" si="24"/>
        <v>#N/A</v>
      </c>
      <c r="AH78" s="11" t="e">
        <f t="shared" si="25"/>
        <v>#N/A</v>
      </c>
      <c r="AI78">
        <v>2.5000000000000001E-2</v>
      </c>
      <c r="AJ78">
        <v>-2.5000000000000001E-2</v>
      </c>
      <c r="AK78">
        <v>1.5E-3</v>
      </c>
      <c r="AL78">
        <v>-1.5E-3</v>
      </c>
      <c r="AM78">
        <v>1.5E-3</v>
      </c>
      <c r="AN78">
        <v>-1.5E-3</v>
      </c>
      <c r="AO78" s="16">
        <v>2.5000000000000001E-2</v>
      </c>
      <c r="AP78" s="16">
        <v>-2.5000000000000001E-2</v>
      </c>
      <c r="AQ78">
        <v>1.4999999999999999E-2</v>
      </c>
      <c r="AR78">
        <v>-1.4999999999999999E-2</v>
      </c>
      <c r="AS78">
        <v>1E-3</v>
      </c>
      <c r="AT78">
        <v>-1E-3</v>
      </c>
      <c r="AU78">
        <v>1E-3</v>
      </c>
      <c r="AV78">
        <v>-1E-3</v>
      </c>
      <c r="AW78" s="16">
        <v>1.4999999999999999E-2</v>
      </c>
      <c r="AX78" s="16">
        <v>-1.4999999999999999E-2</v>
      </c>
    </row>
    <row r="79" spans="6:278" customFormat="1">
      <c r="F79" s="17" t="str">
        <f t="shared" si="13"/>
        <v/>
      </c>
      <c r="G79" s="4"/>
      <c r="H79" s="2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22" t="e">
        <f t="shared" si="14"/>
        <v>#N/A</v>
      </c>
      <c r="X79" s="21" t="e">
        <f t="shared" si="15"/>
        <v>#N/A</v>
      </c>
      <c r="Y79" s="21" t="e">
        <f t="shared" si="16"/>
        <v>#N/A</v>
      </c>
      <c r="Z79" s="11" t="e">
        <f t="shared" si="17"/>
        <v>#N/A</v>
      </c>
      <c r="AA79" s="22" t="e">
        <f t="shared" si="18"/>
        <v>#N/A</v>
      </c>
      <c r="AB79" s="21" t="e">
        <f t="shared" si="19"/>
        <v>#N/A</v>
      </c>
      <c r="AC79" s="21" t="e">
        <f t="shared" si="20"/>
        <v>#N/A</v>
      </c>
      <c r="AD79" s="11" t="e">
        <f t="shared" si="21"/>
        <v>#N/A</v>
      </c>
      <c r="AE79" s="22" t="e">
        <f t="shared" si="22"/>
        <v>#N/A</v>
      </c>
      <c r="AF79" s="21" t="e">
        <f t="shared" si="23"/>
        <v>#N/A</v>
      </c>
      <c r="AG79" s="21" t="e">
        <f t="shared" si="24"/>
        <v>#N/A</v>
      </c>
      <c r="AH79" s="11" t="e">
        <f t="shared" si="25"/>
        <v>#N/A</v>
      </c>
      <c r="AI79">
        <v>2.5000000000000001E-2</v>
      </c>
      <c r="AJ79">
        <v>-2.5000000000000001E-2</v>
      </c>
      <c r="AK79">
        <v>1.5E-3</v>
      </c>
      <c r="AL79">
        <v>-1.5E-3</v>
      </c>
      <c r="AM79">
        <v>1.5E-3</v>
      </c>
      <c r="AN79">
        <v>-1.5E-3</v>
      </c>
      <c r="AO79" s="16">
        <v>2.5000000000000001E-2</v>
      </c>
      <c r="AP79" s="16">
        <v>-2.5000000000000001E-2</v>
      </c>
      <c r="AQ79">
        <v>1.4999999999999999E-2</v>
      </c>
      <c r="AR79">
        <v>-1.4999999999999999E-2</v>
      </c>
      <c r="AS79">
        <v>1E-3</v>
      </c>
      <c r="AT79">
        <v>-1E-3</v>
      </c>
      <c r="AU79">
        <v>1E-3</v>
      </c>
      <c r="AV79">
        <v>-1E-3</v>
      </c>
      <c r="AW79" s="16">
        <v>1.4999999999999999E-2</v>
      </c>
      <c r="AX79" s="16">
        <v>-1.4999999999999999E-2</v>
      </c>
    </row>
    <row r="80" spans="6:278" customFormat="1">
      <c r="F80" s="17" t="str">
        <f t="shared" si="13"/>
        <v/>
      </c>
      <c r="G80" s="4"/>
      <c r="H80" s="2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22" t="e">
        <f t="shared" si="14"/>
        <v>#N/A</v>
      </c>
      <c r="X80" s="21" t="e">
        <f t="shared" si="15"/>
        <v>#N/A</v>
      </c>
      <c r="Y80" s="21" t="e">
        <f t="shared" si="16"/>
        <v>#N/A</v>
      </c>
      <c r="Z80" s="11" t="e">
        <f t="shared" si="17"/>
        <v>#N/A</v>
      </c>
      <c r="AA80" s="22" t="e">
        <f t="shared" si="18"/>
        <v>#N/A</v>
      </c>
      <c r="AB80" s="21" t="e">
        <f t="shared" si="19"/>
        <v>#N/A</v>
      </c>
      <c r="AC80" s="21" t="e">
        <f t="shared" si="20"/>
        <v>#N/A</v>
      </c>
      <c r="AD80" s="11" t="e">
        <f t="shared" si="21"/>
        <v>#N/A</v>
      </c>
      <c r="AE80" s="22" t="e">
        <f t="shared" si="22"/>
        <v>#N/A</v>
      </c>
      <c r="AF80" s="21" t="e">
        <f t="shared" si="23"/>
        <v>#N/A</v>
      </c>
      <c r="AG80" s="21" t="e">
        <f t="shared" si="24"/>
        <v>#N/A</v>
      </c>
      <c r="AH80" s="11" t="e">
        <f t="shared" si="25"/>
        <v>#N/A</v>
      </c>
      <c r="AI80">
        <v>2.5000000000000001E-2</v>
      </c>
      <c r="AJ80">
        <v>-2.5000000000000001E-2</v>
      </c>
      <c r="AK80">
        <v>1.5E-3</v>
      </c>
      <c r="AL80">
        <v>-1.5E-3</v>
      </c>
      <c r="AM80">
        <v>1.5E-3</v>
      </c>
      <c r="AN80">
        <v>-1.5E-3</v>
      </c>
      <c r="AO80" s="16">
        <v>2.5000000000000001E-2</v>
      </c>
      <c r="AP80" s="16">
        <v>-2.5000000000000001E-2</v>
      </c>
      <c r="AQ80">
        <v>1.4999999999999999E-2</v>
      </c>
      <c r="AR80">
        <v>-1.4999999999999999E-2</v>
      </c>
      <c r="AS80">
        <v>1E-3</v>
      </c>
      <c r="AT80">
        <v>-1E-3</v>
      </c>
      <c r="AU80">
        <v>1E-3</v>
      </c>
      <c r="AV80">
        <v>-1E-3</v>
      </c>
      <c r="AW80" s="16">
        <v>1.4999999999999999E-2</v>
      </c>
      <c r="AX80" s="16">
        <v>-1.4999999999999999E-2</v>
      </c>
    </row>
    <row r="81" spans="6:50">
      <c r="F81" s="17" t="str">
        <f t="shared" si="13"/>
        <v/>
      </c>
      <c r="G81" s="4"/>
      <c r="H81" s="2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22" t="e">
        <f t="shared" si="14"/>
        <v>#N/A</v>
      </c>
      <c r="X81" s="21" t="e">
        <f t="shared" si="15"/>
        <v>#N/A</v>
      </c>
      <c r="Y81" s="21" t="e">
        <f t="shared" si="16"/>
        <v>#N/A</v>
      </c>
      <c r="Z81" s="11" t="e">
        <f t="shared" si="17"/>
        <v>#N/A</v>
      </c>
      <c r="AA81" s="22" t="e">
        <f t="shared" si="18"/>
        <v>#N/A</v>
      </c>
      <c r="AB81" s="21" t="e">
        <f t="shared" si="19"/>
        <v>#N/A</v>
      </c>
      <c r="AC81" s="21" t="e">
        <f t="shared" si="20"/>
        <v>#N/A</v>
      </c>
      <c r="AD81" s="11" t="e">
        <f t="shared" si="21"/>
        <v>#N/A</v>
      </c>
      <c r="AE81" s="22" t="e">
        <f t="shared" si="22"/>
        <v>#N/A</v>
      </c>
      <c r="AF81" s="21" t="e">
        <f t="shared" si="23"/>
        <v>#N/A</v>
      </c>
      <c r="AG81" s="21" t="e">
        <f t="shared" si="24"/>
        <v>#N/A</v>
      </c>
      <c r="AH81" s="11" t="e">
        <f t="shared" si="25"/>
        <v>#N/A</v>
      </c>
      <c r="AI81">
        <v>2.5000000000000001E-2</v>
      </c>
      <c r="AJ81">
        <v>-2.5000000000000001E-2</v>
      </c>
      <c r="AK81">
        <v>1.5E-3</v>
      </c>
      <c r="AL81">
        <v>-1.5E-3</v>
      </c>
      <c r="AM81">
        <v>1.5E-3</v>
      </c>
      <c r="AN81">
        <v>-1.5E-3</v>
      </c>
      <c r="AO81" s="16">
        <v>2.5000000000000001E-2</v>
      </c>
      <c r="AP81" s="16">
        <v>-2.5000000000000001E-2</v>
      </c>
      <c r="AQ81">
        <v>1.4999999999999999E-2</v>
      </c>
      <c r="AR81">
        <v>-1.4999999999999999E-2</v>
      </c>
      <c r="AS81">
        <v>1E-3</v>
      </c>
      <c r="AT81">
        <v>-1E-3</v>
      </c>
      <c r="AU81">
        <v>1E-3</v>
      </c>
      <c r="AV81">
        <v>-1E-3</v>
      </c>
      <c r="AW81" s="16">
        <v>1.4999999999999999E-2</v>
      </c>
      <c r="AX81" s="16">
        <v>-1.4999999999999999E-2</v>
      </c>
    </row>
    <row r="82" spans="6:50">
      <c r="F82" s="17" t="str">
        <f t="shared" si="13"/>
        <v/>
      </c>
      <c r="G82" s="4"/>
      <c r="H82" s="2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22" t="e">
        <f t="shared" si="14"/>
        <v>#N/A</v>
      </c>
      <c r="X82" s="21" t="e">
        <f t="shared" si="15"/>
        <v>#N/A</v>
      </c>
      <c r="Y82" s="21" t="e">
        <f t="shared" si="16"/>
        <v>#N/A</v>
      </c>
      <c r="Z82" s="11" t="e">
        <f t="shared" si="17"/>
        <v>#N/A</v>
      </c>
      <c r="AA82" s="22" t="e">
        <f t="shared" si="18"/>
        <v>#N/A</v>
      </c>
      <c r="AB82" s="21" t="e">
        <f t="shared" si="19"/>
        <v>#N/A</v>
      </c>
      <c r="AC82" s="21" t="e">
        <f t="shared" si="20"/>
        <v>#N/A</v>
      </c>
      <c r="AD82" s="11" t="e">
        <f t="shared" si="21"/>
        <v>#N/A</v>
      </c>
      <c r="AE82" s="22" t="e">
        <f t="shared" si="22"/>
        <v>#N/A</v>
      </c>
      <c r="AF82" s="21" t="e">
        <f t="shared" si="23"/>
        <v>#N/A</v>
      </c>
      <c r="AG82" s="21" t="e">
        <f t="shared" si="24"/>
        <v>#N/A</v>
      </c>
      <c r="AH82" s="11" t="e">
        <f t="shared" si="25"/>
        <v>#N/A</v>
      </c>
      <c r="AI82">
        <v>2.5000000000000001E-2</v>
      </c>
      <c r="AJ82">
        <v>-2.5000000000000001E-2</v>
      </c>
      <c r="AK82">
        <v>1.5E-3</v>
      </c>
      <c r="AL82">
        <v>-1.5E-3</v>
      </c>
      <c r="AM82">
        <v>1.5E-3</v>
      </c>
      <c r="AN82">
        <v>-1.5E-3</v>
      </c>
      <c r="AO82" s="16">
        <v>2.5000000000000001E-2</v>
      </c>
      <c r="AP82" s="16">
        <v>-2.5000000000000001E-2</v>
      </c>
      <c r="AQ82">
        <v>1.4999999999999999E-2</v>
      </c>
      <c r="AR82">
        <v>-1.4999999999999999E-2</v>
      </c>
      <c r="AS82">
        <v>1E-3</v>
      </c>
      <c r="AT82">
        <v>-1E-3</v>
      </c>
      <c r="AU82">
        <v>1E-3</v>
      </c>
      <c r="AV82">
        <v>-1E-3</v>
      </c>
      <c r="AW82" s="16">
        <v>1.4999999999999999E-2</v>
      </c>
      <c r="AX82" s="16">
        <v>-1.4999999999999999E-2</v>
      </c>
    </row>
    <row r="83" spans="6:50">
      <c r="F83" s="17" t="str">
        <f t="shared" si="13"/>
        <v/>
      </c>
      <c r="G83" s="4"/>
      <c r="H83" s="2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22" t="e">
        <f t="shared" si="14"/>
        <v>#N/A</v>
      </c>
      <c r="X83" s="21" t="e">
        <f t="shared" si="15"/>
        <v>#N/A</v>
      </c>
      <c r="Y83" s="21" t="e">
        <f t="shared" si="16"/>
        <v>#N/A</v>
      </c>
      <c r="Z83" s="11" t="e">
        <f t="shared" si="17"/>
        <v>#N/A</v>
      </c>
      <c r="AA83" s="22" t="e">
        <f t="shared" si="18"/>
        <v>#N/A</v>
      </c>
      <c r="AB83" s="21" t="e">
        <f t="shared" si="19"/>
        <v>#N/A</v>
      </c>
      <c r="AC83" s="21" t="e">
        <f t="shared" si="20"/>
        <v>#N/A</v>
      </c>
      <c r="AD83" s="11" t="e">
        <f t="shared" si="21"/>
        <v>#N/A</v>
      </c>
      <c r="AE83" s="22" t="e">
        <f t="shared" si="22"/>
        <v>#N/A</v>
      </c>
      <c r="AF83" s="21" t="e">
        <f t="shared" si="23"/>
        <v>#N/A</v>
      </c>
      <c r="AG83" s="21" t="e">
        <f t="shared" si="24"/>
        <v>#N/A</v>
      </c>
      <c r="AH83" s="11" t="e">
        <f t="shared" si="25"/>
        <v>#N/A</v>
      </c>
      <c r="AI83">
        <v>2.5000000000000001E-2</v>
      </c>
      <c r="AJ83">
        <v>-2.5000000000000001E-2</v>
      </c>
      <c r="AK83">
        <v>1.5E-3</v>
      </c>
      <c r="AL83">
        <v>-1.5E-3</v>
      </c>
      <c r="AM83">
        <v>1.5E-3</v>
      </c>
      <c r="AN83">
        <v>-1.5E-3</v>
      </c>
      <c r="AO83" s="16">
        <v>2.5000000000000001E-2</v>
      </c>
      <c r="AP83" s="16">
        <v>-2.5000000000000001E-2</v>
      </c>
      <c r="AQ83">
        <v>1.4999999999999999E-2</v>
      </c>
      <c r="AR83">
        <v>-1.4999999999999999E-2</v>
      </c>
      <c r="AS83">
        <v>1E-3</v>
      </c>
      <c r="AT83">
        <v>-1E-3</v>
      </c>
      <c r="AU83">
        <v>1E-3</v>
      </c>
      <c r="AV83">
        <v>-1E-3</v>
      </c>
      <c r="AW83" s="16">
        <v>1.4999999999999999E-2</v>
      </c>
      <c r="AX83" s="16">
        <v>-1.4999999999999999E-2</v>
      </c>
    </row>
    <row r="84" spans="6:50">
      <c r="F84" s="17" t="str">
        <f t="shared" si="13"/>
        <v/>
      </c>
      <c r="G84" s="4"/>
      <c r="H84" s="2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22" t="e">
        <f t="shared" si="14"/>
        <v>#N/A</v>
      </c>
      <c r="X84" s="21" t="e">
        <f t="shared" si="15"/>
        <v>#N/A</v>
      </c>
      <c r="Y84" s="21" t="e">
        <f t="shared" si="16"/>
        <v>#N/A</v>
      </c>
      <c r="Z84" s="11" t="e">
        <f t="shared" si="17"/>
        <v>#N/A</v>
      </c>
      <c r="AA84" s="22" t="e">
        <f t="shared" si="18"/>
        <v>#N/A</v>
      </c>
      <c r="AB84" s="21" t="e">
        <f t="shared" si="19"/>
        <v>#N/A</v>
      </c>
      <c r="AC84" s="21" t="e">
        <f t="shared" si="20"/>
        <v>#N/A</v>
      </c>
      <c r="AD84" s="11" t="e">
        <f t="shared" si="21"/>
        <v>#N/A</v>
      </c>
      <c r="AE84" s="22" t="e">
        <f t="shared" si="22"/>
        <v>#N/A</v>
      </c>
      <c r="AF84" s="21" t="e">
        <f t="shared" si="23"/>
        <v>#N/A</v>
      </c>
      <c r="AG84" s="21" t="e">
        <f t="shared" si="24"/>
        <v>#N/A</v>
      </c>
      <c r="AH84" s="11" t="e">
        <f t="shared" si="25"/>
        <v>#N/A</v>
      </c>
      <c r="AI84">
        <v>2.5000000000000001E-2</v>
      </c>
      <c r="AJ84">
        <v>-2.5000000000000001E-2</v>
      </c>
      <c r="AK84">
        <v>1.5E-3</v>
      </c>
      <c r="AL84">
        <v>-1.5E-3</v>
      </c>
      <c r="AM84">
        <v>1.5E-3</v>
      </c>
      <c r="AN84">
        <v>-1.5E-3</v>
      </c>
      <c r="AO84" s="16">
        <v>2.5000000000000001E-2</v>
      </c>
      <c r="AP84" s="16">
        <v>-2.5000000000000001E-2</v>
      </c>
      <c r="AQ84">
        <v>1.4999999999999999E-2</v>
      </c>
      <c r="AR84">
        <v>-1.4999999999999999E-2</v>
      </c>
      <c r="AS84">
        <v>1E-3</v>
      </c>
      <c r="AT84">
        <v>-1E-3</v>
      </c>
      <c r="AU84">
        <v>1E-3</v>
      </c>
      <c r="AV84">
        <v>-1E-3</v>
      </c>
      <c r="AW84" s="16">
        <v>1.4999999999999999E-2</v>
      </c>
      <c r="AX84" s="16">
        <v>-1.4999999999999999E-2</v>
      </c>
    </row>
    <row r="85" spans="6:50">
      <c r="F85" s="17" t="str">
        <f t="shared" si="13"/>
        <v/>
      </c>
      <c r="G85" s="4"/>
      <c r="H85" s="2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22" t="e">
        <f t="shared" si="14"/>
        <v>#N/A</v>
      </c>
      <c r="X85" s="21" t="e">
        <f t="shared" si="15"/>
        <v>#N/A</v>
      </c>
      <c r="Y85" s="21" t="e">
        <f t="shared" si="16"/>
        <v>#N/A</v>
      </c>
      <c r="Z85" s="11" t="e">
        <f t="shared" si="17"/>
        <v>#N/A</v>
      </c>
      <c r="AA85" s="22" t="e">
        <f t="shared" si="18"/>
        <v>#N/A</v>
      </c>
      <c r="AB85" s="21" t="e">
        <f t="shared" si="19"/>
        <v>#N/A</v>
      </c>
      <c r="AC85" s="21" t="e">
        <f t="shared" si="20"/>
        <v>#N/A</v>
      </c>
      <c r="AD85" s="11" t="e">
        <f t="shared" si="21"/>
        <v>#N/A</v>
      </c>
      <c r="AE85" s="22" t="e">
        <f t="shared" si="22"/>
        <v>#N/A</v>
      </c>
      <c r="AF85" s="21" t="e">
        <f t="shared" si="23"/>
        <v>#N/A</v>
      </c>
      <c r="AG85" s="21" t="e">
        <f t="shared" si="24"/>
        <v>#N/A</v>
      </c>
      <c r="AH85" s="11" t="e">
        <f t="shared" si="25"/>
        <v>#N/A</v>
      </c>
      <c r="AI85">
        <v>2.5000000000000001E-2</v>
      </c>
      <c r="AJ85">
        <v>-2.5000000000000001E-2</v>
      </c>
      <c r="AK85">
        <v>1.5E-3</v>
      </c>
      <c r="AL85">
        <v>-1.5E-3</v>
      </c>
      <c r="AM85">
        <v>1.5E-3</v>
      </c>
      <c r="AN85">
        <v>-1.5E-3</v>
      </c>
      <c r="AO85" s="16">
        <v>2.5000000000000001E-2</v>
      </c>
      <c r="AP85" s="16">
        <v>-2.5000000000000001E-2</v>
      </c>
      <c r="AQ85">
        <v>1.4999999999999999E-2</v>
      </c>
      <c r="AR85">
        <v>-1.4999999999999999E-2</v>
      </c>
      <c r="AS85">
        <v>1E-3</v>
      </c>
      <c r="AT85">
        <v>-1E-3</v>
      </c>
      <c r="AU85">
        <v>1E-3</v>
      </c>
      <c r="AV85">
        <v>-1E-3</v>
      </c>
      <c r="AW85" s="16">
        <v>1.4999999999999999E-2</v>
      </c>
      <c r="AX85" s="16">
        <v>-1.4999999999999999E-2</v>
      </c>
    </row>
    <row r="86" spans="6:50">
      <c r="F86" s="17" t="str">
        <f t="shared" si="13"/>
        <v/>
      </c>
      <c r="G86" s="4"/>
      <c r="H86" s="2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22" t="e">
        <f t="shared" si="14"/>
        <v>#N/A</v>
      </c>
      <c r="X86" s="21" t="e">
        <f t="shared" si="15"/>
        <v>#N/A</v>
      </c>
      <c r="Y86" s="21" t="e">
        <f t="shared" si="16"/>
        <v>#N/A</v>
      </c>
      <c r="Z86" s="11" t="e">
        <f t="shared" si="17"/>
        <v>#N/A</v>
      </c>
      <c r="AA86" s="22" t="e">
        <f t="shared" si="18"/>
        <v>#N/A</v>
      </c>
      <c r="AB86" s="21" t="e">
        <f t="shared" si="19"/>
        <v>#N/A</v>
      </c>
      <c r="AC86" s="21" t="e">
        <f t="shared" si="20"/>
        <v>#N/A</v>
      </c>
      <c r="AD86" s="11" t="e">
        <f t="shared" si="21"/>
        <v>#N/A</v>
      </c>
      <c r="AE86" s="22" t="e">
        <f t="shared" si="22"/>
        <v>#N/A</v>
      </c>
      <c r="AF86" s="21" t="e">
        <f t="shared" si="23"/>
        <v>#N/A</v>
      </c>
      <c r="AG86" s="21" t="e">
        <f t="shared" si="24"/>
        <v>#N/A</v>
      </c>
      <c r="AH86" s="11" t="e">
        <f t="shared" si="25"/>
        <v>#N/A</v>
      </c>
      <c r="AI86">
        <v>2.5000000000000001E-2</v>
      </c>
      <c r="AJ86">
        <v>-2.5000000000000001E-2</v>
      </c>
      <c r="AK86">
        <v>1.5E-3</v>
      </c>
      <c r="AL86">
        <v>-1.5E-3</v>
      </c>
      <c r="AM86">
        <v>1.5E-3</v>
      </c>
      <c r="AN86">
        <v>-1.5E-3</v>
      </c>
      <c r="AO86" s="16">
        <v>2.5000000000000001E-2</v>
      </c>
      <c r="AP86" s="16">
        <v>-2.5000000000000001E-2</v>
      </c>
      <c r="AQ86">
        <v>1.4999999999999999E-2</v>
      </c>
      <c r="AR86">
        <v>-1.4999999999999999E-2</v>
      </c>
      <c r="AS86">
        <v>1E-3</v>
      </c>
      <c r="AT86">
        <v>-1E-3</v>
      </c>
      <c r="AU86">
        <v>1E-3</v>
      </c>
      <c r="AV86">
        <v>-1E-3</v>
      </c>
      <c r="AW86" s="16">
        <v>1.4999999999999999E-2</v>
      </c>
      <c r="AX86" s="16">
        <v>-1.4999999999999999E-2</v>
      </c>
    </row>
    <row r="87" spans="6:50">
      <c r="F87" s="17" t="str">
        <f t="shared" si="13"/>
        <v/>
      </c>
      <c r="G87" s="4"/>
      <c r="H87" s="2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22" t="e">
        <f t="shared" si="14"/>
        <v>#N/A</v>
      </c>
      <c r="X87" s="21" t="e">
        <f t="shared" si="15"/>
        <v>#N/A</v>
      </c>
      <c r="Y87" s="21" t="e">
        <f t="shared" si="16"/>
        <v>#N/A</v>
      </c>
      <c r="Z87" s="11" t="e">
        <f t="shared" si="17"/>
        <v>#N/A</v>
      </c>
      <c r="AA87" s="22" t="e">
        <f t="shared" si="18"/>
        <v>#N/A</v>
      </c>
      <c r="AB87" s="21" t="e">
        <f t="shared" si="19"/>
        <v>#N/A</v>
      </c>
      <c r="AC87" s="21" t="e">
        <f t="shared" si="20"/>
        <v>#N/A</v>
      </c>
      <c r="AD87" s="11" t="e">
        <f t="shared" si="21"/>
        <v>#N/A</v>
      </c>
      <c r="AE87" s="22" t="e">
        <f t="shared" si="22"/>
        <v>#N/A</v>
      </c>
      <c r="AF87" s="21" t="e">
        <f t="shared" si="23"/>
        <v>#N/A</v>
      </c>
      <c r="AG87" s="21" t="e">
        <f t="shared" si="24"/>
        <v>#N/A</v>
      </c>
      <c r="AH87" s="11" t="e">
        <f t="shared" si="25"/>
        <v>#N/A</v>
      </c>
      <c r="AI87">
        <v>2.5000000000000001E-2</v>
      </c>
      <c r="AJ87">
        <v>-2.5000000000000001E-2</v>
      </c>
      <c r="AK87">
        <v>1.5E-3</v>
      </c>
      <c r="AL87">
        <v>-1.5E-3</v>
      </c>
      <c r="AM87">
        <v>1.5E-3</v>
      </c>
      <c r="AN87">
        <v>-1.5E-3</v>
      </c>
      <c r="AO87" s="16">
        <v>2.5000000000000001E-2</v>
      </c>
      <c r="AP87" s="16">
        <v>-2.5000000000000001E-2</v>
      </c>
      <c r="AQ87">
        <v>1.4999999999999999E-2</v>
      </c>
      <c r="AR87">
        <v>-1.4999999999999999E-2</v>
      </c>
      <c r="AS87">
        <v>1E-3</v>
      </c>
      <c r="AT87">
        <v>-1E-3</v>
      </c>
      <c r="AU87">
        <v>1E-3</v>
      </c>
      <c r="AV87">
        <v>-1E-3</v>
      </c>
      <c r="AW87" s="16">
        <v>1.4999999999999999E-2</v>
      </c>
      <c r="AX87" s="16">
        <v>-1.4999999999999999E-2</v>
      </c>
    </row>
    <row r="88" spans="6:50">
      <c r="F88" s="17" t="str">
        <f t="shared" si="13"/>
        <v/>
      </c>
      <c r="G88" s="4"/>
      <c r="H88" s="2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22" t="e">
        <f t="shared" si="14"/>
        <v>#N/A</v>
      </c>
      <c r="X88" s="21" t="e">
        <f t="shared" si="15"/>
        <v>#N/A</v>
      </c>
      <c r="Y88" s="21" t="e">
        <f t="shared" si="16"/>
        <v>#N/A</v>
      </c>
      <c r="Z88" s="11" t="e">
        <f t="shared" si="17"/>
        <v>#N/A</v>
      </c>
      <c r="AA88" s="22" t="e">
        <f t="shared" si="18"/>
        <v>#N/A</v>
      </c>
      <c r="AB88" s="21" t="e">
        <f t="shared" si="19"/>
        <v>#N/A</v>
      </c>
      <c r="AC88" s="21" t="e">
        <f t="shared" si="20"/>
        <v>#N/A</v>
      </c>
      <c r="AD88" s="11" t="e">
        <f t="shared" si="21"/>
        <v>#N/A</v>
      </c>
      <c r="AE88" s="22" t="e">
        <f t="shared" si="22"/>
        <v>#N/A</v>
      </c>
      <c r="AF88" s="21" t="e">
        <f t="shared" si="23"/>
        <v>#N/A</v>
      </c>
      <c r="AG88" s="21" t="e">
        <f t="shared" si="24"/>
        <v>#N/A</v>
      </c>
      <c r="AH88" s="11" t="e">
        <f t="shared" si="25"/>
        <v>#N/A</v>
      </c>
      <c r="AI88">
        <v>2.5000000000000001E-2</v>
      </c>
      <c r="AJ88">
        <v>-2.5000000000000001E-2</v>
      </c>
      <c r="AK88">
        <v>1.5E-3</v>
      </c>
      <c r="AL88">
        <v>-1.5E-3</v>
      </c>
      <c r="AM88">
        <v>1.5E-3</v>
      </c>
      <c r="AN88">
        <v>-1.5E-3</v>
      </c>
      <c r="AO88" s="16">
        <v>2.5000000000000001E-2</v>
      </c>
      <c r="AP88" s="16">
        <v>-2.5000000000000001E-2</v>
      </c>
      <c r="AQ88">
        <v>1.4999999999999999E-2</v>
      </c>
      <c r="AR88">
        <v>-1.4999999999999999E-2</v>
      </c>
      <c r="AS88">
        <v>1E-3</v>
      </c>
      <c r="AT88">
        <v>-1E-3</v>
      </c>
      <c r="AU88">
        <v>1E-3</v>
      </c>
      <c r="AV88">
        <v>-1E-3</v>
      </c>
      <c r="AW88" s="16">
        <v>1.4999999999999999E-2</v>
      </c>
      <c r="AX88" s="16">
        <v>-1.4999999999999999E-2</v>
      </c>
    </row>
    <row r="89" spans="6:50">
      <c r="F89" s="17" t="str">
        <f t="shared" si="13"/>
        <v/>
      </c>
      <c r="G89" s="4"/>
      <c r="H89" s="2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22" t="e">
        <f t="shared" si="14"/>
        <v>#N/A</v>
      </c>
      <c r="X89" s="21" t="e">
        <f t="shared" si="15"/>
        <v>#N/A</v>
      </c>
      <c r="Y89" s="21" t="e">
        <f t="shared" si="16"/>
        <v>#N/A</v>
      </c>
      <c r="Z89" s="11" t="e">
        <f t="shared" si="17"/>
        <v>#N/A</v>
      </c>
      <c r="AA89" s="22" t="e">
        <f t="shared" si="18"/>
        <v>#N/A</v>
      </c>
      <c r="AB89" s="21" t="e">
        <f t="shared" si="19"/>
        <v>#N/A</v>
      </c>
      <c r="AC89" s="21" t="e">
        <f t="shared" si="20"/>
        <v>#N/A</v>
      </c>
      <c r="AD89" s="11" t="e">
        <f t="shared" si="21"/>
        <v>#N/A</v>
      </c>
      <c r="AE89" s="22" t="e">
        <f t="shared" si="22"/>
        <v>#N/A</v>
      </c>
      <c r="AF89" s="21" t="e">
        <f t="shared" si="23"/>
        <v>#N/A</v>
      </c>
      <c r="AG89" s="21" t="e">
        <f t="shared" si="24"/>
        <v>#N/A</v>
      </c>
      <c r="AH89" s="11" t="e">
        <f t="shared" si="25"/>
        <v>#N/A</v>
      </c>
      <c r="AI89">
        <v>2.5000000000000001E-2</v>
      </c>
      <c r="AJ89">
        <v>-2.5000000000000001E-2</v>
      </c>
      <c r="AK89">
        <v>1.5E-3</v>
      </c>
      <c r="AL89">
        <v>-1.5E-3</v>
      </c>
      <c r="AM89">
        <v>1.5E-3</v>
      </c>
      <c r="AN89">
        <v>-1.5E-3</v>
      </c>
      <c r="AO89" s="16">
        <v>2.5000000000000001E-2</v>
      </c>
      <c r="AP89" s="16">
        <v>-2.5000000000000001E-2</v>
      </c>
      <c r="AQ89">
        <v>1.4999999999999999E-2</v>
      </c>
      <c r="AR89">
        <v>-1.4999999999999999E-2</v>
      </c>
      <c r="AS89">
        <v>1E-3</v>
      </c>
      <c r="AT89">
        <v>-1E-3</v>
      </c>
      <c r="AU89">
        <v>1E-3</v>
      </c>
      <c r="AV89">
        <v>-1E-3</v>
      </c>
      <c r="AW89" s="16">
        <v>1.4999999999999999E-2</v>
      </c>
      <c r="AX89" s="16">
        <v>-1.4999999999999999E-2</v>
      </c>
    </row>
    <row r="90" spans="6:50">
      <c r="F90" s="17" t="str">
        <f t="shared" si="13"/>
        <v/>
      </c>
      <c r="G90" s="4"/>
      <c r="H90" s="2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22" t="e">
        <f t="shared" si="14"/>
        <v>#N/A</v>
      </c>
      <c r="X90" s="21" t="e">
        <f t="shared" si="15"/>
        <v>#N/A</v>
      </c>
      <c r="Y90" s="21" t="e">
        <f t="shared" si="16"/>
        <v>#N/A</v>
      </c>
      <c r="Z90" s="11" t="e">
        <f t="shared" si="17"/>
        <v>#N/A</v>
      </c>
      <c r="AA90" s="22" t="e">
        <f t="shared" si="18"/>
        <v>#N/A</v>
      </c>
      <c r="AB90" s="21" t="e">
        <f t="shared" si="19"/>
        <v>#N/A</v>
      </c>
      <c r="AC90" s="21" t="e">
        <f t="shared" si="20"/>
        <v>#N/A</v>
      </c>
      <c r="AD90" s="11" t="e">
        <f t="shared" si="21"/>
        <v>#N/A</v>
      </c>
      <c r="AE90" s="22" t="e">
        <f t="shared" si="22"/>
        <v>#N/A</v>
      </c>
      <c r="AF90" s="21" t="e">
        <f t="shared" si="23"/>
        <v>#N/A</v>
      </c>
      <c r="AG90" s="21" t="e">
        <f t="shared" si="24"/>
        <v>#N/A</v>
      </c>
      <c r="AH90" s="11" t="e">
        <f t="shared" si="25"/>
        <v>#N/A</v>
      </c>
      <c r="AI90">
        <v>2.5000000000000001E-2</v>
      </c>
      <c r="AJ90">
        <v>-2.5000000000000001E-2</v>
      </c>
      <c r="AK90">
        <v>1.5E-3</v>
      </c>
      <c r="AL90">
        <v>-1.5E-3</v>
      </c>
      <c r="AM90">
        <v>1.5E-3</v>
      </c>
      <c r="AN90">
        <v>-1.5E-3</v>
      </c>
      <c r="AO90" s="16">
        <v>2.5000000000000001E-2</v>
      </c>
      <c r="AP90" s="16">
        <v>-2.5000000000000001E-2</v>
      </c>
      <c r="AQ90">
        <v>1.4999999999999999E-2</v>
      </c>
      <c r="AR90">
        <v>-1.4999999999999999E-2</v>
      </c>
      <c r="AS90">
        <v>1E-3</v>
      </c>
      <c r="AT90">
        <v>-1E-3</v>
      </c>
      <c r="AU90">
        <v>1E-3</v>
      </c>
      <c r="AV90">
        <v>-1E-3</v>
      </c>
      <c r="AW90" s="16">
        <v>1.4999999999999999E-2</v>
      </c>
      <c r="AX90" s="16">
        <v>-1.4999999999999999E-2</v>
      </c>
    </row>
    <row r="91" spans="6:50">
      <c r="F91" s="17" t="str">
        <f t="shared" si="13"/>
        <v/>
      </c>
      <c r="G91" s="4"/>
      <c r="H91" s="2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22" t="e">
        <f t="shared" si="14"/>
        <v>#N/A</v>
      </c>
      <c r="X91" s="21" t="e">
        <f t="shared" si="15"/>
        <v>#N/A</v>
      </c>
      <c r="Y91" s="21" t="e">
        <f t="shared" si="16"/>
        <v>#N/A</v>
      </c>
      <c r="Z91" s="11" t="e">
        <f t="shared" si="17"/>
        <v>#N/A</v>
      </c>
      <c r="AA91" s="22" t="e">
        <f t="shared" si="18"/>
        <v>#N/A</v>
      </c>
      <c r="AB91" s="21" t="e">
        <f t="shared" si="19"/>
        <v>#N/A</v>
      </c>
      <c r="AC91" s="21" t="e">
        <f t="shared" si="20"/>
        <v>#N/A</v>
      </c>
      <c r="AD91" s="11" t="e">
        <f t="shared" si="21"/>
        <v>#N/A</v>
      </c>
      <c r="AE91" s="22" t="e">
        <f t="shared" si="22"/>
        <v>#N/A</v>
      </c>
      <c r="AF91" s="21" t="e">
        <f t="shared" si="23"/>
        <v>#N/A</v>
      </c>
      <c r="AG91" s="21" t="e">
        <f t="shared" si="24"/>
        <v>#N/A</v>
      </c>
      <c r="AH91" s="11" t="e">
        <f t="shared" si="25"/>
        <v>#N/A</v>
      </c>
      <c r="AI91">
        <v>2.5000000000000001E-2</v>
      </c>
      <c r="AJ91">
        <v>-2.5000000000000001E-2</v>
      </c>
      <c r="AK91">
        <v>1.5E-3</v>
      </c>
      <c r="AL91">
        <v>-1.5E-3</v>
      </c>
      <c r="AM91">
        <v>1.5E-3</v>
      </c>
      <c r="AN91">
        <v>-1.5E-3</v>
      </c>
      <c r="AO91" s="16">
        <v>2.5000000000000001E-2</v>
      </c>
      <c r="AP91" s="16">
        <v>-2.5000000000000001E-2</v>
      </c>
      <c r="AQ91">
        <v>1.4999999999999999E-2</v>
      </c>
      <c r="AR91">
        <v>-1.4999999999999999E-2</v>
      </c>
      <c r="AS91">
        <v>1E-3</v>
      </c>
      <c r="AT91">
        <v>-1E-3</v>
      </c>
      <c r="AU91">
        <v>1E-3</v>
      </c>
      <c r="AV91">
        <v>-1E-3</v>
      </c>
      <c r="AW91" s="16">
        <v>1.4999999999999999E-2</v>
      </c>
      <c r="AX91" s="16">
        <v>-1.4999999999999999E-2</v>
      </c>
    </row>
    <row r="92" spans="6:50">
      <c r="F92" s="17" t="str">
        <f t="shared" si="13"/>
        <v/>
      </c>
      <c r="G92" s="4"/>
      <c r="H92" s="2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22" t="e">
        <f t="shared" si="14"/>
        <v>#N/A</v>
      </c>
      <c r="X92" s="21" t="e">
        <f t="shared" si="15"/>
        <v>#N/A</v>
      </c>
      <c r="Y92" s="21" t="e">
        <f t="shared" si="16"/>
        <v>#N/A</v>
      </c>
      <c r="Z92" s="11" t="e">
        <f t="shared" si="17"/>
        <v>#N/A</v>
      </c>
      <c r="AA92" s="22" t="e">
        <f t="shared" si="18"/>
        <v>#N/A</v>
      </c>
      <c r="AB92" s="21" t="e">
        <f t="shared" si="19"/>
        <v>#N/A</v>
      </c>
      <c r="AC92" s="21" t="e">
        <f t="shared" si="20"/>
        <v>#N/A</v>
      </c>
      <c r="AD92" s="11" t="e">
        <f t="shared" si="21"/>
        <v>#N/A</v>
      </c>
      <c r="AE92" s="22" t="e">
        <f t="shared" si="22"/>
        <v>#N/A</v>
      </c>
      <c r="AF92" s="21" t="e">
        <f t="shared" si="23"/>
        <v>#N/A</v>
      </c>
      <c r="AG92" s="21" t="e">
        <f t="shared" si="24"/>
        <v>#N/A</v>
      </c>
      <c r="AH92" s="11" t="e">
        <f t="shared" si="25"/>
        <v>#N/A</v>
      </c>
      <c r="AI92">
        <v>2.5000000000000001E-2</v>
      </c>
      <c r="AJ92">
        <v>-2.5000000000000001E-2</v>
      </c>
      <c r="AK92">
        <v>1.5E-3</v>
      </c>
      <c r="AL92">
        <v>-1.5E-3</v>
      </c>
      <c r="AM92">
        <v>1.5E-3</v>
      </c>
      <c r="AN92">
        <v>-1.5E-3</v>
      </c>
      <c r="AO92" s="16">
        <v>2.5000000000000001E-2</v>
      </c>
      <c r="AP92" s="16">
        <v>-2.5000000000000001E-2</v>
      </c>
      <c r="AQ92">
        <v>1.4999999999999999E-2</v>
      </c>
      <c r="AR92">
        <v>-1.4999999999999999E-2</v>
      </c>
      <c r="AS92">
        <v>1E-3</v>
      </c>
      <c r="AT92">
        <v>-1E-3</v>
      </c>
      <c r="AU92">
        <v>1E-3</v>
      </c>
      <c r="AV92">
        <v>-1E-3</v>
      </c>
      <c r="AW92" s="16">
        <v>1.4999999999999999E-2</v>
      </c>
      <c r="AX92" s="16">
        <v>-1.4999999999999999E-2</v>
      </c>
    </row>
    <row r="93" spans="6:50">
      <c r="F93" s="17" t="str">
        <f t="shared" si="13"/>
        <v/>
      </c>
      <c r="G93" s="4"/>
      <c r="H93" s="2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22" t="e">
        <f t="shared" si="14"/>
        <v>#N/A</v>
      </c>
      <c r="X93" s="21" t="e">
        <f t="shared" si="15"/>
        <v>#N/A</v>
      </c>
      <c r="Y93" s="21" t="e">
        <f t="shared" si="16"/>
        <v>#N/A</v>
      </c>
      <c r="Z93" s="11" t="e">
        <f t="shared" si="17"/>
        <v>#N/A</v>
      </c>
      <c r="AA93" s="22" t="e">
        <f t="shared" si="18"/>
        <v>#N/A</v>
      </c>
      <c r="AB93" s="21" t="e">
        <f t="shared" si="19"/>
        <v>#N/A</v>
      </c>
      <c r="AC93" s="21" t="e">
        <f t="shared" si="20"/>
        <v>#N/A</v>
      </c>
      <c r="AD93" s="11" t="e">
        <f t="shared" si="21"/>
        <v>#N/A</v>
      </c>
      <c r="AE93" s="22" t="e">
        <f t="shared" si="22"/>
        <v>#N/A</v>
      </c>
      <c r="AF93" s="21" t="e">
        <f t="shared" si="23"/>
        <v>#N/A</v>
      </c>
      <c r="AG93" s="21" t="e">
        <f t="shared" si="24"/>
        <v>#N/A</v>
      </c>
      <c r="AH93" s="11" t="e">
        <f t="shared" si="25"/>
        <v>#N/A</v>
      </c>
      <c r="AI93">
        <v>2.5000000000000001E-2</v>
      </c>
      <c r="AJ93">
        <v>-2.5000000000000001E-2</v>
      </c>
      <c r="AK93">
        <v>1.5E-3</v>
      </c>
      <c r="AL93">
        <v>-1.5E-3</v>
      </c>
      <c r="AM93">
        <v>1.5E-3</v>
      </c>
      <c r="AN93">
        <v>-1.5E-3</v>
      </c>
      <c r="AO93" s="16">
        <v>2.5000000000000001E-2</v>
      </c>
      <c r="AP93" s="16">
        <v>-2.5000000000000001E-2</v>
      </c>
      <c r="AQ93">
        <v>1.4999999999999999E-2</v>
      </c>
      <c r="AR93">
        <v>-1.4999999999999999E-2</v>
      </c>
      <c r="AS93">
        <v>1E-3</v>
      </c>
      <c r="AT93">
        <v>-1E-3</v>
      </c>
      <c r="AU93">
        <v>1E-3</v>
      </c>
      <c r="AV93">
        <v>-1E-3</v>
      </c>
      <c r="AW93" s="16">
        <v>1.4999999999999999E-2</v>
      </c>
      <c r="AX93" s="16">
        <v>-1.4999999999999999E-2</v>
      </c>
    </row>
    <row r="94" spans="6:50">
      <c r="F94" s="17" t="str">
        <f t="shared" si="13"/>
        <v/>
      </c>
      <c r="G94" s="4"/>
      <c r="H94" s="2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22" t="e">
        <f t="shared" si="14"/>
        <v>#N/A</v>
      </c>
      <c r="X94" s="21" t="e">
        <f t="shared" si="15"/>
        <v>#N/A</v>
      </c>
      <c r="Y94" s="21" t="e">
        <f t="shared" si="16"/>
        <v>#N/A</v>
      </c>
      <c r="Z94" s="11" t="e">
        <f t="shared" si="17"/>
        <v>#N/A</v>
      </c>
      <c r="AA94" s="22" t="e">
        <f t="shared" si="18"/>
        <v>#N/A</v>
      </c>
      <c r="AB94" s="21" t="e">
        <f t="shared" si="19"/>
        <v>#N/A</v>
      </c>
      <c r="AC94" s="21" t="e">
        <f t="shared" si="20"/>
        <v>#N/A</v>
      </c>
      <c r="AD94" s="11" t="e">
        <f t="shared" si="21"/>
        <v>#N/A</v>
      </c>
      <c r="AE94" s="22" t="e">
        <f t="shared" si="22"/>
        <v>#N/A</v>
      </c>
      <c r="AF94" s="21" t="e">
        <f t="shared" si="23"/>
        <v>#N/A</v>
      </c>
      <c r="AG94" s="21" t="e">
        <f t="shared" si="24"/>
        <v>#N/A</v>
      </c>
      <c r="AH94" s="11" t="e">
        <f t="shared" si="25"/>
        <v>#N/A</v>
      </c>
      <c r="AI94">
        <v>2.5000000000000001E-2</v>
      </c>
      <c r="AJ94">
        <v>-2.5000000000000001E-2</v>
      </c>
      <c r="AK94">
        <v>1.5E-3</v>
      </c>
      <c r="AL94">
        <v>-1.5E-3</v>
      </c>
      <c r="AM94">
        <v>1.5E-3</v>
      </c>
      <c r="AN94">
        <v>-1.5E-3</v>
      </c>
      <c r="AO94" s="16">
        <v>2.5000000000000001E-2</v>
      </c>
      <c r="AP94" s="16">
        <v>-2.5000000000000001E-2</v>
      </c>
      <c r="AQ94">
        <v>1.4999999999999999E-2</v>
      </c>
      <c r="AR94">
        <v>-1.4999999999999999E-2</v>
      </c>
      <c r="AS94">
        <v>1E-3</v>
      </c>
      <c r="AT94">
        <v>-1E-3</v>
      </c>
      <c r="AU94">
        <v>1E-3</v>
      </c>
      <c r="AV94">
        <v>-1E-3</v>
      </c>
      <c r="AW94" s="16">
        <v>1.4999999999999999E-2</v>
      </c>
      <c r="AX94" s="16">
        <v>-1.4999999999999999E-2</v>
      </c>
    </row>
    <row r="95" spans="6:50">
      <c r="F95" s="17" t="str">
        <f t="shared" si="13"/>
        <v/>
      </c>
      <c r="G95" s="4"/>
      <c r="H95" s="2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22" t="e">
        <f t="shared" si="14"/>
        <v>#N/A</v>
      </c>
      <c r="X95" s="21" t="e">
        <f t="shared" si="15"/>
        <v>#N/A</v>
      </c>
      <c r="Y95" s="21" t="e">
        <f t="shared" si="16"/>
        <v>#N/A</v>
      </c>
      <c r="Z95" s="11" t="e">
        <f t="shared" si="17"/>
        <v>#N/A</v>
      </c>
      <c r="AA95" s="22" t="e">
        <f t="shared" si="18"/>
        <v>#N/A</v>
      </c>
      <c r="AB95" s="21" t="e">
        <f t="shared" si="19"/>
        <v>#N/A</v>
      </c>
      <c r="AC95" s="21" t="e">
        <f t="shared" si="20"/>
        <v>#N/A</v>
      </c>
      <c r="AD95" s="11" t="e">
        <f t="shared" si="21"/>
        <v>#N/A</v>
      </c>
      <c r="AE95" s="22" t="e">
        <f t="shared" si="22"/>
        <v>#N/A</v>
      </c>
      <c r="AF95" s="21" t="e">
        <f t="shared" si="23"/>
        <v>#N/A</v>
      </c>
      <c r="AG95" s="21" t="e">
        <f t="shared" si="24"/>
        <v>#N/A</v>
      </c>
      <c r="AH95" s="11" t="e">
        <f t="shared" si="25"/>
        <v>#N/A</v>
      </c>
      <c r="AI95">
        <v>2.5000000000000001E-2</v>
      </c>
      <c r="AJ95">
        <v>-2.5000000000000001E-2</v>
      </c>
      <c r="AK95">
        <v>1.5E-3</v>
      </c>
      <c r="AL95">
        <v>-1.5E-3</v>
      </c>
      <c r="AM95">
        <v>1.5E-3</v>
      </c>
      <c r="AN95">
        <v>-1.5E-3</v>
      </c>
      <c r="AO95" s="16">
        <v>2.5000000000000001E-2</v>
      </c>
      <c r="AP95" s="16">
        <v>-2.5000000000000001E-2</v>
      </c>
      <c r="AQ95">
        <v>1.4999999999999999E-2</v>
      </c>
      <c r="AR95">
        <v>-1.4999999999999999E-2</v>
      </c>
      <c r="AS95">
        <v>1E-3</v>
      </c>
      <c r="AT95">
        <v>-1E-3</v>
      </c>
      <c r="AU95">
        <v>1E-3</v>
      </c>
      <c r="AV95">
        <v>-1E-3</v>
      </c>
      <c r="AW95" s="16">
        <v>1.4999999999999999E-2</v>
      </c>
      <c r="AX95" s="16">
        <v>-1.4999999999999999E-2</v>
      </c>
    </row>
    <row r="96" spans="6:50">
      <c r="F96" s="17" t="str">
        <f t="shared" si="13"/>
        <v/>
      </c>
      <c r="G96" s="4"/>
      <c r="H96" s="2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22" t="e">
        <f t="shared" si="14"/>
        <v>#N/A</v>
      </c>
      <c r="X96" s="21" t="e">
        <f t="shared" si="15"/>
        <v>#N/A</v>
      </c>
      <c r="Y96" s="21" t="e">
        <f t="shared" si="16"/>
        <v>#N/A</v>
      </c>
      <c r="Z96" s="11" t="e">
        <f t="shared" si="17"/>
        <v>#N/A</v>
      </c>
      <c r="AA96" s="22" t="e">
        <f t="shared" si="18"/>
        <v>#N/A</v>
      </c>
      <c r="AB96" s="21" t="e">
        <f t="shared" si="19"/>
        <v>#N/A</v>
      </c>
      <c r="AC96" s="21" t="e">
        <f t="shared" si="20"/>
        <v>#N/A</v>
      </c>
      <c r="AD96" s="11" t="e">
        <f t="shared" si="21"/>
        <v>#N/A</v>
      </c>
      <c r="AE96" s="22" t="e">
        <f t="shared" si="22"/>
        <v>#N/A</v>
      </c>
      <c r="AF96" s="21" t="e">
        <f t="shared" si="23"/>
        <v>#N/A</v>
      </c>
      <c r="AG96" s="21" t="e">
        <f t="shared" si="24"/>
        <v>#N/A</v>
      </c>
      <c r="AH96" s="11" t="e">
        <f t="shared" si="25"/>
        <v>#N/A</v>
      </c>
      <c r="AI96">
        <v>2.5000000000000001E-2</v>
      </c>
      <c r="AJ96">
        <v>-2.5000000000000001E-2</v>
      </c>
      <c r="AK96">
        <v>1.5E-3</v>
      </c>
      <c r="AL96">
        <v>-1.5E-3</v>
      </c>
      <c r="AM96">
        <v>1.5E-3</v>
      </c>
      <c r="AN96">
        <v>-1.5E-3</v>
      </c>
      <c r="AO96" s="16">
        <v>2.5000000000000001E-2</v>
      </c>
      <c r="AP96" s="16">
        <v>-2.5000000000000001E-2</v>
      </c>
      <c r="AQ96">
        <v>1.4999999999999999E-2</v>
      </c>
      <c r="AR96">
        <v>-1.4999999999999999E-2</v>
      </c>
      <c r="AS96">
        <v>1E-3</v>
      </c>
      <c r="AT96">
        <v>-1E-3</v>
      </c>
      <c r="AU96">
        <v>1E-3</v>
      </c>
      <c r="AV96">
        <v>-1E-3</v>
      </c>
      <c r="AW96" s="16">
        <v>1.4999999999999999E-2</v>
      </c>
      <c r="AX96" s="16">
        <v>-1.4999999999999999E-2</v>
      </c>
    </row>
    <row r="97" spans="6:50">
      <c r="F97" s="17" t="str">
        <f t="shared" si="13"/>
        <v/>
      </c>
      <c r="G97" s="4"/>
      <c r="H97" s="2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22" t="e">
        <f t="shared" si="14"/>
        <v>#N/A</v>
      </c>
      <c r="X97" s="21" t="e">
        <f t="shared" si="15"/>
        <v>#N/A</v>
      </c>
      <c r="Y97" s="21" t="e">
        <f t="shared" si="16"/>
        <v>#N/A</v>
      </c>
      <c r="Z97" s="11" t="e">
        <f t="shared" si="17"/>
        <v>#N/A</v>
      </c>
      <c r="AA97" s="22" t="e">
        <f t="shared" si="18"/>
        <v>#N/A</v>
      </c>
      <c r="AB97" s="21" t="e">
        <f t="shared" si="19"/>
        <v>#N/A</v>
      </c>
      <c r="AC97" s="21" t="e">
        <f t="shared" si="20"/>
        <v>#N/A</v>
      </c>
      <c r="AD97" s="11" t="e">
        <f t="shared" si="21"/>
        <v>#N/A</v>
      </c>
      <c r="AE97" s="22" t="e">
        <f t="shared" si="22"/>
        <v>#N/A</v>
      </c>
      <c r="AF97" s="21" t="e">
        <f t="shared" si="23"/>
        <v>#N/A</v>
      </c>
      <c r="AG97" s="21" t="e">
        <f t="shared" si="24"/>
        <v>#N/A</v>
      </c>
      <c r="AH97" s="11" t="e">
        <f t="shared" si="25"/>
        <v>#N/A</v>
      </c>
      <c r="AI97">
        <v>2.5000000000000001E-2</v>
      </c>
      <c r="AJ97">
        <v>-2.5000000000000001E-2</v>
      </c>
      <c r="AK97">
        <v>1.5E-3</v>
      </c>
      <c r="AL97">
        <v>-1.5E-3</v>
      </c>
      <c r="AM97">
        <v>1.5E-3</v>
      </c>
      <c r="AN97">
        <v>-1.5E-3</v>
      </c>
      <c r="AO97" s="16">
        <v>2.5000000000000001E-2</v>
      </c>
      <c r="AP97" s="16">
        <v>-2.5000000000000001E-2</v>
      </c>
      <c r="AQ97">
        <v>1.4999999999999999E-2</v>
      </c>
      <c r="AR97">
        <v>-1.4999999999999999E-2</v>
      </c>
      <c r="AS97">
        <v>1E-3</v>
      </c>
      <c r="AT97">
        <v>-1E-3</v>
      </c>
      <c r="AU97">
        <v>1E-3</v>
      </c>
      <c r="AV97">
        <v>-1E-3</v>
      </c>
      <c r="AW97" s="16">
        <v>1.4999999999999999E-2</v>
      </c>
      <c r="AX97" s="16">
        <v>-1.4999999999999999E-2</v>
      </c>
    </row>
    <row r="98" spans="6:50">
      <c r="F98" s="17" t="str">
        <f t="shared" si="13"/>
        <v/>
      </c>
      <c r="G98" s="4"/>
      <c r="H98" s="2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22" t="e">
        <f t="shared" si="14"/>
        <v>#N/A</v>
      </c>
      <c r="X98" s="21" t="e">
        <f t="shared" si="15"/>
        <v>#N/A</v>
      </c>
      <c r="Y98" s="21" t="e">
        <f t="shared" si="16"/>
        <v>#N/A</v>
      </c>
      <c r="Z98" s="11" t="e">
        <f t="shared" si="17"/>
        <v>#N/A</v>
      </c>
      <c r="AA98" s="22" t="e">
        <f t="shared" si="18"/>
        <v>#N/A</v>
      </c>
      <c r="AB98" s="21" t="e">
        <f t="shared" si="19"/>
        <v>#N/A</v>
      </c>
      <c r="AC98" s="21" t="e">
        <f t="shared" si="20"/>
        <v>#N/A</v>
      </c>
      <c r="AD98" s="11" t="e">
        <f t="shared" si="21"/>
        <v>#N/A</v>
      </c>
      <c r="AE98" s="22" t="e">
        <f t="shared" si="22"/>
        <v>#N/A</v>
      </c>
      <c r="AF98" s="21" t="e">
        <f t="shared" si="23"/>
        <v>#N/A</v>
      </c>
      <c r="AG98" s="21" t="e">
        <f t="shared" si="24"/>
        <v>#N/A</v>
      </c>
      <c r="AH98" s="11" t="e">
        <f t="shared" si="25"/>
        <v>#N/A</v>
      </c>
      <c r="AI98">
        <v>2.5000000000000001E-2</v>
      </c>
      <c r="AJ98">
        <v>-2.5000000000000001E-2</v>
      </c>
      <c r="AK98">
        <v>1.5E-3</v>
      </c>
      <c r="AL98">
        <v>-1.5E-3</v>
      </c>
      <c r="AM98">
        <v>1.5E-3</v>
      </c>
      <c r="AN98">
        <v>-1.5E-3</v>
      </c>
      <c r="AO98" s="16">
        <v>2.5000000000000001E-2</v>
      </c>
      <c r="AP98" s="16">
        <v>-2.5000000000000001E-2</v>
      </c>
      <c r="AQ98">
        <v>1.4999999999999999E-2</v>
      </c>
      <c r="AR98">
        <v>-1.4999999999999999E-2</v>
      </c>
      <c r="AS98">
        <v>1E-3</v>
      </c>
      <c r="AT98">
        <v>-1E-3</v>
      </c>
      <c r="AU98">
        <v>1E-3</v>
      </c>
      <c r="AV98">
        <v>-1E-3</v>
      </c>
      <c r="AW98" s="16">
        <v>1.4999999999999999E-2</v>
      </c>
      <c r="AX98" s="16">
        <v>-1.4999999999999999E-2</v>
      </c>
    </row>
    <row r="99" spans="6:50">
      <c r="F99" s="17" t="str">
        <f t="shared" si="13"/>
        <v/>
      </c>
      <c r="G99" s="4"/>
      <c r="H99" s="2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22" t="e">
        <f t="shared" si="14"/>
        <v>#N/A</v>
      </c>
      <c r="X99" s="21" t="e">
        <f t="shared" si="15"/>
        <v>#N/A</v>
      </c>
      <c r="Y99" s="21" t="e">
        <f t="shared" si="16"/>
        <v>#N/A</v>
      </c>
      <c r="Z99" s="11" t="e">
        <f t="shared" si="17"/>
        <v>#N/A</v>
      </c>
      <c r="AA99" s="22" t="e">
        <f t="shared" si="18"/>
        <v>#N/A</v>
      </c>
      <c r="AB99" s="21" t="e">
        <f t="shared" si="19"/>
        <v>#N/A</v>
      </c>
      <c r="AC99" s="21" t="e">
        <f t="shared" si="20"/>
        <v>#N/A</v>
      </c>
      <c r="AD99" s="11" t="e">
        <f t="shared" si="21"/>
        <v>#N/A</v>
      </c>
      <c r="AE99" s="22" t="e">
        <f t="shared" si="22"/>
        <v>#N/A</v>
      </c>
      <c r="AF99" s="21" t="e">
        <f t="shared" si="23"/>
        <v>#N/A</v>
      </c>
      <c r="AG99" s="21" t="e">
        <f t="shared" si="24"/>
        <v>#N/A</v>
      </c>
      <c r="AH99" s="11" t="e">
        <f t="shared" si="25"/>
        <v>#N/A</v>
      </c>
      <c r="AI99">
        <v>2.5000000000000001E-2</v>
      </c>
      <c r="AJ99">
        <v>-2.5000000000000001E-2</v>
      </c>
      <c r="AK99">
        <v>1.5E-3</v>
      </c>
      <c r="AL99">
        <v>-1.5E-3</v>
      </c>
      <c r="AM99">
        <v>1.5E-3</v>
      </c>
      <c r="AN99">
        <v>-1.5E-3</v>
      </c>
      <c r="AO99" s="16">
        <v>2.5000000000000001E-2</v>
      </c>
      <c r="AP99" s="16">
        <v>-2.5000000000000001E-2</v>
      </c>
      <c r="AQ99">
        <v>1.4999999999999999E-2</v>
      </c>
      <c r="AR99">
        <v>-1.4999999999999999E-2</v>
      </c>
      <c r="AS99">
        <v>1E-3</v>
      </c>
      <c r="AT99">
        <v>-1E-3</v>
      </c>
      <c r="AU99">
        <v>1E-3</v>
      </c>
      <c r="AV99">
        <v>-1E-3</v>
      </c>
      <c r="AW99" s="16">
        <v>1.4999999999999999E-2</v>
      </c>
      <c r="AX99" s="16">
        <v>-1.4999999999999999E-2</v>
      </c>
    </row>
    <row r="100" spans="6:50">
      <c r="F100" s="17" t="str">
        <f t="shared" si="13"/>
        <v/>
      </c>
      <c r="G100" s="4"/>
      <c r="H100" s="2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22" t="e">
        <f t="shared" si="14"/>
        <v>#N/A</v>
      </c>
      <c r="X100" s="21" t="e">
        <f t="shared" si="15"/>
        <v>#N/A</v>
      </c>
      <c r="Y100" s="21" t="e">
        <f t="shared" si="16"/>
        <v>#N/A</v>
      </c>
      <c r="Z100" s="11" t="e">
        <f t="shared" si="17"/>
        <v>#N/A</v>
      </c>
      <c r="AA100" s="22" t="e">
        <f t="shared" si="18"/>
        <v>#N/A</v>
      </c>
      <c r="AB100" s="21" t="e">
        <f t="shared" si="19"/>
        <v>#N/A</v>
      </c>
      <c r="AC100" s="21" t="e">
        <f t="shared" si="20"/>
        <v>#N/A</v>
      </c>
      <c r="AD100" s="11" t="e">
        <f t="shared" si="21"/>
        <v>#N/A</v>
      </c>
      <c r="AE100" s="22" t="e">
        <f t="shared" si="22"/>
        <v>#N/A</v>
      </c>
      <c r="AF100" s="21" t="e">
        <f t="shared" si="23"/>
        <v>#N/A</v>
      </c>
      <c r="AG100" s="21" t="e">
        <f t="shared" si="24"/>
        <v>#N/A</v>
      </c>
      <c r="AH100" s="11" t="e">
        <f t="shared" si="25"/>
        <v>#N/A</v>
      </c>
      <c r="AI100">
        <v>2.5000000000000001E-2</v>
      </c>
      <c r="AJ100">
        <v>-2.5000000000000001E-2</v>
      </c>
      <c r="AK100">
        <v>1.5E-3</v>
      </c>
      <c r="AL100">
        <v>-1.5E-3</v>
      </c>
      <c r="AM100">
        <v>1.5E-3</v>
      </c>
      <c r="AN100">
        <v>-1.5E-3</v>
      </c>
      <c r="AO100" s="16">
        <v>2.5000000000000001E-2</v>
      </c>
      <c r="AP100" s="16">
        <v>-2.5000000000000001E-2</v>
      </c>
      <c r="AQ100">
        <v>1.4999999999999999E-2</v>
      </c>
      <c r="AR100">
        <v>-1.4999999999999999E-2</v>
      </c>
      <c r="AS100">
        <v>1E-3</v>
      </c>
      <c r="AT100">
        <v>-1E-3</v>
      </c>
      <c r="AU100">
        <v>1E-3</v>
      </c>
      <c r="AV100">
        <v>-1E-3</v>
      </c>
      <c r="AW100" s="16">
        <v>1.4999999999999999E-2</v>
      </c>
      <c r="AX100" s="16">
        <v>-1.4999999999999999E-2</v>
      </c>
    </row>
  </sheetData>
  <mergeCells count="6">
    <mergeCell ref="AE4:AH4"/>
    <mergeCell ref="H4:L4"/>
    <mergeCell ref="M4:Q4"/>
    <mergeCell ref="R4:V4"/>
    <mergeCell ref="W4:Z4"/>
    <mergeCell ref="AA4:AD4"/>
  </mergeCells>
  <phoneticPr fontId="1"/>
  <conditionalFormatting sqref="W6:AH100">
    <cfRule type="containsErrors" dxfId="4" priority="1">
      <formula>ISERROR(W6)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S100"/>
  <sheetViews>
    <sheetView showGridLines="0" zoomScale="70" zoomScaleNormal="70" workbookViewId="0">
      <pane ySplit="5" topLeftCell="A6" activePane="bottomLeft" state="frozen"/>
      <selection pane="bottomLeft" activeCell="F24" sqref="F24"/>
    </sheetView>
  </sheetViews>
  <sheetFormatPr defaultRowHeight="13.5"/>
  <cols>
    <col min="1" max="5" width="9" style="18"/>
    <col min="6" max="6" width="16.125" style="18" bestFit="1" customWidth="1"/>
    <col min="7" max="7" width="20.625" style="19" bestFit="1" customWidth="1"/>
    <col min="8" max="8" width="11.25" style="26" customWidth="1"/>
    <col min="9" max="9" width="11.25" style="20" customWidth="1"/>
    <col min="10" max="10" width="9.75" style="20" customWidth="1"/>
    <col min="11" max="11" width="9.25" style="20" customWidth="1"/>
    <col min="12" max="13" width="9.75" style="20" customWidth="1"/>
    <col min="14" max="14" width="10.125" style="20" customWidth="1"/>
    <col min="15" max="15" width="10" style="20" customWidth="1"/>
    <col min="16" max="22" width="9" style="20"/>
    <col min="23" max="16384" width="9" style="18"/>
  </cols>
  <sheetData>
    <row r="1" spans="1:279" customFormat="1">
      <c r="G1" s="7"/>
      <c r="H1" s="23"/>
      <c r="K1" s="1"/>
      <c r="L1" s="1"/>
      <c r="M1" s="27"/>
      <c r="R1" s="8"/>
    </row>
    <row r="2" spans="1:279" customFormat="1">
      <c r="G2" s="10"/>
      <c r="H2" s="24"/>
      <c r="I2" s="18"/>
      <c r="J2" s="10"/>
      <c r="K2" s="1"/>
      <c r="L2" s="1"/>
      <c r="M2" s="27"/>
      <c r="R2" s="8"/>
    </row>
    <row r="3" spans="1:279" customFormat="1">
      <c r="G3" s="10"/>
      <c r="H3" s="24"/>
      <c r="I3" s="13">
        <v>3.1103700000000001</v>
      </c>
      <c r="J3" s="13">
        <v>0.29050100000000001</v>
      </c>
      <c r="K3" s="14">
        <v>0.28018300000000002</v>
      </c>
      <c r="L3" s="14">
        <v>27.681999999999999</v>
      </c>
      <c r="M3" s="27"/>
      <c r="N3" s="13">
        <v>3.1324200000000002</v>
      </c>
      <c r="O3" s="13">
        <v>0.28729700000000002</v>
      </c>
      <c r="P3" s="14">
        <v>0.27366200000000002</v>
      </c>
      <c r="Q3" s="14">
        <v>27.869</v>
      </c>
      <c r="R3" s="27"/>
      <c r="S3" s="13">
        <v>3.1106600000000002</v>
      </c>
      <c r="T3" s="13">
        <v>0.28251900000000002</v>
      </c>
      <c r="U3" s="14">
        <v>0.26605899999999999</v>
      </c>
      <c r="V3" s="14">
        <v>27.683</v>
      </c>
    </row>
    <row r="4" spans="1:279" customFormat="1">
      <c r="A4" t="s">
        <v>15</v>
      </c>
      <c r="G4" s="3"/>
      <c r="H4" s="34" t="s">
        <v>5</v>
      </c>
      <c r="I4" s="34"/>
      <c r="J4" s="34"/>
      <c r="K4" s="34"/>
      <c r="L4" s="34"/>
      <c r="M4" s="35" t="s">
        <v>6</v>
      </c>
      <c r="N4" s="36"/>
      <c r="O4" s="36"/>
      <c r="P4" s="36"/>
      <c r="Q4" s="37"/>
      <c r="R4" s="35" t="s">
        <v>7</v>
      </c>
      <c r="S4" s="36"/>
      <c r="T4" s="36"/>
      <c r="U4" s="36"/>
      <c r="V4" s="37"/>
      <c r="W4" s="34" t="s">
        <v>5</v>
      </c>
      <c r="X4" s="34"/>
      <c r="Y4" s="34"/>
      <c r="Z4" s="34"/>
      <c r="AA4" s="34" t="s">
        <v>6</v>
      </c>
      <c r="AB4" s="34"/>
      <c r="AC4" s="34"/>
      <c r="AD4" s="34"/>
      <c r="AE4" s="34" t="s">
        <v>7</v>
      </c>
      <c r="AF4" s="34"/>
      <c r="AG4" s="34"/>
      <c r="AH4" s="34"/>
      <c r="AI4" t="s">
        <v>12</v>
      </c>
      <c r="AJ4" t="s">
        <v>12</v>
      </c>
      <c r="AK4" t="s">
        <v>12</v>
      </c>
      <c r="AL4" t="s">
        <v>12</v>
      </c>
      <c r="AM4" t="s">
        <v>12</v>
      </c>
      <c r="AN4" t="s">
        <v>12</v>
      </c>
      <c r="AO4" t="s">
        <v>12</v>
      </c>
      <c r="AP4" t="s">
        <v>12</v>
      </c>
      <c r="AQ4" t="s">
        <v>13</v>
      </c>
      <c r="AR4" t="s">
        <v>13</v>
      </c>
      <c r="AS4" t="s">
        <v>13</v>
      </c>
      <c r="AT4" t="s">
        <v>13</v>
      </c>
      <c r="AU4" t="s">
        <v>13</v>
      </c>
      <c r="AV4" t="s">
        <v>13</v>
      </c>
      <c r="AW4" t="s">
        <v>13</v>
      </c>
      <c r="AX4" t="s">
        <v>13</v>
      </c>
      <c r="BA4" t="s">
        <v>51</v>
      </c>
      <c r="BF4" t="s">
        <v>52</v>
      </c>
    </row>
    <row r="5" spans="1:279" customFormat="1">
      <c r="A5" s="2"/>
      <c r="B5" s="2" t="s">
        <v>1</v>
      </c>
      <c r="C5" s="2" t="s">
        <v>2</v>
      </c>
      <c r="D5" s="2" t="s">
        <v>3</v>
      </c>
      <c r="E5" s="2" t="s">
        <v>4</v>
      </c>
      <c r="G5" s="2" t="s">
        <v>0</v>
      </c>
      <c r="H5" s="5" t="s">
        <v>14</v>
      </c>
      <c r="I5" s="2" t="s">
        <v>1</v>
      </c>
      <c r="J5" s="2" t="s">
        <v>2</v>
      </c>
      <c r="K5" s="2" t="s">
        <v>3</v>
      </c>
      <c r="L5" s="2" t="s">
        <v>4</v>
      </c>
      <c r="M5" s="5" t="s">
        <v>14</v>
      </c>
      <c r="N5" s="2" t="s">
        <v>1</v>
      </c>
      <c r="O5" s="2" t="s">
        <v>2</v>
      </c>
      <c r="P5" s="2" t="s">
        <v>3</v>
      </c>
      <c r="Q5" s="2" t="s">
        <v>4</v>
      </c>
      <c r="R5" s="5" t="s">
        <v>14</v>
      </c>
      <c r="S5" s="2" t="s">
        <v>1</v>
      </c>
      <c r="T5" s="2" t="s">
        <v>2</v>
      </c>
      <c r="U5" s="2" t="s">
        <v>3</v>
      </c>
      <c r="V5" s="2" t="s">
        <v>4</v>
      </c>
      <c r="W5" s="2" t="s">
        <v>1</v>
      </c>
      <c r="X5" s="2" t="s">
        <v>2</v>
      </c>
      <c r="Y5" s="2" t="s">
        <v>3</v>
      </c>
      <c r="Z5" s="2" t="s">
        <v>4</v>
      </c>
      <c r="AA5" s="2" t="s">
        <v>1</v>
      </c>
      <c r="AB5" s="2" t="s">
        <v>2</v>
      </c>
      <c r="AC5" s="2" t="s">
        <v>3</v>
      </c>
      <c r="AD5" s="2" t="s">
        <v>4</v>
      </c>
      <c r="AE5" s="2" t="s">
        <v>1</v>
      </c>
      <c r="AF5" s="2" t="s">
        <v>2</v>
      </c>
      <c r="AG5" s="2" t="s">
        <v>3</v>
      </c>
      <c r="AH5" s="2" t="s">
        <v>4</v>
      </c>
      <c r="AI5" s="15" t="s">
        <v>1</v>
      </c>
      <c r="AK5" t="s">
        <v>2</v>
      </c>
      <c r="AM5" t="s">
        <v>3</v>
      </c>
      <c r="AO5" t="s">
        <v>4</v>
      </c>
      <c r="AQ5" s="15" t="s">
        <v>1</v>
      </c>
      <c r="AS5" t="s">
        <v>2</v>
      </c>
      <c r="AU5" t="s">
        <v>3</v>
      </c>
      <c r="AW5" t="s">
        <v>4</v>
      </c>
      <c r="BA5" t="s">
        <v>47</v>
      </c>
      <c r="BB5" t="s">
        <v>48</v>
      </c>
      <c r="BC5" t="s">
        <v>49</v>
      </c>
      <c r="BD5" t="s">
        <v>50</v>
      </c>
      <c r="BF5" t="s">
        <v>47</v>
      </c>
      <c r="BG5" t="s">
        <v>48</v>
      </c>
      <c r="BH5" t="s">
        <v>49</v>
      </c>
      <c r="BI5" t="s">
        <v>50</v>
      </c>
    </row>
    <row r="6" spans="1:279" customFormat="1">
      <c r="A6" s="2">
        <v>1</v>
      </c>
      <c r="B6" s="2">
        <v>3.1193599999999999</v>
      </c>
      <c r="C6" s="2">
        <v>0.28995700000000002</v>
      </c>
      <c r="D6" s="2">
        <v>0.28256799999999999</v>
      </c>
      <c r="E6" s="2">
        <v>27.1952</v>
      </c>
      <c r="F6" s="17">
        <f>IF(G6="","",G6)</f>
        <v>44243.489027777781</v>
      </c>
      <c r="G6" s="9">
        <v>44243.489027777781</v>
      </c>
      <c r="H6" s="25">
        <v>1</v>
      </c>
      <c r="I6" s="12">
        <v>3.1110000000000002</v>
      </c>
      <c r="J6" s="5">
        <v>0.28924</v>
      </c>
      <c r="K6" s="5">
        <v>0.27867999999999998</v>
      </c>
      <c r="L6" s="5">
        <v>27.361000000000001</v>
      </c>
      <c r="M6" s="5">
        <v>2</v>
      </c>
      <c r="N6" s="5">
        <v>3.1110000000000002</v>
      </c>
      <c r="O6" s="5">
        <v>0.28821000000000002</v>
      </c>
      <c r="P6" s="5">
        <v>0.27448</v>
      </c>
      <c r="Q6" s="5">
        <v>28.675999999999998</v>
      </c>
      <c r="R6" s="5">
        <v>3</v>
      </c>
      <c r="S6" s="5">
        <v>3.1120000000000001</v>
      </c>
      <c r="T6" s="5">
        <v>0.28444999999999998</v>
      </c>
      <c r="U6" s="5">
        <v>0.27098</v>
      </c>
      <c r="V6" s="5">
        <v>28.204000000000001</v>
      </c>
      <c r="W6" s="22">
        <f>IF(H6="",NA(),I6-VLOOKUP(H6,$A$6:$E$35,2,FALSE))</f>
        <v>-8.359999999999701E-3</v>
      </c>
      <c r="X6" s="21">
        <f>IF(H6="",NA(),J6-VLOOKUP(H6,$A$6:$E$35,3,FALSE))</f>
        <v>-7.1700000000002317E-4</v>
      </c>
      <c r="Y6" s="21">
        <f>IF(H6="",NA(),K6-VLOOKUP(H6,$A$6:$E$35,4,FALSE))</f>
        <v>-3.8880000000000026E-3</v>
      </c>
      <c r="Z6" s="11">
        <f>IF(H6="",NA(),L6/VLOOKUP(H6,$A$6:$E$35,5,FALSE)-1)</f>
        <v>6.0966641171971148E-3</v>
      </c>
      <c r="AA6" s="22">
        <f>IF(M6="",NA(),N6-VLOOKUP(M6,$A$6:$E$35,2,FALSE))</f>
        <v>3.6599999999999966E-3</v>
      </c>
      <c r="AB6" s="21">
        <f>IF(M6="",NA(),O6-VLOOKUP(M6,$A$6:$E$35,3,FALSE))</f>
        <v>-1.9959999999999978E-3</v>
      </c>
      <c r="AC6" s="21">
        <f>IF(M6="",NA(),P6-VLOOKUP(M6,$A$6:$E$35,4,FALSE))</f>
        <v>-4.5930000000000137E-3</v>
      </c>
      <c r="AD6" s="11">
        <f>IF(M6="",NA(),Q6/VLOOKUP(M6,$A$6:$E$35,5,FALSE)-1)</f>
        <v>4.218380319313253E-2</v>
      </c>
      <c r="AE6" s="22">
        <f>IF(R6="",NA(),S6-VLOOKUP(R6,$A$6:$E$35,2,FALSE))</f>
        <v>-3.8599999999999746E-3</v>
      </c>
      <c r="AF6" s="21">
        <f>IF(R6="",NA(),T6-VLOOKUP(R6,$A$6:$E$35,3,FALSE))</f>
        <v>-5.0070000000000392E-3</v>
      </c>
      <c r="AG6" s="21">
        <f>IF(R6="",NA(),U6-VLOOKUP(R6,$A$6:$E$35,4,FALSE))</f>
        <v>-7.3940000000000117E-3</v>
      </c>
      <c r="AH6" s="11">
        <f>IF(R6="",NA(),V6/VLOOKUP(R6,$A$6:$E$35,5,FALSE)-1)</f>
        <v>2.2528695626953255E-2</v>
      </c>
      <c r="AI6">
        <v>2.5000000000000001E-2</v>
      </c>
      <c r="AJ6">
        <v>-2.5000000000000001E-2</v>
      </c>
      <c r="AK6">
        <v>1.5E-3</v>
      </c>
      <c r="AL6">
        <v>-1.5E-3</v>
      </c>
      <c r="AM6">
        <v>1.5E-3</v>
      </c>
      <c r="AN6">
        <v>-1.5E-3</v>
      </c>
      <c r="AO6" s="16">
        <v>2.5000000000000001E-2</v>
      </c>
      <c r="AP6" s="16">
        <v>-2.5000000000000001E-2</v>
      </c>
      <c r="AQ6">
        <v>1.4999999999999999E-2</v>
      </c>
      <c r="AR6">
        <v>-1.4999999999999999E-2</v>
      </c>
      <c r="AS6">
        <v>1E-3</v>
      </c>
      <c r="AT6">
        <v>-1E-3</v>
      </c>
      <c r="AU6">
        <v>1E-3</v>
      </c>
      <c r="AV6">
        <v>-1E-3</v>
      </c>
      <c r="AW6" s="16">
        <v>1.4999999999999999E-2</v>
      </c>
      <c r="AX6" s="16">
        <v>-1.4999999999999999E-2</v>
      </c>
    </row>
    <row r="7" spans="1:279" customFormat="1">
      <c r="A7" s="2">
        <v>2</v>
      </c>
      <c r="B7" s="2">
        <v>3.1073400000000002</v>
      </c>
      <c r="C7" s="2">
        <v>0.29020600000000002</v>
      </c>
      <c r="D7" s="2">
        <v>0.27907300000000002</v>
      </c>
      <c r="E7" s="2">
        <v>27.5153</v>
      </c>
      <c r="F7" s="17">
        <f t="shared" ref="F7:F70" si="0">IF(G7="","",G7)</f>
        <v>44244.026342592595</v>
      </c>
      <c r="G7" s="9">
        <v>44244.026342592595</v>
      </c>
      <c r="H7" s="25">
        <v>1</v>
      </c>
      <c r="I7" s="5">
        <v>3.11</v>
      </c>
      <c r="J7" s="5">
        <v>0.28921999999999998</v>
      </c>
      <c r="K7" s="5">
        <v>0.27873999999999999</v>
      </c>
      <c r="L7" s="5">
        <v>27.324999999999999</v>
      </c>
      <c r="M7" s="5">
        <v>2</v>
      </c>
      <c r="N7" s="5">
        <v>3.109</v>
      </c>
      <c r="O7" s="5">
        <v>0.28804000000000002</v>
      </c>
      <c r="P7" s="5">
        <v>0.27410000000000001</v>
      </c>
      <c r="Q7" s="5">
        <v>28.603999999999999</v>
      </c>
      <c r="R7" s="5">
        <v>3</v>
      </c>
      <c r="S7" s="5">
        <v>3.1080000000000001</v>
      </c>
      <c r="T7" s="5">
        <v>0.28442000000000001</v>
      </c>
      <c r="U7" s="5">
        <v>0.27073999999999998</v>
      </c>
      <c r="V7" s="5">
        <v>28.166</v>
      </c>
      <c r="W7" s="22">
        <f t="shared" ref="W7:W70" si="1">IF(H7="",NA(),I7-VLOOKUP(H7,$A$6:$E$35,2,FALSE))</f>
        <v>-9.360000000000035E-3</v>
      </c>
      <c r="X7" s="21">
        <f t="shared" ref="X7:X70" si="2">IF(H7="",NA(),J7-VLOOKUP(H7,$A$6:$E$35,3,FALSE))</f>
        <v>-7.3700000000004318E-4</v>
      </c>
      <c r="Y7" s="21">
        <f t="shared" ref="Y7:Y70" si="3">IF(H7="",NA(),K7-VLOOKUP(H7,$A$6:$E$35,4,FALSE))</f>
        <v>-3.8279999999999981E-3</v>
      </c>
      <c r="Z7" s="11">
        <f t="shared" ref="Z7:Z70" si="4">IF(H7="",NA(),L7/VLOOKUP(H7,$A$6:$E$35,5,FALSE)-1)</f>
        <v>4.7729011001942379E-3</v>
      </c>
      <c r="AA7" s="22">
        <f t="shared" ref="AA7:AA70" si="5">IF(M7="",NA(),N7-VLOOKUP(M7,$A$6:$E$35,2,FALSE))</f>
        <v>1.6599999999997728E-3</v>
      </c>
      <c r="AB7" s="21">
        <f t="shared" ref="AB7:AB70" si="6">IF(M7="",NA(),O7-VLOOKUP(M7,$A$6:$E$35,3,FALSE))</f>
        <v>-2.1660000000000013E-3</v>
      </c>
      <c r="AC7" s="21">
        <f t="shared" ref="AC7:AC70" si="7">IF(M7="",NA(),P7-VLOOKUP(M7,$A$6:$E$35,4,FALSE))</f>
        <v>-4.9730000000000052E-3</v>
      </c>
      <c r="AD7" s="11">
        <f t="shared" ref="AD7:AD70" si="8">IF(M7="",NA(),Q7/VLOOKUP(M7,$A$6:$E$35,5,FALSE)-1)</f>
        <v>3.956707722612518E-2</v>
      </c>
      <c r="AE7" s="22">
        <f t="shared" ref="AE7:AE70" si="9">IF(R7="",NA(),S7-VLOOKUP(R7,$A$6:$E$35,2,FALSE))</f>
        <v>-7.8599999999999781E-3</v>
      </c>
      <c r="AF7" s="21">
        <f t="shared" ref="AF7:AF70" si="10">IF(R7="",NA(),T7-VLOOKUP(R7,$A$6:$E$35,3,FALSE))</f>
        <v>-5.0370000000000137E-3</v>
      </c>
      <c r="AG7" s="21">
        <f t="shared" ref="AG7:AG70" si="11">IF(R7="",NA(),U7-VLOOKUP(R7,$A$6:$E$35,4,FALSE))</f>
        <v>-7.6340000000000297E-3</v>
      </c>
      <c r="AH7" s="11">
        <f t="shared" ref="AH7:AH70" si="12">IF(R7="",NA(),V7/VLOOKUP(R7,$A$6:$E$35,5,FALSE)-1)</f>
        <v>2.1151015495276093E-2</v>
      </c>
      <c r="AI7">
        <v>2.5000000000000001E-2</v>
      </c>
      <c r="AJ7">
        <v>-2.5000000000000001E-2</v>
      </c>
      <c r="AK7">
        <v>1.5E-3</v>
      </c>
      <c r="AL7">
        <v>-1.5E-3</v>
      </c>
      <c r="AM7">
        <v>1.5E-3</v>
      </c>
      <c r="AN7">
        <v>-1.5E-3</v>
      </c>
      <c r="AO7" s="16">
        <v>2.5000000000000001E-2</v>
      </c>
      <c r="AP7" s="16">
        <v>-2.5000000000000001E-2</v>
      </c>
      <c r="AQ7">
        <v>1.4999999999999999E-2</v>
      </c>
      <c r="AR7">
        <v>-1.4999999999999999E-2</v>
      </c>
      <c r="AS7">
        <v>1E-3</v>
      </c>
      <c r="AT7">
        <v>-1E-3</v>
      </c>
      <c r="AU7">
        <v>1E-3</v>
      </c>
      <c r="AV7">
        <v>-1E-3</v>
      </c>
      <c r="AW7" s="16">
        <v>1.4999999999999999E-2</v>
      </c>
      <c r="AX7" s="16">
        <v>-1.4999999999999999E-2</v>
      </c>
    </row>
    <row r="8" spans="1:279" customFormat="1">
      <c r="A8" s="2">
        <v>3</v>
      </c>
      <c r="B8" s="2">
        <v>3.1158600000000001</v>
      </c>
      <c r="C8" s="2">
        <v>0.28945700000000002</v>
      </c>
      <c r="D8" s="2">
        <v>0.27837400000000001</v>
      </c>
      <c r="E8" s="2">
        <v>27.582599999999999</v>
      </c>
      <c r="F8" s="17">
        <f t="shared" si="0"/>
        <v>44244.686608796299</v>
      </c>
      <c r="G8" s="9">
        <v>44244.686608796299</v>
      </c>
      <c r="H8" s="25">
        <v>1</v>
      </c>
      <c r="I8" s="5">
        <v>3.1110000000000002</v>
      </c>
      <c r="J8" s="5">
        <v>0.28917999999999999</v>
      </c>
      <c r="K8" s="5">
        <v>0.27847</v>
      </c>
      <c r="L8" s="5">
        <v>27.109000000000002</v>
      </c>
      <c r="M8" s="5">
        <v>2</v>
      </c>
      <c r="N8" s="5">
        <v>3.1110000000000002</v>
      </c>
      <c r="O8" s="5">
        <v>0.28816000000000003</v>
      </c>
      <c r="P8" s="5">
        <v>0.27433999999999997</v>
      </c>
      <c r="Q8" s="5">
        <v>28.529</v>
      </c>
      <c r="R8" s="5">
        <v>3</v>
      </c>
      <c r="S8" s="5">
        <v>3.11</v>
      </c>
      <c r="T8" s="5">
        <v>0.28458</v>
      </c>
      <c r="U8" s="5">
        <v>0.27101999999999998</v>
      </c>
      <c r="V8" s="5">
        <v>28.094000000000001</v>
      </c>
      <c r="W8" s="22">
        <f t="shared" si="1"/>
        <v>-8.359999999999701E-3</v>
      </c>
      <c r="X8" s="21">
        <f t="shared" si="2"/>
        <v>-7.7700000000002767E-4</v>
      </c>
      <c r="Y8" s="21">
        <f t="shared" si="3"/>
        <v>-4.0979999999999905E-3</v>
      </c>
      <c r="Z8" s="11">
        <f t="shared" si="4"/>
        <v>-3.1696770018238007E-3</v>
      </c>
      <c r="AA8" s="22">
        <f t="shared" si="5"/>
        <v>3.6599999999999966E-3</v>
      </c>
      <c r="AB8" s="21">
        <f t="shared" si="6"/>
        <v>-2.0459999999999923E-3</v>
      </c>
      <c r="AC8" s="21">
        <f t="shared" si="7"/>
        <v>-4.7330000000000427E-3</v>
      </c>
      <c r="AD8" s="11">
        <f t="shared" si="8"/>
        <v>3.6841321010492312E-2</v>
      </c>
      <c r="AE8" s="22">
        <f t="shared" si="9"/>
        <v>-5.8600000000001984E-3</v>
      </c>
      <c r="AF8" s="21">
        <f t="shared" si="10"/>
        <v>-4.8770000000000202E-3</v>
      </c>
      <c r="AG8" s="21">
        <f t="shared" si="11"/>
        <v>-7.3540000000000272E-3</v>
      </c>
      <c r="AH8" s="11">
        <f t="shared" si="12"/>
        <v>1.8540674193150863E-2</v>
      </c>
      <c r="AI8">
        <v>2.5000000000000001E-2</v>
      </c>
      <c r="AJ8">
        <v>-2.5000000000000001E-2</v>
      </c>
      <c r="AK8">
        <v>1.5E-3</v>
      </c>
      <c r="AL8">
        <v>-1.5E-3</v>
      </c>
      <c r="AM8">
        <v>1.5E-3</v>
      </c>
      <c r="AN8">
        <v>-1.5E-3</v>
      </c>
      <c r="AO8" s="16">
        <v>2.5000000000000001E-2</v>
      </c>
      <c r="AP8" s="16">
        <v>-2.5000000000000001E-2</v>
      </c>
      <c r="AQ8">
        <v>1.4999999999999999E-2</v>
      </c>
      <c r="AR8">
        <v>-1.4999999999999999E-2</v>
      </c>
      <c r="AS8">
        <v>1E-3</v>
      </c>
      <c r="AT8">
        <v>-1E-3</v>
      </c>
      <c r="AU8">
        <v>1E-3</v>
      </c>
      <c r="AV8">
        <v>-1E-3</v>
      </c>
      <c r="AW8" s="16">
        <v>1.4999999999999999E-2</v>
      </c>
      <c r="AX8" s="16">
        <v>-1.4999999999999999E-2</v>
      </c>
      <c r="JS8">
        <v>12.849506578947368</v>
      </c>
    </row>
    <row r="9" spans="1:279" customFormat="1">
      <c r="A9" s="2">
        <v>4</v>
      </c>
      <c r="B9" s="2">
        <v>3.1199300000000001</v>
      </c>
      <c r="C9" s="2">
        <v>0.288769</v>
      </c>
      <c r="D9" s="2">
        <v>0.28003600000000001</v>
      </c>
      <c r="E9" s="2">
        <v>27.685099999999998</v>
      </c>
      <c r="F9" s="17">
        <f t="shared" si="0"/>
        <v>44244.754965277774</v>
      </c>
      <c r="G9" s="9">
        <v>44244.754965277774</v>
      </c>
      <c r="H9" s="25">
        <v>1</v>
      </c>
      <c r="I9" s="5">
        <v>3.1080000000000001</v>
      </c>
      <c r="J9" s="5">
        <v>0.28905999999999998</v>
      </c>
      <c r="K9" s="5">
        <v>0.27834999999999999</v>
      </c>
      <c r="L9" s="5">
        <v>27.11</v>
      </c>
      <c r="M9" s="5">
        <v>2</v>
      </c>
      <c r="N9" s="5">
        <v>3.1070000000000002</v>
      </c>
      <c r="O9" s="5">
        <v>0.28800999999999999</v>
      </c>
      <c r="P9" s="5">
        <v>0.27417000000000002</v>
      </c>
      <c r="Q9" s="5">
        <v>28.481000000000002</v>
      </c>
      <c r="R9" s="5">
        <v>3</v>
      </c>
      <c r="S9" s="5">
        <v>3.1059999999999999</v>
      </c>
      <c r="T9" s="5">
        <v>0.28439999999999999</v>
      </c>
      <c r="U9" s="5">
        <v>0.27071000000000001</v>
      </c>
      <c r="V9" s="5">
        <v>27.975999999999999</v>
      </c>
      <c r="W9" s="22">
        <f t="shared" si="1"/>
        <v>-1.1359999999999815E-2</v>
      </c>
      <c r="X9" s="21">
        <f t="shared" si="2"/>
        <v>-8.9700000000003666E-4</v>
      </c>
      <c r="Y9" s="21">
        <f t="shared" si="3"/>
        <v>-4.2179999999999995E-3</v>
      </c>
      <c r="Z9" s="11">
        <f t="shared" si="4"/>
        <v>-3.1329058069070603E-3</v>
      </c>
      <c r="AA9" s="22">
        <f t="shared" si="5"/>
        <v>-3.4000000000000696E-4</v>
      </c>
      <c r="AB9" s="21">
        <f t="shared" si="6"/>
        <v>-2.1960000000000313E-3</v>
      </c>
      <c r="AC9" s="21">
        <f t="shared" si="7"/>
        <v>-4.9029999999999907E-3</v>
      </c>
      <c r="AD9" s="11">
        <f t="shared" si="8"/>
        <v>3.5096837032487338E-2</v>
      </c>
      <c r="AE9" s="22">
        <f t="shared" si="9"/>
        <v>-9.8600000000002019E-3</v>
      </c>
      <c r="AF9" s="21">
        <f t="shared" si="10"/>
        <v>-5.0570000000000337E-3</v>
      </c>
      <c r="AG9" s="21">
        <f t="shared" si="11"/>
        <v>-7.6640000000000041E-3</v>
      </c>
      <c r="AH9" s="11">
        <f t="shared" si="12"/>
        <v>1.4262614836889842E-2</v>
      </c>
      <c r="AI9">
        <v>2.5000000000000001E-2</v>
      </c>
      <c r="AJ9">
        <v>-2.5000000000000001E-2</v>
      </c>
      <c r="AK9">
        <v>1.5E-3</v>
      </c>
      <c r="AL9">
        <v>-1.5E-3</v>
      </c>
      <c r="AM9">
        <v>1.5E-3</v>
      </c>
      <c r="AN9">
        <v>-1.5E-3</v>
      </c>
      <c r="AO9" s="16">
        <v>2.5000000000000001E-2</v>
      </c>
      <c r="AP9" s="16">
        <v>-2.5000000000000001E-2</v>
      </c>
      <c r="AQ9">
        <v>1.4999999999999999E-2</v>
      </c>
      <c r="AR9">
        <v>-1.4999999999999999E-2</v>
      </c>
      <c r="AS9">
        <v>1E-3</v>
      </c>
      <c r="AT9">
        <v>-1E-3</v>
      </c>
      <c r="AU9">
        <v>1E-3</v>
      </c>
      <c r="AV9">
        <v>-1E-3</v>
      </c>
      <c r="AW9" s="16">
        <v>1.4999999999999999E-2</v>
      </c>
      <c r="AX9" s="16">
        <v>-1.4999999999999999E-2</v>
      </c>
    </row>
    <row r="10" spans="1:279" customFormat="1">
      <c r="A10" s="2">
        <v>5</v>
      </c>
      <c r="B10" s="2">
        <v>3.1190799999999999</v>
      </c>
      <c r="C10" s="2">
        <v>0.289802</v>
      </c>
      <c r="D10" s="2">
        <v>0.28290700000000002</v>
      </c>
      <c r="E10" s="2">
        <v>27.0138</v>
      </c>
      <c r="F10" s="17">
        <f t="shared" si="0"/>
        <v>44245.60497685185</v>
      </c>
      <c r="G10" s="9">
        <v>44245.60497685185</v>
      </c>
      <c r="H10" s="25">
        <v>1</v>
      </c>
      <c r="I10" s="5">
        <v>3.1160000000000001</v>
      </c>
      <c r="J10" s="5">
        <v>0.29010000000000002</v>
      </c>
      <c r="K10" s="5">
        <v>0.27907999999999999</v>
      </c>
      <c r="L10" s="5">
        <v>27.244</v>
      </c>
      <c r="M10" s="5">
        <v>2</v>
      </c>
      <c r="N10" s="5">
        <v>3.11</v>
      </c>
      <c r="O10" s="5">
        <v>0.28805999999999998</v>
      </c>
      <c r="P10" s="5">
        <v>0.27433000000000002</v>
      </c>
      <c r="Q10" s="5">
        <v>28.536999999999999</v>
      </c>
      <c r="R10" s="5">
        <v>3</v>
      </c>
      <c r="S10" s="5">
        <v>3.11</v>
      </c>
      <c r="T10" s="5">
        <v>0.28443000000000002</v>
      </c>
      <c r="U10" s="5">
        <v>0.27095000000000002</v>
      </c>
      <c r="V10" s="5">
        <v>28.084</v>
      </c>
      <c r="W10" s="22">
        <f t="shared" si="1"/>
        <v>-3.3599999999998076E-3</v>
      </c>
      <c r="X10" s="21">
        <f t="shared" si="2"/>
        <v>1.4300000000000423E-4</v>
      </c>
      <c r="Y10" s="21">
        <f t="shared" si="3"/>
        <v>-3.4879999999999911E-3</v>
      </c>
      <c r="Z10" s="11">
        <f t="shared" si="4"/>
        <v>1.7944343119373762E-3</v>
      </c>
      <c r="AA10" s="22">
        <f t="shared" si="5"/>
        <v>2.6599999999996626E-3</v>
      </c>
      <c r="AB10" s="21">
        <f t="shared" si="6"/>
        <v>-2.1460000000000368E-3</v>
      </c>
      <c r="AC10" s="21">
        <f t="shared" si="7"/>
        <v>-4.7429999999999972E-3</v>
      </c>
      <c r="AD10" s="11">
        <f t="shared" si="8"/>
        <v>3.7132068340159918E-2</v>
      </c>
      <c r="AE10" s="22">
        <f t="shared" si="9"/>
        <v>-5.8600000000001984E-3</v>
      </c>
      <c r="AF10" s="21">
        <f t="shared" si="10"/>
        <v>-5.0270000000000037E-3</v>
      </c>
      <c r="AG10" s="21">
        <f t="shared" si="11"/>
        <v>-7.4239999999999862E-3</v>
      </c>
      <c r="AH10" s="11">
        <f t="shared" si="12"/>
        <v>1.8178126790077798E-2</v>
      </c>
      <c r="AI10">
        <v>2.5000000000000001E-2</v>
      </c>
      <c r="AJ10">
        <v>-2.5000000000000001E-2</v>
      </c>
      <c r="AK10">
        <v>1.5E-3</v>
      </c>
      <c r="AL10">
        <v>-1.5E-3</v>
      </c>
      <c r="AM10">
        <v>1.5E-3</v>
      </c>
      <c r="AN10">
        <v>-1.5E-3</v>
      </c>
      <c r="AO10" s="16">
        <v>2.5000000000000001E-2</v>
      </c>
      <c r="AP10" s="16">
        <v>-2.5000000000000001E-2</v>
      </c>
      <c r="AQ10">
        <v>1.4999999999999999E-2</v>
      </c>
      <c r="AR10">
        <v>-1.4999999999999999E-2</v>
      </c>
      <c r="AS10">
        <v>1E-3</v>
      </c>
      <c r="AT10">
        <v>-1E-3</v>
      </c>
      <c r="AU10">
        <v>1E-3</v>
      </c>
      <c r="AV10">
        <v>-1E-3</v>
      </c>
      <c r="AW10" s="16">
        <v>1.4999999999999999E-2</v>
      </c>
      <c r="AX10" s="16">
        <v>-1.4999999999999999E-2</v>
      </c>
      <c r="BA10">
        <v>3.1160000000000001</v>
      </c>
      <c r="BB10">
        <v>0.29003000000000001</v>
      </c>
      <c r="BC10">
        <v>0.27898000000000001</v>
      </c>
      <c r="BD10">
        <v>27.234999999999999</v>
      </c>
      <c r="BF10">
        <v>3.109</v>
      </c>
      <c r="BG10">
        <v>0.28810999999999998</v>
      </c>
      <c r="BH10">
        <v>0.27426</v>
      </c>
      <c r="BI10">
        <v>28.542999999999999</v>
      </c>
      <c r="JQ10">
        <v>28.935185185185187</v>
      </c>
    </row>
    <row r="11" spans="1:279" customFormat="1">
      <c r="A11" s="2">
        <v>6</v>
      </c>
      <c r="B11" s="2">
        <v>3.1103700000000001</v>
      </c>
      <c r="C11" s="2">
        <v>0.29050100000000001</v>
      </c>
      <c r="D11" s="2">
        <v>0.28018300000000002</v>
      </c>
      <c r="E11" s="2">
        <v>27.681999999999999</v>
      </c>
      <c r="F11" s="17">
        <f t="shared" si="0"/>
        <v>44246.67255787037</v>
      </c>
      <c r="G11" s="9">
        <v>44246.67255787037</v>
      </c>
      <c r="H11" s="25">
        <v>1</v>
      </c>
      <c r="I11" s="5">
        <v>3.1179999999999999</v>
      </c>
      <c r="J11" s="5">
        <v>0.29008</v>
      </c>
      <c r="K11" s="5">
        <v>0.27900000000000003</v>
      </c>
      <c r="L11" s="5">
        <v>27.251999999999999</v>
      </c>
      <c r="M11" s="5">
        <v>2</v>
      </c>
      <c r="N11" s="5">
        <v>3.1120000000000001</v>
      </c>
      <c r="O11" s="5">
        <v>0.28794999999999998</v>
      </c>
      <c r="P11" s="5">
        <v>0.27403</v>
      </c>
      <c r="Q11" s="5">
        <v>28.51</v>
      </c>
      <c r="R11" s="5">
        <v>3</v>
      </c>
      <c r="S11" s="5">
        <v>3.1120000000000001</v>
      </c>
      <c r="T11" s="5">
        <v>0.28447</v>
      </c>
      <c r="U11" s="5">
        <v>0.27091999999999999</v>
      </c>
      <c r="V11" s="5">
        <v>28.102</v>
      </c>
      <c r="W11" s="22">
        <f t="shared" si="1"/>
        <v>-1.3600000000000279E-3</v>
      </c>
      <c r="X11" s="21">
        <f t="shared" si="2"/>
        <v>1.2299999999998423E-4</v>
      </c>
      <c r="Y11" s="21">
        <f t="shared" si="3"/>
        <v>-3.5679999999999601E-3</v>
      </c>
      <c r="Z11" s="11">
        <f t="shared" si="4"/>
        <v>2.0886038712712995E-3</v>
      </c>
      <c r="AA11" s="22">
        <f t="shared" si="5"/>
        <v>4.6599999999998865E-3</v>
      </c>
      <c r="AB11" s="21">
        <f t="shared" si="6"/>
        <v>-2.2560000000000358E-3</v>
      </c>
      <c r="AC11" s="21">
        <f t="shared" si="7"/>
        <v>-5.0430000000000197E-3</v>
      </c>
      <c r="AD11" s="11">
        <f t="shared" si="8"/>
        <v>3.6150796102532023E-2</v>
      </c>
      <c r="AE11" s="22">
        <f t="shared" si="9"/>
        <v>-3.8599999999999746E-3</v>
      </c>
      <c r="AF11" s="21">
        <f t="shared" si="10"/>
        <v>-4.9870000000000192E-3</v>
      </c>
      <c r="AG11" s="21">
        <f t="shared" si="11"/>
        <v>-7.4540000000000162E-3</v>
      </c>
      <c r="AH11" s="11">
        <f t="shared" si="12"/>
        <v>1.883071211560905E-2</v>
      </c>
      <c r="AI11">
        <v>2.5000000000000001E-2</v>
      </c>
      <c r="AJ11">
        <v>-2.5000000000000001E-2</v>
      </c>
      <c r="AK11">
        <v>1.5E-3</v>
      </c>
      <c r="AL11">
        <v>-1.5E-3</v>
      </c>
      <c r="AM11">
        <v>1.5E-3</v>
      </c>
      <c r="AN11">
        <v>-1.5E-3</v>
      </c>
      <c r="AO11" s="16">
        <v>2.5000000000000001E-2</v>
      </c>
      <c r="AP11" s="16">
        <v>-2.5000000000000001E-2</v>
      </c>
      <c r="AQ11">
        <v>1.4999999999999999E-2</v>
      </c>
      <c r="AR11">
        <v>-1.4999999999999999E-2</v>
      </c>
      <c r="AS11">
        <v>1E-3</v>
      </c>
      <c r="AT11">
        <v>-1E-3</v>
      </c>
      <c r="AU11">
        <v>1E-3</v>
      </c>
      <c r="AV11">
        <v>-1E-3</v>
      </c>
      <c r="AW11" s="16">
        <v>1.4999999999999999E-2</v>
      </c>
      <c r="AX11" s="16">
        <v>-1.4999999999999999E-2</v>
      </c>
      <c r="JR11">
        <v>25.699013157894736</v>
      </c>
    </row>
    <row r="12" spans="1:279" customFormat="1">
      <c r="A12" s="2">
        <v>7</v>
      </c>
      <c r="B12" s="2">
        <v>3.11009</v>
      </c>
      <c r="C12" s="2">
        <v>0.291406</v>
      </c>
      <c r="D12" s="2">
        <v>0.281337</v>
      </c>
      <c r="E12" s="2">
        <v>27.555</v>
      </c>
      <c r="F12" s="17">
        <f t="shared" si="0"/>
        <v>44247.62871527778</v>
      </c>
      <c r="G12" s="9">
        <v>44247.62871527778</v>
      </c>
      <c r="H12" s="25">
        <v>1</v>
      </c>
      <c r="I12" s="5">
        <v>3.1120000000000001</v>
      </c>
      <c r="J12" s="5">
        <v>0.29004999999999997</v>
      </c>
      <c r="K12" s="5">
        <v>0.27894999999999998</v>
      </c>
      <c r="L12" s="5">
        <v>27.212</v>
      </c>
      <c r="M12" s="5">
        <v>2</v>
      </c>
      <c r="N12" s="5">
        <v>3.1070000000000002</v>
      </c>
      <c r="O12" s="5">
        <v>0.28798000000000001</v>
      </c>
      <c r="P12" s="5">
        <v>0.27418999999999999</v>
      </c>
      <c r="Q12" s="5">
        <v>28.501000000000001</v>
      </c>
      <c r="R12" s="5">
        <v>3</v>
      </c>
      <c r="S12" s="5">
        <v>3.1059999999999999</v>
      </c>
      <c r="T12" s="5">
        <v>0.28431000000000001</v>
      </c>
      <c r="U12" s="5">
        <v>0.27083000000000002</v>
      </c>
      <c r="V12" s="5">
        <v>28.027999999999999</v>
      </c>
      <c r="W12" s="22">
        <f t="shared" si="1"/>
        <v>-7.3599999999998111E-3</v>
      </c>
      <c r="X12" s="21">
        <f t="shared" si="2"/>
        <v>9.299999999995423E-5</v>
      </c>
      <c r="Y12" s="21">
        <f t="shared" si="3"/>
        <v>-3.6180000000000101E-3</v>
      </c>
      <c r="Z12" s="11">
        <f t="shared" si="4"/>
        <v>6.1775607460146098E-4</v>
      </c>
      <c r="AA12" s="22">
        <f t="shared" si="5"/>
        <v>-3.4000000000000696E-4</v>
      </c>
      <c r="AB12" s="21">
        <f t="shared" si="6"/>
        <v>-2.2260000000000058E-3</v>
      </c>
      <c r="AC12" s="21">
        <f t="shared" si="7"/>
        <v>-4.8830000000000262E-3</v>
      </c>
      <c r="AD12" s="11">
        <f t="shared" si="8"/>
        <v>3.5823705356656133E-2</v>
      </c>
      <c r="AE12" s="22">
        <f t="shared" si="9"/>
        <v>-9.8600000000002019E-3</v>
      </c>
      <c r="AF12" s="21">
        <f t="shared" si="10"/>
        <v>-5.1470000000000127E-3</v>
      </c>
      <c r="AG12" s="21">
        <f t="shared" si="11"/>
        <v>-7.5439999999999952E-3</v>
      </c>
      <c r="AH12" s="11">
        <f t="shared" si="12"/>
        <v>1.6147861332869162E-2</v>
      </c>
      <c r="AI12">
        <v>2.5000000000000001E-2</v>
      </c>
      <c r="AJ12">
        <v>-2.5000000000000001E-2</v>
      </c>
      <c r="AK12">
        <v>1.5E-3</v>
      </c>
      <c r="AL12">
        <v>-1.5E-3</v>
      </c>
      <c r="AM12">
        <v>1.5E-3</v>
      </c>
      <c r="AN12">
        <v>-1.5E-3</v>
      </c>
      <c r="AO12" s="16">
        <v>2.5000000000000001E-2</v>
      </c>
      <c r="AP12" s="16">
        <v>-2.5000000000000001E-2</v>
      </c>
      <c r="AQ12">
        <v>1.4999999999999999E-2</v>
      </c>
      <c r="AR12">
        <v>-1.4999999999999999E-2</v>
      </c>
      <c r="AS12">
        <v>1E-3</v>
      </c>
      <c r="AT12">
        <v>-1E-3</v>
      </c>
      <c r="AU12">
        <v>1E-3</v>
      </c>
      <c r="AV12">
        <v>-1E-3</v>
      </c>
      <c r="AW12" s="16">
        <v>1.4999999999999999E-2</v>
      </c>
      <c r="AX12" s="16">
        <v>-1.4999999999999999E-2</v>
      </c>
      <c r="JP12">
        <v>25.699013157894736</v>
      </c>
      <c r="JR12">
        <v>12.849506578947368</v>
      </c>
      <c r="JS12">
        <v>12.849506578947368</v>
      </c>
    </row>
    <row r="13" spans="1:279" customFormat="1">
      <c r="A13" s="2">
        <v>8</v>
      </c>
      <c r="B13" s="2">
        <v>3.10744</v>
      </c>
      <c r="C13" s="2">
        <v>0.28986200000000001</v>
      </c>
      <c r="D13" s="2">
        <v>0.27893000000000001</v>
      </c>
      <c r="E13" s="2">
        <v>27.244399999999999</v>
      </c>
      <c r="F13" s="17">
        <f t="shared" si="0"/>
        <v>44248.680798611109</v>
      </c>
      <c r="G13" s="9">
        <v>44248.680798611109</v>
      </c>
      <c r="H13" s="25">
        <v>1</v>
      </c>
      <c r="I13" s="5">
        <v>3.113</v>
      </c>
      <c r="J13" s="2">
        <v>0.29009000000000001</v>
      </c>
      <c r="K13" s="5">
        <v>0.27909</v>
      </c>
      <c r="L13" s="5">
        <v>27.257000000000001</v>
      </c>
      <c r="M13" s="5">
        <v>2</v>
      </c>
      <c r="N13" s="5">
        <v>3.11</v>
      </c>
      <c r="O13" s="2">
        <v>0.28810999999999998</v>
      </c>
      <c r="P13" s="5">
        <v>0.27424999999999999</v>
      </c>
      <c r="Q13" s="5">
        <v>28.561</v>
      </c>
      <c r="R13" s="5">
        <v>3</v>
      </c>
      <c r="S13" s="5">
        <v>3.1080000000000001</v>
      </c>
      <c r="T13" s="2">
        <v>0.28443000000000002</v>
      </c>
      <c r="U13" s="5">
        <v>0.27084000000000003</v>
      </c>
      <c r="V13" s="5">
        <v>28.111999999999998</v>
      </c>
      <c r="W13" s="22">
        <f t="shared" si="1"/>
        <v>-6.3599999999999213E-3</v>
      </c>
      <c r="X13" s="21">
        <f t="shared" si="2"/>
        <v>1.3299999999999423E-4</v>
      </c>
      <c r="Y13" s="21">
        <f t="shared" si="3"/>
        <v>-3.4779999999999811E-3</v>
      </c>
      <c r="Z13" s="11">
        <f t="shared" si="4"/>
        <v>2.2724598458552236E-3</v>
      </c>
      <c r="AA13" s="22">
        <f t="shared" si="5"/>
        <v>2.6599999999996626E-3</v>
      </c>
      <c r="AB13" s="21">
        <f t="shared" si="6"/>
        <v>-2.0960000000000423E-3</v>
      </c>
      <c r="AC13" s="21">
        <f t="shared" si="7"/>
        <v>-4.8230000000000217E-3</v>
      </c>
      <c r="AD13" s="11">
        <f t="shared" si="8"/>
        <v>3.8004310329162294E-2</v>
      </c>
      <c r="AE13" s="22">
        <f t="shared" si="9"/>
        <v>-7.8599999999999781E-3</v>
      </c>
      <c r="AF13" s="21">
        <f t="shared" si="10"/>
        <v>-5.0270000000000037E-3</v>
      </c>
      <c r="AG13" s="21">
        <f t="shared" si="11"/>
        <v>-7.5339999999999852E-3</v>
      </c>
      <c r="AH13" s="11">
        <f t="shared" si="12"/>
        <v>1.9193259518682115E-2</v>
      </c>
      <c r="AI13">
        <v>2.5000000000000001E-2</v>
      </c>
      <c r="AJ13">
        <v>-2.5000000000000001E-2</v>
      </c>
      <c r="AK13">
        <v>1.5E-3</v>
      </c>
      <c r="AL13">
        <v>-1.5E-3</v>
      </c>
      <c r="AM13">
        <v>1.5E-3</v>
      </c>
      <c r="AN13">
        <v>-1.5E-3</v>
      </c>
      <c r="AO13" s="16">
        <v>2.5000000000000001E-2</v>
      </c>
      <c r="AP13" s="16">
        <v>-2.5000000000000001E-2</v>
      </c>
      <c r="AQ13">
        <v>1.4999999999999999E-2</v>
      </c>
      <c r="AR13">
        <v>-1.4999999999999999E-2</v>
      </c>
      <c r="AS13">
        <v>1E-3</v>
      </c>
      <c r="AT13">
        <v>-1E-3</v>
      </c>
      <c r="AU13">
        <v>1E-3</v>
      </c>
      <c r="AV13">
        <v>-1E-3</v>
      </c>
      <c r="AW13" s="16">
        <v>1.4999999999999999E-2</v>
      </c>
      <c r="AX13" s="16">
        <v>-1.4999999999999999E-2</v>
      </c>
    </row>
    <row r="14" spans="1:279" customFormat="1">
      <c r="A14" s="2">
        <v>9</v>
      </c>
      <c r="B14" s="2">
        <v>3.1072500000000001</v>
      </c>
      <c r="C14" s="2">
        <v>0.28959600000000002</v>
      </c>
      <c r="D14" s="2">
        <v>0.27895900000000001</v>
      </c>
      <c r="E14" s="2">
        <v>27.323499999999999</v>
      </c>
      <c r="F14" s="17">
        <f t="shared" si="0"/>
        <v>44249.819988425923</v>
      </c>
      <c r="G14" s="9">
        <v>44249.819988425923</v>
      </c>
      <c r="H14" s="25">
        <v>1</v>
      </c>
      <c r="I14" s="5">
        <v>3.1110000000000002</v>
      </c>
      <c r="J14" s="5">
        <v>0.29004000000000002</v>
      </c>
      <c r="K14" s="5">
        <v>0.27906999999999998</v>
      </c>
      <c r="L14" s="5">
        <v>27.268999999999998</v>
      </c>
      <c r="M14" s="5">
        <v>2</v>
      </c>
      <c r="N14" s="5">
        <v>3.1059999999999999</v>
      </c>
      <c r="O14" s="5">
        <v>0.28788000000000002</v>
      </c>
      <c r="P14" s="5">
        <v>0.27404000000000001</v>
      </c>
      <c r="Q14" s="5">
        <v>28.55</v>
      </c>
      <c r="R14" s="5">
        <v>3</v>
      </c>
      <c r="S14" s="5">
        <v>3.1040000000000001</v>
      </c>
      <c r="T14" s="5">
        <v>0.28432000000000002</v>
      </c>
      <c r="U14" s="5">
        <v>0.27067000000000002</v>
      </c>
      <c r="V14" s="5">
        <v>28.074000000000002</v>
      </c>
      <c r="W14" s="22">
        <f t="shared" si="1"/>
        <v>-8.359999999999701E-3</v>
      </c>
      <c r="X14" s="21">
        <f t="shared" si="2"/>
        <v>8.2999999999999741E-5</v>
      </c>
      <c r="Y14" s="21">
        <f t="shared" si="3"/>
        <v>-3.4980000000000011E-3</v>
      </c>
      <c r="Z14" s="11">
        <f t="shared" si="4"/>
        <v>2.7137141848561086E-3</v>
      </c>
      <c r="AA14" s="22">
        <f t="shared" si="5"/>
        <v>-1.3400000000003409E-3</v>
      </c>
      <c r="AB14" s="21">
        <f t="shared" si="6"/>
        <v>-2.3259999999999947E-3</v>
      </c>
      <c r="AC14" s="21">
        <f t="shared" si="7"/>
        <v>-5.0330000000000097E-3</v>
      </c>
      <c r="AD14" s="11">
        <f t="shared" si="8"/>
        <v>3.7604532750869613E-2</v>
      </c>
      <c r="AE14" s="22">
        <f t="shared" si="9"/>
        <v>-1.1859999999999982E-2</v>
      </c>
      <c r="AF14" s="21">
        <f t="shared" si="10"/>
        <v>-5.1370000000000027E-3</v>
      </c>
      <c r="AG14" s="21">
        <f t="shared" si="11"/>
        <v>-7.7039999999999886E-3</v>
      </c>
      <c r="AH14" s="11">
        <f t="shared" si="12"/>
        <v>1.7815579387004954E-2</v>
      </c>
      <c r="AI14">
        <v>2.5000000000000001E-2</v>
      </c>
      <c r="AJ14">
        <v>-2.5000000000000001E-2</v>
      </c>
      <c r="AK14">
        <v>1.5E-3</v>
      </c>
      <c r="AL14">
        <v>-1.5E-3</v>
      </c>
      <c r="AM14">
        <v>1.5E-3</v>
      </c>
      <c r="AN14">
        <v>-1.5E-3</v>
      </c>
      <c r="AO14" s="16">
        <v>2.5000000000000001E-2</v>
      </c>
      <c r="AP14" s="16">
        <v>-2.5000000000000001E-2</v>
      </c>
      <c r="AQ14">
        <v>1.4999999999999999E-2</v>
      </c>
      <c r="AR14">
        <v>-1.4999999999999999E-2</v>
      </c>
      <c r="AS14">
        <v>1E-3</v>
      </c>
      <c r="AT14">
        <v>-1E-3</v>
      </c>
      <c r="AU14">
        <v>1E-3</v>
      </c>
      <c r="AV14">
        <v>-1E-3</v>
      </c>
      <c r="AW14" s="16">
        <v>1.4999999999999999E-2</v>
      </c>
      <c r="AX14" s="16">
        <v>-1.4999999999999999E-2</v>
      </c>
    </row>
    <row r="15" spans="1:279" customFormat="1">
      <c r="A15" s="2">
        <v>10</v>
      </c>
      <c r="B15" s="2">
        <v>3.1376200000000001</v>
      </c>
      <c r="C15" s="2">
        <v>0.29059400000000002</v>
      </c>
      <c r="D15" s="2">
        <v>0.27949499999999999</v>
      </c>
      <c r="E15" s="2">
        <v>28.013500000000001</v>
      </c>
      <c r="F15" s="17">
        <f t="shared" si="0"/>
        <v>44250.6950462963</v>
      </c>
      <c r="G15" s="9">
        <v>44250.6950462963</v>
      </c>
      <c r="H15" s="25">
        <v>1</v>
      </c>
      <c r="I15" s="5">
        <v>3.11</v>
      </c>
      <c r="J15" s="5">
        <v>0.29013</v>
      </c>
      <c r="K15" s="5">
        <v>0.27914</v>
      </c>
      <c r="L15" s="5">
        <v>27.152999999999999</v>
      </c>
      <c r="M15" s="5">
        <v>2</v>
      </c>
      <c r="N15" s="5">
        <v>3.1040000000000001</v>
      </c>
      <c r="O15" s="5">
        <v>0.28793999999999997</v>
      </c>
      <c r="P15" s="5">
        <v>0.27400999999999998</v>
      </c>
      <c r="Q15" s="5">
        <v>28.451000000000001</v>
      </c>
      <c r="R15" s="5">
        <v>3</v>
      </c>
      <c r="S15" s="5">
        <v>3.1040000000000001</v>
      </c>
      <c r="T15" s="5">
        <v>0.28436</v>
      </c>
      <c r="U15" s="5">
        <v>0.27067999999999998</v>
      </c>
      <c r="V15" s="5">
        <v>28.04</v>
      </c>
      <c r="W15" s="22">
        <f t="shared" si="1"/>
        <v>-9.360000000000035E-3</v>
      </c>
      <c r="X15" s="21">
        <f t="shared" si="2"/>
        <v>1.7299999999997873E-4</v>
      </c>
      <c r="Y15" s="21">
        <f t="shared" si="3"/>
        <v>-3.4279999999999866E-3</v>
      </c>
      <c r="Z15" s="11">
        <f t="shared" si="4"/>
        <v>-1.5517444254868895E-3</v>
      </c>
      <c r="AA15" s="22">
        <f t="shared" si="5"/>
        <v>-3.3400000000001207E-3</v>
      </c>
      <c r="AB15" s="21">
        <f t="shared" si="6"/>
        <v>-2.2660000000000458E-3</v>
      </c>
      <c r="AC15" s="21">
        <f t="shared" si="7"/>
        <v>-5.0630000000000397E-3</v>
      </c>
      <c r="AD15" s="11">
        <f t="shared" si="8"/>
        <v>3.4006534546234368E-2</v>
      </c>
      <c r="AE15" s="22">
        <f t="shared" si="9"/>
        <v>-1.1859999999999982E-2</v>
      </c>
      <c r="AF15" s="21">
        <f t="shared" si="10"/>
        <v>-5.0970000000000182E-3</v>
      </c>
      <c r="AG15" s="21">
        <f t="shared" si="11"/>
        <v>-7.6940000000000341E-3</v>
      </c>
      <c r="AH15" s="11">
        <f t="shared" si="12"/>
        <v>1.6582918216556886E-2</v>
      </c>
      <c r="AI15">
        <v>2.5000000000000001E-2</v>
      </c>
      <c r="AJ15">
        <v>-2.5000000000000001E-2</v>
      </c>
      <c r="AK15">
        <v>1.5E-3</v>
      </c>
      <c r="AL15">
        <v>-1.5E-3</v>
      </c>
      <c r="AM15">
        <v>1.5E-3</v>
      </c>
      <c r="AN15">
        <v>-1.5E-3</v>
      </c>
      <c r="AO15" s="16">
        <v>2.5000000000000001E-2</v>
      </c>
      <c r="AP15" s="16">
        <v>-2.5000000000000001E-2</v>
      </c>
      <c r="AQ15">
        <v>1.4999999999999999E-2</v>
      </c>
      <c r="AR15">
        <v>-1.4999999999999999E-2</v>
      </c>
      <c r="AS15">
        <v>1E-3</v>
      </c>
      <c r="AT15">
        <v>-1E-3</v>
      </c>
      <c r="AU15">
        <v>1E-3</v>
      </c>
      <c r="AV15">
        <v>-1E-3</v>
      </c>
      <c r="AW15" s="16">
        <v>1.4999999999999999E-2</v>
      </c>
      <c r="AX15" s="16">
        <v>-1.4999999999999999E-2</v>
      </c>
      <c r="JS15">
        <v>30.502684236212787</v>
      </c>
    </row>
    <row r="16" spans="1:279" customFormat="1">
      <c r="A16" s="2">
        <v>11</v>
      </c>
      <c r="B16" s="2">
        <v>3.12608</v>
      </c>
      <c r="C16" s="2">
        <v>0.28748800000000002</v>
      </c>
      <c r="D16" s="2">
        <v>0.27488000000000001</v>
      </c>
      <c r="E16" s="2">
        <v>28.246700000000001</v>
      </c>
      <c r="F16" s="17">
        <f t="shared" si="0"/>
        <v>44251.670937499999</v>
      </c>
      <c r="G16" s="9">
        <v>44251.670937499999</v>
      </c>
      <c r="H16" s="25">
        <v>1</v>
      </c>
      <c r="I16" s="5">
        <v>3.113</v>
      </c>
      <c r="J16" s="5">
        <v>0.29015999999999997</v>
      </c>
      <c r="K16" s="5">
        <v>0.27921000000000001</v>
      </c>
      <c r="L16" s="5">
        <v>27.260999999999999</v>
      </c>
      <c r="M16" s="5">
        <v>2</v>
      </c>
      <c r="N16" s="5">
        <v>3.1070000000000002</v>
      </c>
      <c r="O16" s="5">
        <v>0.28799999999999998</v>
      </c>
      <c r="P16" s="5">
        <v>0.27405000000000002</v>
      </c>
      <c r="Q16" s="5">
        <v>28.562000000000001</v>
      </c>
      <c r="R16" s="5">
        <v>3</v>
      </c>
      <c r="S16" s="5">
        <v>3.1070000000000002</v>
      </c>
      <c r="T16" s="5">
        <v>0.28436</v>
      </c>
      <c r="U16" s="5">
        <v>0.27059</v>
      </c>
      <c r="V16" s="5">
        <v>28.114999999999998</v>
      </c>
      <c r="W16" s="22">
        <f t="shared" si="1"/>
        <v>-6.3599999999999213E-3</v>
      </c>
      <c r="X16" s="21">
        <f t="shared" si="2"/>
        <v>2.0299999999995322E-4</v>
      </c>
      <c r="Y16" s="21">
        <f t="shared" si="3"/>
        <v>-3.3579999999999721E-3</v>
      </c>
      <c r="Z16" s="11">
        <f t="shared" si="4"/>
        <v>2.4195446255221853E-3</v>
      </c>
      <c r="AA16" s="22">
        <f t="shared" si="5"/>
        <v>-3.4000000000000696E-4</v>
      </c>
      <c r="AB16" s="21">
        <f t="shared" si="6"/>
        <v>-2.2060000000000413E-3</v>
      </c>
      <c r="AC16" s="21">
        <f t="shared" si="7"/>
        <v>-5.0229999999999997E-3</v>
      </c>
      <c r="AD16" s="11">
        <f t="shared" si="8"/>
        <v>3.80406537453708E-2</v>
      </c>
      <c r="AE16" s="22">
        <f t="shared" si="9"/>
        <v>-8.859999999999868E-3</v>
      </c>
      <c r="AF16" s="21">
        <f t="shared" si="10"/>
        <v>-5.0970000000000182E-3</v>
      </c>
      <c r="AG16" s="21">
        <f t="shared" si="11"/>
        <v>-7.7840000000000131E-3</v>
      </c>
      <c r="AH16" s="11">
        <f t="shared" si="12"/>
        <v>1.9302023739603991E-2</v>
      </c>
      <c r="AI16">
        <v>2.5000000000000001E-2</v>
      </c>
      <c r="AJ16">
        <v>-2.5000000000000001E-2</v>
      </c>
      <c r="AK16">
        <v>1.5E-3</v>
      </c>
      <c r="AL16">
        <v>-1.5E-3</v>
      </c>
      <c r="AM16">
        <v>1.5E-3</v>
      </c>
      <c r="AN16">
        <v>-1.5E-3</v>
      </c>
      <c r="AO16" s="16">
        <v>2.5000000000000001E-2</v>
      </c>
      <c r="AP16" s="16">
        <v>-2.5000000000000001E-2</v>
      </c>
      <c r="AQ16">
        <v>1.4999999999999999E-2</v>
      </c>
      <c r="AR16">
        <v>-1.4999999999999999E-2</v>
      </c>
      <c r="AS16">
        <v>1E-3</v>
      </c>
      <c r="AT16">
        <v>-1E-3</v>
      </c>
      <c r="AU16">
        <v>1E-3</v>
      </c>
      <c r="AV16">
        <v>-1E-3</v>
      </c>
      <c r="AW16" s="16">
        <v>1.4999999999999999E-2</v>
      </c>
      <c r="AX16" s="16">
        <v>-1.4999999999999999E-2</v>
      </c>
      <c r="JP16">
        <v>30.502684236212787</v>
      </c>
      <c r="JQ16">
        <v>28.935185185185187</v>
      </c>
    </row>
    <row r="17" spans="1:279" customFormat="1">
      <c r="A17" s="2">
        <v>12</v>
      </c>
      <c r="B17" s="2">
        <v>3.1156700000000002</v>
      </c>
      <c r="C17" s="2">
        <v>0.28812599999999999</v>
      </c>
      <c r="D17" s="2">
        <v>0.27393200000000001</v>
      </c>
      <c r="E17" s="2">
        <v>28.7394</v>
      </c>
      <c r="F17" s="17">
        <f t="shared" si="0"/>
        <v>44252.70144675926</v>
      </c>
      <c r="G17" s="9">
        <v>44252.70144675926</v>
      </c>
      <c r="H17" s="25">
        <v>1</v>
      </c>
      <c r="I17" s="5">
        <v>3.1120000000000001</v>
      </c>
      <c r="J17" s="5">
        <v>0.29010999999999998</v>
      </c>
      <c r="K17" s="5">
        <v>0.27901999999999999</v>
      </c>
      <c r="L17" s="5">
        <v>27.25</v>
      </c>
      <c r="M17" s="5">
        <v>2</v>
      </c>
      <c r="N17" s="5">
        <v>3.1059999999999999</v>
      </c>
      <c r="O17" s="5">
        <v>0.28800999999999999</v>
      </c>
      <c r="P17" s="5">
        <v>0.27423999999999998</v>
      </c>
      <c r="Q17" s="5">
        <v>28.564</v>
      </c>
      <c r="R17" s="5">
        <v>3</v>
      </c>
      <c r="S17" s="5">
        <v>3.105</v>
      </c>
      <c r="T17" s="5">
        <v>0.28437000000000001</v>
      </c>
      <c r="U17" s="5">
        <v>0.27076</v>
      </c>
      <c r="V17" s="5">
        <v>28.100999999999999</v>
      </c>
      <c r="W17" s="22">
        <f t="shared" si="1"/>
        <v>-7.3599999999998111E-3</v>
      </c>
      <c r="X17" s="21">
        <f t="shared" si="2"/>
        <v>1.5299999999995872E-4</v>
      </c>
      <c r="Y17" s="21">
        <f t="shared" si="3"/>
        <v>-3.5479999999999956E-3</v>
      </c>
      <c r="Z17" s="11">
        <f t="shared" si="4"/>
        <v>2.0150614814378187E-3</v>
      </c>
      <c r="AA17" s="22">
        <f t="shared" si="5"/>
        <v>-1.3400000000003409E-3</v>
      </c>
      <c r="AB17" s="21">
        <f t="shared" si="6"/>
        <v>-2.1960000000000313E-3</v>
      </c>
      <c r="AC17" s="21">
        <f t="shared" si="7"/>
        <v>-4.8330000000000317E-3</v>
      </c>
      <c r="AD17" s="11">
        <f t="shared" si="8"/>
        <v>3.8113340577787591E-2</v>
      </c>
      <c r="AE17" s="22">
        <f t="shared" si="9"/>
        <v>-1.0860000000000092E-2</v>
      </c>
      <c r="AF17" s="21">
        <f t="shared" si="10"/>
        <v>-5.0870000000000082E-3</v>
      </c>
      <c r="AG17" s="21">
        <f t="shared" si="11"/>
        <v>-7.6140000000000096E-3</v>
      </c>
      <c r="AH17" s="11">
        <f t="shared" si="12"/>
        <v>1.8794457375301832E-2</v>
      </c>
      <c r="AI17">
        <v>2.5000000000000001E-2</v>
      </c>
      <c r="AJ17">
        <v>-2.5000000000000001E-2</v>
      </c>
      <c r="AK17">
        <v>1.5E-3</v>
      </c>
      <c r="AL17">
        <v>-1.5E-3</v>
      </c>
      <c r="AM17">
        <v>1.5E-3</v>
      </c>
      <c r="AN17">
        <v>-1.5E-3</v>
      </c>
      <c r="AO17" s="16">
        <v>2.5000000000000001E-2</v>
      </c>
      <c r="AP17" s="16">
        <v>-2.5000000000000001E-2</v>
      </c>
      <c r="AQ17">
        <v>1.4999999999999999E-2</v>
      </c>
      <c r="AR17">
        <v>-1.4999999999999999E-2</v>
      </c>
      <c r="AS17">
        <v>1E-3</v>
      </c>
      <c r="AT17">
        <v>-1E-3</v>
      </c>
      <c r="AU17">
        <v>1E-3</v>
      </c>
      <c r="AV17">
        <v>-1E-3</v>
      </c>
      <c r="AW17" s="16">
        <v>1.4999999999999999E-2</v>
      </c>
      <c r="AX17" s="16">
        <v>-1.4999999999999999E-2</v>
      </c>
    </row>
    <row r="18" spans="1:279" customFormat="1">
      <c r="A18" s="2">
        <v>13</v>
      </c>
      <c r="B18" s="2">
        <v>3.11368</v>
      </c>
      <c r="C18" s="2">
        <v>0.28887699999999999</v>
      </c>
      <c r="D18" s="2">
        <v>0.27410299999999999</v>
      </c>
      <c r="E18" s="2">
        <v>28.440300000000001</v>
      </c>
      <c r="F18" s="17" t="str">
        <f t="shared" si="0"/>
        <v/>
      </c>
      <c r="G18" s="9"/>
      <c r="H18" s="25">
        <v>1</v>
      </c>
      <c r="I18" s="5"/>
      <c r="J18" s="5"/>
      <c r="K18" s="5"/>
      <c r="L18" s="5"/>
      <c r="M18" s="5">
        <v>2</v>
      </c>
      <c r="N18" s="5"/>
      <c r="O18" s="5"/>
      <c r="P18" s="5"/>
      <c r="Q18" s="5"/>
      <c r="R18" s="5">
        <v>3</v>
      </c>
      <c r="S18" s="5"/>
      <c r="T18" s="5"/>
      <c r="U18" s="5"/>
      <c r="V18" s="5"/>
      <c r="W18" s="22">
        <f t="shared" si="1"/>
        <v>-3.1193599999999999</v>
      </c>
      <c r="X18" s="21">
        <f t="shared" si="2"/>
        <v>-0.28995700000000002</v>
      </c>
      <c r="Y18" s="21">
        <f t="shared" si="3"/>
        <v>-0.28256799999999999</v>
      </c>
      <c r="Z18" s="11">
        <f t="shared" si="4"/>
        <v>-1</v>
      </c>
      <c r="AA18" s="22">
        <f t="shared" si="5"/>
        <v>-3.1073400000000002</v>
      </c>
      <c r="AB18" s="21">
        <f t="shared" si="6"/>
        <v>-0.29020600000000002</v>
      </c>
      <c r="AC18" s="21">
        <f t="shared" si="7"/>
        <v>-0.27907300000000002</v>
      </c>
      <c r="AD18" s="11">
        <f t="shared" si="8"/>
        <v>-1</v>
      </c>
      <c r="AE18" s="22">
        <f t="shared" si="9"/>
        <v>-3.1158600000000001</v>
      </c>
      <c r="AF18" s="21">
        <f t="shared" si="10"/>
        <v>-0.28945700000000002</v>
      </c>
      <c r="AG18" s="21">
        <f t="shared" si="11"/>
        <v>-0.27837400000000001</v>
      </c>
      <c r="AH18" s="11">
        <f t="shared" si="12"/>
        <v>-1</v>
      </c>
      <c r="AI18">
        <v>2.5000000000000001E-2</v>
      </c>
      <c r="AJ18">
        <v>-2.5000000000000001E-2</v>
      </c>
      <c r="AK18">
        <v>1.5E-3</v>
      </c>
      <c r="AL18">
        <v>-1.5E-3</v>
      </c>
      <c r="AM18">
        <v>1.5E-3</v>
      </c>
      <c r="AN18">
        <v>-1.5E-3</v>
      </c>
      <c r="AO18" s="16">
        <v>2.5000000000000001E-2</v>
      </c>
      <c r="AP18" s="16">
        <v>-2.5000000000000001E-2</v>
      </c>
      <c r="AQ18">
        <v>1.4999999999999999E-2</v>
      </c>
      <c r="AR18">
        <v>-1.4999999999999999E-2</v>
      </c>
      <c r="AS18">
        <v>1E-3</v>
      </c>
      <c r="AT18">
        <v>-1E-3</v>
      </c>
      <c r="AU18">
        <v>1E-3</v>
      </c>
      <c r="AV18">
        <v>-1E-3</v>
      </c>
      <c r="AW18" s="16">
        <v>1.4999999999999999E-2</v>
      </c>
      <c r="AX18" s="16">
        <v>-1.4999999999999999E-2</v>
      </c>
      <c r="JQ18">
        <v>24.187306501547987</v>
      </c>
      <c r="JR18">
        <v>27.64263600176913</v>
      </c>
      <c r="JS18">
        <v>24.187306501547987</v>
      </c>
    </row>
    <row r="19" spans="1:279" customFormat="1">
      <c r="A19" s="2">
        <v>14</v>
      </c>
      <c r="B19" s="2">
        <v>3.1061100000000001</v>
      </c>
      <c r="C19" s="2">
        <v>0.28692200000000001</v>
      </c>
      <c r="D19" s="2">
        <v>0.27257500000000001</v>
      </c>
      <c r="E19" s="2">
        <v>28.471299999999999</v>
      </c>
      <c r="F19" s="17" t="str">
        <f t="shared" si="0"/>
        <v/>
      </c>
      <c r="G19" s="9"/>
      <c r="H19" s="25">
        <v>1</v>
      </c>
      <c r="I19" s="5"/>
      <c r="J19" s="5"/>
      <c r="K19" s="5"/>
      <c r="L19" s="5"/>
      <c r="M19" s="5">
        <v>2</v>
      </c>
      <c r="N19" s="5"/>
      <c r="O19" s="5"/>
      <c r="P19" s="5"/>
      <c r="Q19" s="5"/>
      <c r="R19" s="5">
        <v>3</v>
      </c>
      <c r="S19" s="5"/>
      <c r="T19" s="5"/>
      <c r="U19" s="5"/>
      <c r="V19" s="5"/>
      <c r="W19" s="22">
        <f t="shared" si="1"/>
        <v>-3.1193599999999999</v>
      </c>
      <c r="X19" s="21">
        <f t="shared" si="2"/>
        <v>-0.28995700000000002</v>
      </c>
      <c r="Y19" s="21">
        <f t="shared" si="3"/>
        <v>-0.28256799999999999</v>
      </c>
      <c r="Z19" s="11">
        <f t="shared" si="4"/>
        <v>-1</v>
      </c>
      <c r="AA19" s="22">
        <f t="shared" si="5"/>
        <v>-3.1073400000000002</v>
      </c>
      <c r="AB19" s="21">
        <f t="shared" si="6"/>
        <v>-0.29020600000000002</v>
      </c>
      <c r="AC19" s="21">
        <f t="shared" si="7"/>
        <v>-0.27907300000000002</v>
      </c>
      <c r="AD19" s="11">
        <f t="shared" si="8"/>
        <v>-1</v>
      </c>
      <c r="AE19" s="22">
        <f t="shared" si="9"/>
        <v>-3.1158600000000001</v>
      </c>
      <c r="AF19" s="21">
        <f t="shared" si="10"/>
        <v>-0.28945700000000002</v>
      </c>
      <c r="AG19" s="21">
        <f t="shared" si="11"/>
        <v>-0.27837400000000001</v>
      </c>
      <c r="AH19" s="11">
        <f t="shared" si="12"/>
        <v>-1</v>
      </c>
      <c r="AI19">
        <v>2.5000000000000001E-2</v>
      </c>
      <c r="AJ19">
        <v>-2.5000000000000001E-2</v>
      </c>
      <c r="AK19">
        <v>1.5E-3</v>
      </c>
      <c r="AL19">
        <v>-1.5E-3</v>
      </c>
      <c r="AM19">
        <v>1.5E-3</v>
      </c>
      <c r="AN19">
        <v>-1.5E-3</v>
      </c>
      <c r="AO19" s="16">
        <v>2.5000000000000001E-2</v>
      </c>
      <c r="AP19" s="16">
        <v>-2.5000000000000001E-2</v>
      </c>
      <c r="AQ19">
        <v>1.4999999999999999E-2</v>
      </c>
      <c r="AR19">
        <v>-1.4999999999999999E-2</v>
      </c>
      <c r="AS19">
        <v>1E-3</v>
      </c>
      <c r="AT19">
        <v>-1E-3</v>
      </c>
      <c r="AU19">
        <v>1E-3</v>
      </c>
      <c r="AV19">
        <v>-1E-3</v>
      </c>
      <c r="AW19" s="16">
        <v>1.4999999999999999E-2</v>
      </c>
      <c r="AX19" s="16">
        <v>-1.4999999999999999E-2</v>
      </c>
    </row>
    <row r="20" spans="1:279" customFormat="1">
      <c r="A20" s="2">
        <v>15</v>
      </c>
      <c r="B20" s="2">
        <v>3.1324200000000002</v>
      </c>
      <c r="C20" s="2">
        <v>0.28729700000000002</v>
      </c>
      <c r="D20" s="2">
        <v>0.27366200000000002</v>
      </c>
      <c r="E20" s="2">
        <v>27.869</v>
      </c>
      <c r="F20" s="17" t="str">
        <f t="shared" si="0"/>
        <v/>
      </c>
      <c r="G20" s="9"/>
      <c r="H20" s="25">
        <v>1</v>
      </c>
      <c r="I20" s="5"/>
      <c r="J20" s="5"/>
      <c r="K20" s="5"/>
      <c r="L20" s="5"/>
      <c r="M20" s="5">
        <v>2</v>
      </c>
      <c r="N20" s="5"/>
      <c r="O20" s="5"/>
      <c r="P20" s="5"/>
      <c r="Q20" s="5"/>
      <c r="R20" s="5">
        <v>3</v>
      </c>
      <c r="S20" s="5"/>
      <c r="T20" s="5"/>
      <c r="U20" s="5"/>
      <c r="V20" s="5"/>
      <c r="W20" s="22">
        <f t="shared" si="1"/>
        <v>-3.1193599999999999</v>
      </c>
      <c r="X20" s="21">
        <f t="shared" si="2"/>
        <v>-0.28995700000000002</v>
      </c>
      <c r="Y20" s="21">
        <f t="shared" si="3"/>
        <v>-0.28256799999999999</v>
      </c>
      <c r="Z20" s="11">
        <f t="shared" si="4"/>
        <v>-1</v>
      </c>
      <c r="AA20" s="22">
        <f t="shared" si="5"/>
        <v>-3.1073400000000002</v>
      </c>
      <c r="AB20" s="21">
        <f t="shared" si="6"/>
        <v>-0.29020600000000002</v>
      </c>
      <c r="AC20" s="21">
        <f t="shared" si="7"/>
        <v>-0.27907300000000002</v>
      </c>
      <c r="AD20" s="11">
        <f t="shared" si="8"/>
        <v>-1</v>
      </c>
      <c r="AE20" s="22">
        <f t="shared" si="9"/>
        <v>-3.1158600000000001</v>
      </c>
      <c r="AF20" s="21">
        <f t="shared" si="10"/>
        <v>-0.28945700000000002</v>
      </c>
      <c r="AG20" s="21">
        <f t="shared" si="11"/>
        <v>-0.27837400000000001</v>
      </c>
      <c r="AH20" s="11">
        <f t="shared" si="12"/>
        <v>-1</v>
      </c>
      <c r="AI20">
        <v>2.5000000000000001E-2</v>
      </c>
      <c r="AJ20">
        <v>-2.5000000000000001E-2</v>
      </c>
      <c r="AK20">
        <v>1.5E-3</v>
      </c>
      <c r="AL20">
        <v>-1.5E-3</v>
      </c>
      <c r="AM20">
        <v>1.5E-3</v>
      </c>
      <c r="AN20">
        <v>-1.5E-3</v>
      </c>
      <c r="AO20" s="16">
        <v>2.5000000000000001E-2</v>
      </c>
      <c r="AP20" s="16">
        <v>-2.5000000000000001E-2</v>
      </c>
      <c r="AQ20">
        <v>1.4999999999999999E-2</v>
      </c>
      <c r="AR20">
        <v>-1.4999999999999999E-2</v>
      </c>
      <c r="AS20">
        <v>1E-3</v>
      </c>
      <c r="AT20">
        <v>-1E-3</v>
      </c>
      <c r="AU20">
        <v>1E-3</v>
      </c>
      <c r="AV20">
        <v>-1E-3</v>
      </c>
      <c r="AW20" s="16">
        <v>1.4999999999999999E-2</v>
      </c>
      <c r="AX20" s="16">
        <v>-1.4999999999999999E-2</v>
      </c>
      <c r="JP20">
        <v>27.64263600176913</v>
      </c>
      <c r="JQ20">
        <v>26.386152547143258</v>
      </c>
    </row>
    <row r="21" spans="1:279" customFormat="1">
      <c r="A21" s="2">
        <v>16</v>
      </c>
      <c r="B21" s="2">
        <v>3.12324</v>
      </c>
      <c r="C21" s="2">
        <v>0.28870499999999999</v>
      </c>
      <c r="D21" s="2">
        <v>0.27699800000000002</v>
      </c>
      <c r="E21" s="2">
        <v>28.533999999999999</v>
      </c>
      <c r="F21" s="17" t="str">
        <f t="shared" si="0"/>
        <v/>
      </c>
      <c r="G21" s="9"/>
      <c r="H21" s="25">
        <v>1</v>
      </c>
      <c r="I21" s="5"/>
      <c r="J21" s="5"/>
      <c r="K21" s="5"/>
      <c r="L21" s="5"/>
      <c r="M21" s="5">
        <v>2</v>
      </c>
      <c r="N21" s="5"/>
      <c r="O21" s="5"/>
      <c r="P21" s="5"/>
      <c r="Q21" s="5"/>
      <c r="R21" s="5">
        <v>3</v>
      </c>
      <c r="S21" s="5"/>
      <c r="T21" s="5"/>
      <c r="U21" s="5"/>
      <c r="V21" s="5"/>
      <c r="W21" s="22">
        <f t="shared" si="1"/>
        <v>-3.1193599999999999</v>
      </c>
      <c r="X21" s="21">
        <f t="shared" si="2"/>
        <v>-0.28995700000000002</v>
      </c>
      <c r="Y21" s="21">
        <f t="shared" si="3"/>
        <v>-0.28256799999999999</v>
      </c>
      <c r="Z21" s="11">
        <f t="shared" si="4"/>
        <v>-1</v>
      </c>
      <c r="AA21" s="22">
        <f t="shared" si="5"/>
        <v>-3.1073400000000002</v>
      </c>
      <c r="AB21" s="21">
        <f t="shared" si="6"/>
        <v>-0.29020600000000002</v>
      </c>
      <c r="AC21" s="21">
        <f t="shared" si="7"/>
        <v>-0.27907300000000002</v>
      </c>
      <c r="AD21" s="11">
        <f t="shared" si="8"/>
        <v>-1</v>
      </c>
      <c r="AE21" s="22">
        <f t="shared" si="9"/>
        <v>-3.1158600000000001</v>
      </c>
      <c r="AF21" s="21">
        <f t="shared" si="10"/>
        <v>-0.28945700000000002</v>
      </c>
      <c r="AG21" s="21">
        <f t="shared" si="11"/>
        <v>-0.27837400000000001</v>
      </c>
      <c r="AH21" s="11">
        <f t="shared" si="12"/>
        <v>-1</v>
      </c>
      <c r="AI21">
        <v>2.5000000000000001E-2</v>
      </c>
      <c r="AJ21">
        <v>-2.5000000000000001E-2</v>
      </c>
      <c r="AK21">
        <v>1.5E-3</v>
      </c>
      <c r="AL21">
        <v>-1.5E-3</v>
      </c>
      <c r="AM21">
        <v>1.5E-3</v>
      </c>
      <c r="AN21">
        <v>-1.5E-3</v>
      </c>
      <c r="AO21" s="16">
        <v>2.5000000000000001E-2</v>
      </c>
      <c r="AP21" s="16">
        <v>-2.5000000000000001E-2</v>
      </c>
      <c r="AQ21">
        <v>1.4999999999999999E-2</v>
      </c>
      <c r="AR21">
        <v>-1.4999999999999999E-2</v>
      </c>
      <c r="AS21">
        <v>1E-3</v>
      </c>
      <c r="AT21">
        <v>-1E-3</v>
      </c>
      <c r="AU21">
        <v>1E-3</v>
      </c>
      <c r="AV21">
        <v>-1E-3</v>
      </c>
      <c r="AW21" s="16">
        <v>1.4999999999999999E-2</v>
      </c>
      <c r="AX21" s="16">
        <v>-1.4999999999999999E-2</v>
      </c>
      <c r="JP21">
        <v>28.935185185185187</v>
      </c>
      <c r="JQ21">
        <v>28.935185185185187</v>
      </c>
    </row>
    <row r="22" spans="1:279" customFormat="1">
      <c r="A22" s="2">
        <v>17</v>
      </c>
      <c r="B22" s="2">
        <v>3.1044100000000001</v>
      </c>
      <c r="C22" s="2">
        <v>0.28772500000000001</v>
      </c>
      <c r="D22" s="2">
        <v>0.27346599999999999</v>
      </c>
      <c r="E22" s="2">
        <v>28.529199999999999</v>
      </c>
      <c r="F22" s="17" t="str">
        <f t="shared" si="0"/>
        <v/>
      </c>
      <c r="G22" s="9"/>
      <c r="H22" s="25">
        <v>1</v>
      </c>
      <c r="I22" s="5"/>
      <c r="J22" s="5"/>
      <c r="K22" s="5"/>
      <c r="L22" s="5"/>
      <c r="M22" s="5">
        <v>2</v>
      </c>
      <c r="N22" s="5"/>
      <c r="O22" s="5"/>
      <c r="P22" s="5"/>
      <c r="Q22" s="5"/>
      <c r="R22" s="5">
        <v>3</v>
      </c>
      <c r="S22" s="5"/>
      <c r="T22" s="5"/>
      <c r="U22" s="5"/>
      <c r="V22" s="5"/>
      <c r="W22" s="22">
        <f t="shared" si="1"/>
        <v>-3.1193599999999999</v>
      </c>
      <c r="X22" s="21">
        <f t="shared" si="2"/>
        <v>-0.28995700000000002</v>
      </c>
      <c r="Y22" s="21">
        <f t="shared" si="3"/>
        <v>-0.28256799999999999</v>
      </c>
      <c r="Z22" s="11">
        <f t="shared" si="4"/>
        <v>-1</v>
      </c>
      <c r="AA22" s="22">
        <f t="shared" si="5"/>
        <v>-3.1073400000000002</v>
      </c>
      <c r="AB22" s="21">
        <f t="shared" si="6"/>
        <v>-0.29020600000000002</v>
      </c>
      <c r="AC22" s="21">
        <f t="shared" si="7"/>
        <v>-0.27907300000000002</v>
      </c>
      <c r="AD22" s="11">
        <f t="shared" si="8"/>
        <v>-1</v>
      </c>
      <c r="AE22" s="22">
        <f t="shared" si="9"/>
        <v>-3.1158600000000001</v>
      </c>
      <c r="AF22" s="21">
        <f t="shared" si="10"/>
        <v>-0.28945700000000002</v>
      </c>
      <c r="AG22" s="21">
        <f t="shared" si="11"/>
        <v>-0.27837400000000001</v>
      </c>
      <c r="AH22" s="11">
        <f t="shared" si="12"/>
        <v>-1</v>
      </c>
      <c r="AI22">
        <v>2.5000000000000001E-2</v>
      </c>
      <c r="AJ22">
        <v>-2.5000000000000001E-2</v>
      </c>
      <c r="AK22">
        <v>1.5E-3</v>
      </c>
      <c r="AL22">
        <v>-1.5E-3</v>
      </c>
      <c r="AM22">
        <v>1.5E-3</v>
      </c>
      <c r="AN22">
        <v>-1.5E-3</v>
      </c>
      <c r="AO22" s="16">
        <v>2.5000000000000001E-2</v>
      </c>
      <c r="AP22" s="16">
        <v>-2.5000000000000001E-2</v>
      </c>
      <c r="AQ22">
        <v>1.4999999999999999E-2</v>
      </c>
      <c r="AR22">
        <v>-1.4999999999999999E-2</v>
      </c>
      <c r="AS22">
        <v>1E-3</v>
      </c>
      <c r="AT22">
        <v>-1E-3</v>
      </c>
      <c r="AU22">
        <v>1E-3</v>
      </c>
      <c r="AV22">
        <v>-1E-3</v>
      </c>
      <c r="AW22" s="16">
        <v>1.4999999999999999E-2</v>
      </c>
      <c r="AX22" s="16">
        <v>-1.4999999999999999E-2</v>
      </c>
    </row>
    <row r="23" spans="1:279" customFormat="1">
      <c r="A23" s="2">
        <v>18</v>
      </c>
      <c r="B23" s="2">
        <v>3.11103</v>
      </c>
      <c r="C23" s="2">
        <v>0.287439</v>
      </c>
      <c r="D23" s="2">
        <v>0.27293200000000001</v>
      </c>
      <c r="E23" s="2">
        <v>28.550899999999999</v>
      </c>
      <c r="F23" s="17" t="str">
        <f t="shared" si="0"/>
        <v/>
      </c>
      <c r="G23" s="9"/>
      <c r="H23" s="25">
        <v>1</v>
      </c>
      <c r="I23" s="5"/>
      <c r="J23" s="5"/>
      <c r="K23" s="5"/>
      <c r="L23" s="5"/>
      <c r="M23" s="5">
        <v>2</v>
      </c>
      <c r="N23" s="5"/>
      <c r="O23" s="5"/>
      <c r="P23" s="5"/>
      <c r="Q23" s="5"/>
      <c r="R23" s="5">
        <v>3</v>
      </c>
      <c r="S23" s="5"/>
      <c r="T23" s="5"/>
      <c r="U23" s="5"/>
      <c r="V23" s="5"/>
      <c r="W23" s="22">
        <f t="shared" si="1"/>
        <v>-3.1193599999999999</v>
      </c>
      <c r="X23" s="21">
        <f t="shared" si="2"/>
        <v>-0.28995700000000002</v>
      </c>
      <c r="Y23" s="21">
        <f t="shared" si="3"/>
        <v>-0.28256799999999999</v>
      </c>
      <c r="Z23" s="11">
        <f t="shared" si="4"/>
        <v>-1</v>
      </c>
      <c r="AA23" s="22">
        <f t="shared" si="5"/>
        <v>-3.1073400000000002</v>
      </c>
      <c r="AB23" s="21">
        <f t="shared" si="6"/>
        <v>-0.29020600000000002</v>
      </c>
      <c r="AC23" s="21">
        <f t="shared" si="7"/>
        <v>-0.27907300000000002</v>
      </c>
      <c r="AD23" s="11">
        <f t="shared" si="8"/>
        <v>-1</v>
      </c>
      <c r="AE23" s="22">
        <f t="shared" si="9"/>
        <v>-3.1158600000000001</v>
      </c>
      <c r="AF23" s="21">
        <f t="shared" si="10"/>
        <v>-0.28945700000000002</v>
      </c>
      <c r="AG23" s="21">
        <f t="shared" si="11"/>
        <v>-0.27837400000000001</v>
      </c>
      <c r="AH23" s="11">
        <f t="shared" si="12"/>
        <v>-1</v>
      </c>
      <c r="AI23">
        <v>2.5000000000000001E-2</v>
      </c>
      <c r="AJ23">
        <v>-2.5000000000000001E-2</v>
      </c>
      <c r="AK23">
        <v>1.5E-3</v>
      </c>
      <c r="AL23">
        <v>-1.5E-3</v>
      </c>
      <c r="AM23">
        <v>1.5E-3</v>
      </c>
      <c r="AN23">
        <v>-1.5E-3</v>
      </c>
      <c r="AO23" s="16">
        <v>2.5000000000000001E-2</v>
      </c>
      <c r="AP23" s="16">
        <v>-2.5000000000000001E-2</v>
      </c>
      <c r="AQ23">
        <v>1.4999999999999999E-2</v>
      </c>
      <c r="AR23">
        <v>-1.4999999999999999E-2</v>
      </c>
      <c r="AS23">
        <v>1E-3</v>
      </c>
      <c r="AT23">
        <v>-1E-3</v>
      </c>
      <c r="AU23">
        <v>1E-3</v>
      </c>
      <c r="AV23">
        <v>-1E-3</v>
      </c>
      <c r="AW23" s="16">
        <v>1.4999999999999999E-2</v>
      </c>
      <c r="AX23" s="16">
        <v>-1.4999999999999999E-2</v>
      </c>
    </row>
    <row r="24" spans="1:279" customFormat="1">
      <c r="A24" s="2">
        <v>19</v>
      </c>
      <c r="B24" s="2">
        <v>3.1101800000000002</v>
      </c>
      <c r="C24" s="2">
        <v>0.286136</v>
      </c>
      <c r="D24" s="2">
        <v>0.27066400000000002</v>
      </c>
      <c r="E24" s="2">
        <v>28.410699999999999</v>
      </c>
      <c r="F24" s="17" t="str">
        <f t="shared" si="0"/>
        <v/>
      </c>
      <c r="G24" s="9"/>
      <c r="H24" s="25">
        <v>1</v>
      </c>
      <c r="I24" s="5"/>
      <c r="J24" s="5"/>
      <c r="K24" s="5"/>
      <c r="L24" s="5"/>
      <c r="M24" s="5">
        <v>2</v>
      </c>
      <c r="N24" s="5"/>
      <c r="O24" s="5"/>
      <c r="P24" s="5"/>
      <c r="Q24" s="5"/>
      <c r="R24" s="5">
        <v>3</v>
      </c>
      <c r="S24" s="5"/>
      <c r="T24" s="5"/>
      <c r="U24" s="5"/>
      <c r="V24" s="5"/>
      <c r="W24" s="22">
        <f t="shared" si="1"/>
        <v>-3.1193599999999999</v>
      </c>
      <c r="X24" s="21">
        <f t="shared" si="2"/>
        <v>-0.28995700000000002</v>
      </c>
      <c r="Y24" s="21">
        <f t="shared" si="3"/>
        <v>-0.28256799999999999</v>
      </c>
      <c r="Z24" s="11">
        <f t="shared" si="4"/>
        <v>-1</v>
      </c>
      <c r="AA24" s="22">
        <f t="shared" si="5"/>
        <v>-3.1073400000000002</v>
      </c>
      <c r="AB24" s="21">
        <f t="shared" si="6"/>
        <v>-0.29020600000000002</v>
      </c>
      <c r="AC24" s="21">
        <f t="shared" si="7"/>
        <v>-0.27907300000000002</v>
      </c>
      <c r="AD24" s="11">
        <f t="shared" si="8"/>
        <v>-1</v>
      </c>
      <c r="AE24" s="22">
        <f t="shared" si="9"/>
        <v>-3.1158600000000001</v>
      </c>
      <c r="AF24" s="21">
        <f t="shared" si="10"/>
        <v>-0.28945700000000002</v>
      </c>
      <c r="AG24" s="21">
        <f t="shared" si="11"/>
        <v>-0.27837400000000001</v>
      </c>
      <c r="AH24" s="11">
        <f t="shared" si="12"/>
        <v>-1</v>
      </c>
      <c r="AI24">
        <v>2.5000000000000001E-2</v>
      </c>
      <c r="AJ24">
        <v>-2.5000000000000001E-2</v>
      </c>
      <c r="AK24">
        <v>1.5E-3</v>
      </c>
      <c r="AL24">
        <v>-1.5E-3</v>
      </c>
      <c r="AM24">
        <v>1.5E-3</v>
      </c>
      <c r="AN24">
        <v>-1.5E-3</v>
      </c>
      <c r="AO24" s="16">
        <v>2.5000000000000001E-2</v>
      </c>
      <c r="AP24" s="16">
        <v>-2.5000000000000001E-2</v>
      </c>
      <c r="AQ24">
        <v>1.4999999999999999E-2</v>
      </c>
      <c r="AR24">
        <v>-1.4999999999999999E-2</v>
      </c>
      <c r="AS24">
        <v>1E-3</v>
      </c>
      <c r="AT24">
        <v>-1E-3</v>
      </c>
      <c r="AU24">
        <v>1E-3</v>
      </c>
      <c r="AV24">
        <v>-1E-3</v>
      </c>
      <c r="AW24" s="16">
        <v>1.4999999999999999E-2</v>
      </c>
      <c r="AX24" s="16">
        <v>-1.4999999999999999E-2</v>
      </c>
    </row>
    <row r="25" spans="1:279" customFormat="1">
      <c r="A25" s="2">
        <v>20</v>
      </c>
      <c r="B25" s="2">
        <v>3.1181299999999998</v>
      </c>
      <c r="C25" s="2">
        <v>0.28607500000000002</v>
      </c>
      <c r="D25" s="2">
        <v>0.26979300000000001</v>
      </c>
      <c r="E25" s="2">
        <v>28.140599999999999</v>
      </c>
      <c r="F25" s="17" t="str">
        <f t="shared" si="0"/>
        <v/>
      </c>
      <c r="G25" s="9"/>
      <c r="H25" s="25">
        <v>1</v>
      </c>
      <c r="I25" s="5"/>
      <c r="J25" s="5"/>
      <c r="K25" s="5"/>
      <c r="L25" s="5"/>
      <c r="M25" s="5">
        <v>2</v>
      </c>
      <c r="N25" s="5"/>
      <c r="O25" s="5"/>
      <c r="P25" s="5"/>
      <c r="Q25" s="5"/>
      <c r="R25" s="5">
        <v>3</v>
      </c>
      <c r="S25" s="5"/>
      <c r="T25" s="5"/>
      <c r="U25" s="5"/>
      <c r="V25" s="5"/>
      <c r="W25" s="22">
        <f t="shared" si="1"/>
        <v>-3.1193599999999999</v>
      </c>
      <c r="X25" s="21">
        <f t="shared" si="2"/>
        <v>-0.28995700000000002</v>
      </c>
      <c r="Y25" s="21">
        <f t="shared" si="3"/>
        <v>-0.28256799999999999</v>
      </c>
      <c r="Z25" s="11">
        <f t="shared" si="4"/>
        <v>-1</v>
      </c>
      <c r="AA25" s="22">
        <f t="shared" si="5"/>
        <v>-3.1073400000000002</v>
      </c>
      <c r="AB25" s="21">
        <f t="shared" si="6"/>
        <v>-0.29020600000000002</v>
      </c>
      <c r="AC25" s="21">
        <f t="shared" si="7"/>
        <v>-0.27907300000000002</v>
      </c>
      <c r="AD25" s="11">
        <f t="shared" si="8"/>
        <v>-1</v>
      </c>
      <c r="AE25" s="22">
        <f t="shared" si="9"/>
        <v>-3.1158600000000001</v>
      </c>
      <c r="AF25" s="21">
        <f t="shared" si="10"/>
        <v>-0.28945700000000002</v>
      </c>
      <c r="AG25" s="21">
        <f t="shared" si="11"/>
        <v>-0.27837400000000001</v>
      </c>
      <c r="AH25" s="11">
        <f t="shared" si="12"/>
        <v>-1</v>
      </c>
      <c r="AI25">
        <v>2.5000000000000001E-2</v>
      </c>
      <c r="AJ25">
        <v>-2.5000000000000001E-2</v>
      </c>
      <c r="AK25">
        <v>1.5E-3</v>
      </c>
      <c r="AL25">
        <v>-1.5E-3</v>
      </c>
      <c r="AM25">
        <v>1.5E-3</v>
      </c>
      <c r="AN25">
        <v>-1.5E-3</v>
      </c>
      <c r="AO25" s="16">
        <v>2.5000000000000001E-2</v>
      </c>
      <c r="AP25" s="16">
        <v>-2.5000000000000001E-2</v>
      </c>
      <c r="AQ25">
        <v>1.4999999999999999E-2</v>
      </c>
      <c r="AR25">
        <v>-1.4999999999999999E-2</v>
      </c>
      <c r="AS25">
        <v>1E-3</v>
      </c>
      <c r="AT25">
        <v>-1E-3</v>
      </c>
      <c r="AU25">
        <v>1E-3</v>
      </c>
      <c r="AV25">
        <v>-1E-3</v>
      </c>
      <c r="AW25" s="16">
        <v>1.4999999999999999E-2</v>
      </c>
      <c r="AX25" s="16">
        <v>-1.4999999999999999E-2</v>
      </c>
    </row>
    <row r="26" spans="1:279" customFormat="1">
      <c r="A26" s="2">
        <v>21</v>
      </c>
      <c r="B26" s="2">
        <v>3.1225800000000001</v>
      </c>
      <c r="C26" s="2">
        <v>0.28238799999999997</v>
      </c>
      <c r="D26" s="2">
        <v>0.26496199999999998</v>
      </c>
      <c r="E26" s="2">
        <v>27.8932</v>
      </c>
      <c r="F26" s="17" t="str">
        <f t="shared" si="0"/>
        <v/>
      </c>
      <c r="G26" s="9"/>
      <c r="H26" s="25">
        <v>1</v>
      </c>
      <c r="I26" s="5"/>
      <c r="J26" s="5"/>
      <c r="K26" s="5"/>
      <c r="L26" s="5"/>
      <c r="M26" s="5">
        <v>2</v>
      </c>
      <c r="N26" s="5"/>
      <c r="O26" s="5"/>
      <c r="P26" s="5"/>
      <c r="Q26" s="5"/>
      <c r="R26" s="5">
        <v>3</v>
      </c>
      <c r="S26" s="5"/>
      <c r="T26" s="5"/>
      <c r="U26" s="5"/>
      <c r="V26" s="5"/>
      <c r="W26" s="22">
        <f t="shared" si="1"/>
        <v>-3.1193599999999999</v>
      </c>
      <c r="X26" s="21">
        <f t="shared" si="2"/>
        <v>-0.28995700000000002</v>
      </c>
      <c r="Y26" s="21">
        <f t="shared" si="3"/>
        <v>-0.28256799999999999</v>
      </c>
      <c r="Z26" s="11">
        <f t="shared" si="4"/>
        <v>-1</v>
      </c>
      <c r="AA26" s="22">
        <f t="shared" si="5"/>
        <v>-3.1073400000000002</v>
      </c>
      <c r="AB26" s="21">
        <f t="shared" si="6"/>
        <v>-0.29020600000000002</v>
      </c>
      <c r="AC26" s="21">
        <f t="shared" si="7"/>
        <v>-0.27907300000000002</v>
      </c>
      <c r="AD26" s="11">
        <f t="shared" si="8"/>
        <v>-1</v>
      </c>
      <c r="AE26" s="22">
        <f t="shared" si="9"/>
        <v>-3.1158600000000001</v>
      </c>
      <c r="AF26" s="21">
        <f t="shared" si="10"/>
        <v>-0.28945700000000002</v>
      </c>
      <c r="AG26" s="21">
        <f t="shared" si="11"/>
        <v>-0.27837400000000001</v>
      </c>
      <c r="AH26" s="11">
        <f t="shared" si="12"/>
        <v>-1</v>
      </c>
      <c r="AI26">
        <v>2.5000000000000001E-2</v>
      </c>
      <c r="AJ26">
        <v>-2.5000000000000001E-2</v>
      </c>
      <c r="AK26">
        <v>1.5E-3</v>
      </c>
      <c r="AL26">
        <v>-1.5E-3</v>
      </c>
      <c r="AM26">
        <v>1.5E-3</v>
      </c>
      <c r="AN26">
        <v>-1.5E-3</v>
      </c>
      <c r="AO26" s="16">
        <v>2.5000000000000001E-2</v>
      </c>
      <c r="AP26" s="16">
        <v>-2.5000000000000001E-2</v>
      </c>
      <c r="AQ26">
        <v>1.4999999999999999E-2</v>
      </c>
      <c r="AR26">
        <v>-1.4999999999999999E-2</v>
      </c>
      <c r="AS26">
        <v>1E-3</v>
      </c>
      <c r="AT26">
        <v>-1E-3</v>
      </c>
      <c r="AU26">
        <v>1E-3</v>
      </c>
      <c r="AV26">
        <v>-1E-3</v>
      </c>
      <c r="AW26" s="16">
        <v>1.4999999999999999E-2</v>
      </c>
      <c r="AX26" s="16">
        <v>-1.4999999999999999E-2</v>
      </c>
    </row>
    <row r="27" spans="1:279" customFormat="1">
      <c r="A27" s="2">
        <v>22</v>
      </c>
      <c r="B27" s="2">
        <v>3.12296</v>
      </c>
      <c r="C27" s="2">
        <v>0.28137600000000001</v>
      </c>
      <c r="D27" s="2">
        <v>0.26335900000000001</v>
      </c>
      <c r="E27" s="2">
        <v>27.848099999999999</v>
      </c>
      <c r="F27" s="17" t="str">
        <f t="shared" si="0"/>
        <v/>
      </c>
      <c r="G27" s="9"/>
      <c r="H27" s="25">
        <v>1</v>
      </c>
      <c r="I27" s="5"/>
      <c r="J27" s="5"/>
      <c r="K27" s="5"/>
      <c r="L27" s="5"/>
      <c r="M27" s="5">
        <v>2</v>
      </c>
      <c r="N27" s="5"/>
      <c r="O27" s="5"/>
      <c r="P27" s="5"/>
      <c r="Q27" s="5"/>
      <c r="R27" s="5">
        <v>3</v>
      </c>
      <c r="S27" s="5"/>
      <c r="T27" s="5"/>
      <c r="U27" s="5"/>
      <c r="V27" s="5"/>
      <c r="W27" s="22">
        <f t="shared" si="1"/>
        <v>-3.1193599999999999</v>
      </c>
      <c r="X27" s="21">
        <f t="shared" si="2"/>
        <v>-0.28995700000000002</v>
      </c>
      <c r="Y27" s="21">
        <f t="shared" si="3"/>
        <v>-0.28256799999999999</v>
      </c>
      <c r="Z27" s="11">
        <f t="shared" si="4"/>
        <v>-1</v>
      </c>
      <c r="AA27" s="22">
        <f t="shared" si="5"/>
        <v>-3.1073400000000002</v>
      </c>
      <c r="AB27" s="21">
        <f t="shared" si="6"/>
        <v>-0.29020600000000002</v>
      </c>
      <c r="AC27" s="21">
        <f t="shared" si="7"/>
        <v>-0.27907300000000002</v>
      </c>
      <c r="AD27" s="11">
        <f t="shared" si="8"/>
        <v>-1</v>
      </c>
      <c r="AE27" s="22">
        <f t="shared" si="9"/>
        <v>-3.1158600000000001</v>
      </c>
      <c r="AF27" s="21">
        <f t="shared" si="10"/>
        <v>-0.28945700000000002</v>
      </c>
      <c r="AG27" s="21">
        <f t="shared" si="11"/>
        <v>-0.27837400000000001</v>
      </c>
      <c r="AH27" s="11">
        <f t="shared" si="12"/>
        <v>-1</v>
      </c>
      <c r="AI27">
        <v>2.5000000000000001E-2</v>
      </c>
      <c r="AJ27">
        <v>-2.5000000000000001E-2</v>
      </c>
      <c r="AK27">
        <v>1.5E-3</v>
      </c>
      <c r="AL27">
        <v>-1.5E-3</v>
      </c>
      <c r="AM27">
        <v>1.5E-3</v>
      </c>
      <c r="AN27">
        <v>-1.5E-3</v>
      </c>
      <c r="AO27" s="16">
        <v>2.5000000000000001E-2</v>
      </c>
      <c r="AP27" s="16">
        <v>-2.5000000000000001E-2</v>
      </c>
      <c r="AQ27">
        <v>1.4999999999999999E-2</v>
      </c>
      <c r="AR27">
        <v>-1.4999999999999999E-2</v>
      </c>
      <c r="AS27">
        <v>1E-3</v>
      </c>
      <c r="AT27">
        <v>-1E-3</v>
      </c>
      <c r="AU27">
        <v>1E-3</v>
      </c>
      <c r="AV27">
        <v>-1E-3</v>
      </c>
      <c r="AW27" s="16">
        <v>1.4999999999999999E-2</v>
      </c>
      <c r="AX27" s="16">
        <v>-1.4999999999999999E-2</v>
      </c>
    </row>
    <row r="28" spans="1:279" customFormat="1">
      <c r="A28" s="2">
        <v>23</v>
      </c>
      <c r="B28" s="2">
        <v>3.1089500000000001</v>
      </c>
      <c r="C28" s="2">
        <v>0.28304499999999999</v>
      </c>
      <c r="D28" s="2">
        <v>0.26758100000000001</v>
      </c>
      <c r="E28" s="2">
        <v>28.23</v>
      </c>
      <c r="F28" s="17" t="str">
        <f t="shared" si="0"/>
        <v/>
      </c>
      <c r="G28" s="9"/>
      <c r="H28" s="25">
        <v>1</v>
      </c>
      <c r="I28" s="5"/>
      <c r="J28" s="5"/>
      <c r="K28" s="5"/>
      <c r="L28" s="5"/>
      <c r="M28" s="5">
        <v>2</v>
      </c>
      <c r="N28" s="5"/>
      <c r="O28" s="5"/>
      <c r="P28" s="5"/>
      <c r="Q28" s="5"/>
      <c r="R28" s="5">
        <v>3</v>
      </c>
      <c r="S28" s="5"/>
      <c r="T28" s="5"/>
      <c r="U28" s="5"/>
      <c r="V28" s="5"/>
      <c r="W28" s="22">
        <f t="shared" si="1"/>
        <v>-3.1193599999999999</v>
      </c>
      <c r="X28" s="21">
        <f t="shared" si="2"/>
        <v>-0.28995700000000002</v>
      </c>
      <c r="Y28" s="21">
        <f t="shared" si="3"/>
        <v>-0.28256799999999999</v>
      </c>
      <c r="Z28" s="11">
        <f t="shared" si="4"/>
        <v>-1</v>
      </c>
      <c r="AA28" s="22">
        <f t="shared" si="5"/>
        <v>-3.1073400000000002</v>
      </c>
      <c r="AB28" s="21">
        <f t="shared" si="6"/>
        <v>-0.29020600000000002</v>
      </c>
      <c r="AC28" s="21">
        <f t="shared" si="7"/>
        <v>-0.27907300000000002</v>
      </c>
      <c r="AD28" s="11">
        <f t="shared" si="8"/>
        <v>-1</v>
      </c>
      <c r="AE28" s="22">
        <f t="shared" si="9"/>
        <v>-3.1158600000000001</v>
      </c>
      <c r="AF28" s="21">
        <f t="shared" si="10"/>
        <v>-0.28945700000000002</v>
      </c>
      <c r="AG28" s="21">
        <f t="shared" si="11"/>
        <v>-0.27837400000000001</v>
      </c>
      <c r="AH28" s="11">
        <f t="shared" si="12"/>
        <v>-1</v>
      </c>
      <c r="AI28">
        <v>2.5000000000000001E-2</v>
      </c>
      <c r="AJ28">
        <v>-2.5000000000000001E-2</v>
      </c>
      <c r="AK28">
        <v>1.5E-3</v>
      </c>
      <c r="AL28">
        <v>-1.5E-3</v>
      </c>
      <c r="AM28">
        <v>1.5E-3</v>
      </c>
      <c r="AN28">
        <v>-1.5E-3</v>
      </c>
      <c r="AO28" s="16">
        <v>2.5000000000000001E-2</v>
      </c>
      <c r="AP28" s="16">
        <v>-2.5000000000000001E-2</v>
      </c>
      <c r="AQ28">
        <v>1.4999999999999999E-2</v>
      </c>
      <c r="AR28">
        <v>-1.4999999999999999E-2</v>
      </c>
      <c r="AS28">
        <v>1E-3</v>
      </c>
      <c r="AT28">
        <v>-1E-3</v>
      </c>
      <c r="AU28">
        <v>1E-3</v>
      </c>
      <c r="AV28">
        <v>-1E-3</v>
      </c>
      <c r="AW28" s="16">
        <v>1.4999999999999999E-2</v>
      </c>
      <c r="AX28" s="16">
        <v>-1.4999999999999999E-2</v>
      </c>
    </row>
    <row r="29" spans="1:279" customFormat="1">
      <c r="A29" s="2">
        <v>24</v>
      </c>
      <c r="B29" s="2">
        <v>3.1106600000000002</v>
      </c>
      <c r="C29" s="2">
        <v>0.28251900000000002</v>
      </c>
      <c r="D29" s="2">
        <v>0.26605899999999999</v>
      </c>
      <c r="E29" s="2">
        <v>27.682700000000001</v>
      </c>
      <c r="F29" s="17" t="str">
        <f t="shared" si="0"/>
        <v/>
      </c>
      <c r="G29" s="9"/>
      <c r="H29" s="25">
        <v>1</v>
      </c>
      <c r="I29" s="5"/>
      <c r="J29" s="5"/>
      <c r="K29" s="5"/>
      <c r="L29" s="5"/>
      <c r="M29" s="5">
        <v>2</v>
      </c>
      <c r="N29" s="5"/>
      <c r="O29" s="5"/>
      <c r="P29" s="5"/>
      <c r="Q29" s="5"/>
      <c r="R29" s="5">
        <v>3</v>
      </c>
      <c r="S29" s="5"/>
      <c r="T29" s="5"/>
      <c r="U29" s="5"/>
      <c r="V29" s="5"/>
      <c r="W29" s="22">
        <f t="shared" si="1"/>
        <v>-3.1193599999999999</v>
      </c>
      <c r="X29" s="21">
        <f t="shared" si="2"/>
        <v>-0.28995700000000002</v>
      </c>
      <c r="Y29" s="21">
        <f t="shared" si="3"/>
        <v>-0.28256799999999999</v>
      </c>
      <c r="Z29" s="11">
        <f t="shared" si="4"/>
        <v>-1</v>
      </c>
      <c r="AA29" s="22">
        <f t="shared" si="5"/>
        <v>-3.1073400000000002</v>
      </c>
      <c r="AB29" s="21">
        <f t="shared" si="6"/>
        <v>-0.29020600000000002</v>
      </c>
      <c r="AC29" s="21">
        <f t="shared" si="7"/>
        <v>-0.27907300000000002</v>
      </c>
      <c r="AD29" s="11">
        <f t="shared" si="8"/>
        <v>-1</v>
      </c>
      <c r="AE29" s="22">
        <f t="shared" si="9"/>
        <v>-3.1158600000000001</v>
      </c>
      <c r="AF29" s="21">
        <f t="shared" si="10"/>
        <v>-0.28945700000000002</v>
      </c>
      <c r="AG29" s="21">
        <f t="shared" si="11"/>
        <v>-0.27837400000000001</v>
      </c>
      <c r="AH29" s="11">
        <f t="shared" si="12"/>
        <v>-1</v>
      </c>
      <c r="AI29">
        <v>2.5000000000000001E-2</v>
      </c>
      <c r="AJ29">
        <v>-2.5000000000000001E-2</v>
      </c>
      <c r="AK29">
        <v>1.5E-3</v>
      </c>
      <c r="AL29">
        <v>-1.5E-3</v>
      </c>
      <c r="AM29">
        <v>1.5E-3</v>
      </c>
      <c r="AN29">
        <v>-1.5E-3</v>
      </c>
      <c r="AO29" s="16">
        <v>2.5000000000000001E-2</v>
      </c>
      <c r="AP29" s="16">
        <v>-2.5000000000000001E-2</v>
      </c>
      <c r="AQ29">
        <v>1.4999999999999999E-2</v>
      </c>
      <c r="AR29">
        <v>-1.4999999999999999E-2</v>
      </c>
      <c r="AS29">
        <v>1E-3</v>
      </c>
      <c r="AT29">
        <v>-1E-3</v>
      </c>
      <c r="AU29">
        <v>1E-3</v>
      </c>
      <c r="AV29">
        <v>-1E-3</v>
      </c>
      <c r="AW29" s="16">
        <v>1.4999999999999999E-2</v>
      </c>
      <c r="AX29" s="16">
        <v>-1.4999999999999999E-2</v>
      </c>
    </row>
    <row r="30" spans="1:279" customFormat="1">
      <c r="A30" s="2">
        <v>25</v>
      </c>
      <c r="B30" s="2">
        <v>3.1190799999999999</v>
      </c>
      <c r="C30" s="2">
        <v>0.28132499999999999</v>
      </c>
      <c r="D30" s="2">
        <v>0.26364199999999999</v>
      </c>
      <c r="E30" s="2">
        <v>27.938199999999998</v>
      </c>
      <c r="F30" s="17" t="str">
        <f t="shared" si="0"/>
        <v/>
      </c>
      <c r="G30" s="9"/>
      <c r="H30" s="25">
        <v>1</v>
      </c>
      <c r="I30" s="5"/>
      <c r="J30" s="5"/>
      <c r="K30" s="5"/>
      <c r="L30" s="5"/>
      <c r="M30" s="5">
        <v>2</v>
      </c>
      <c r="N30" s="5"/>
      <c r="O30" s="5"/>
      <c r="P30" s="5"/>
      <c r="Q30" s="5"/>
      <c r="R30" s="5">
        <v>3</v>
      </c>
      <c r="S30" s="5"/>
      <c r="T30" s="5"/>
      <c r="U30" s="5"/>
      <c r="V30" s="5"/>
      <c r="W30" s="22">
        <f t="shared" si="1"/>
        <v>-3.1193599999999999</v>
      </c>
      <c r="X30" s="21">
        <f t="shared" si="2"/>
        <v>-0.28995700000000002</v>
      </c>
      <c r="Y30" s="21">
        <f t="shared" si="3"/>
        <v>-0.28256799999999999</v>
      </c>
      <c r="Z30" s="11">
        <f t="shared" si="4"/>
        <v>-1</v>
      </c>
      <c r="AA30" s="22">
        <f t="shared" si="5"/>
        <v>-3.1073400000000002</v>
      </c>
      <c r="AB30" s="21">
        <f t="shared" si="6"/>
        <v>-0.29020600000000002</v>
      </c>
      <c r="AC30" s="21">
        <f t="shared" si="7"/>
        <v>-0.27907300000000002</v>
      </c>
      <c r="AD30" s="11">
        <f t="shared" si="8"/>
        <v>-1</v>
      </c>
      <c r="AE30" s="22">
        <f t="shared" si="9"/>
        <v>-3.1158600000000001</v>
      </c>
      <c r="AF30" s="21">
        <f t="shared" si="10"/>
        <v>-0.28945700000000002</v>
      </c>
      <c r="AG30" s="21">
        <f t="shared" si="11"/>
        <v>-0.27837400000000001</v>
      </c>
      <c r="AH30" s="11">
        <f t="shared" si="12"/>
        <v>-1</v>
      </c>
      <c r="AI30">
        <v>2.5000000000000001E-2</v>
      </c>
      <c r="AJ30">
        <v>-2.5000000000000001E-2</v>
      </c>
      <c r="AK30">
        <v>1.5E-3</v>
      </c>
      <c r="AL30">
        <v>-1.5E-3</v>
      </c>
      <c r="AM30">
        <v>1.5E-3</v>
      </c>
      <c r="AN30">
        <v>-1.5E-3</v>
      </c>
      <c r="AO30" s="16">
        <v>2.5000000000000001E-2</v>
      </c>
      <c r="AP30" s="16">
        <v>-2.5000000000000001E-2</v>
      </c>
      <c r="AQ30">
        <v>1.4999999999999999E-2</v>
      </c>
      <c r="AR30">
        <v>-1.4999999999999999E-2</v>
      </c>
      <c r="AS30">
        <v>1E-3</v>
      </c>
      <c r="AT30">
        <v>-1E-3</v>
      </c>
      <c r="AU30">
        <v>1E-3</v>
      </c>
      <c r="AV30">
        <v>-1E-3</v>
      </c>
      <c r="AW30" s="16">
        <v>1.4999999999999999E-2</v>
      </c>
      <c r="AX30" s="16">
        <v>-1.4999999999999999E-2</v>
      </c>
    </row>
    <row r="31" spans="1:279" customFormat="1">
      <c r="A31" s="2">
        <v>26</v>
      </c>
      <c r="B31" s="2">
        <v>3.1135899999999999</v>
      </c>
      <c r="C31" s="2">
        <v>0.283136</v>
      </c>
      <c r="D31" s="2">
        <v>0.266378</v>
      </c>
      <c r="E31" s="2">
        <v>27.988199999999999</v>
      </c>
      <c r="F31" s="17" t="str">
        <f t="shared" si="0"/>
        <v/>
      </c>
      <c r="G31" s="9"/>
      <c r="H31" s="25">
        <v>1</v>
      </c>
      <c r="I31" s="5"/>
      <c r="J31" s="5"/>
      <c r="K31" s="5"/>
      <c r="L31" s="5"/>
      <c r="M31" s="5">
        <v>2</v>
      </c>
      <c r="N31" s="5"/>
      <c r="O31" s="5"/>
      <c r="P31" s="5"/>
      <c r="Q31" s="5"/>
      <c r="R31" s="5">
        <v>3</v>
      </c>
      <c r="S31" s="5"/>
      <c r="T31" s="5"/>
      <c r="U31" s="5"/>
      <c r="V31" s="5"/>
      <c r="W31" s="22">
        <f t="shared" si="1"/>
        <v>-3.1193599999999999</v>
      </c>
      <c r="X31" s="21">
        <f t="shared" si="2"/>
        <v>-0.28995700000000002</v>
      </c>
      <c r="Y31" s="21">
        <f t="shared" si="3"/>
        <v>-0.28256799999999999</v>
      </c>
      <c r="Z31" s="11">
        <f t="shared" si="4"/>
        <v>-1</v>
      </c>
      <c r="AA31" s="22">
        <f t="shared" si="5"/>
        <v>-3.1073400000000002</v>
      </c>
      <c r="AB31" s="21">
        <f t="shared" si="6"/>
        <v>-0.29020600000000002</v>
      </c>
      <c r="AC31" s="21">
        <f t="shared" si="7"/>
        <v>-0.27907300000000002</v>
      </c>
      <c r="AD31" s="11">
        <f t="shared" si="8"/>
        <v>-1</v>
      </c>
      <c r="AE31" s="22">
        <f t="shared" si="9"/>
        <v>-3.1158600000000001</v>
      </c>
      <c r="AF31" s="21">
        <f t="shared" si="10"/>
        <v>-0.28945700000000002</v>
      </c>
      <c r="AG31" s="21">
        <f t="shared" si="11"/>
        <v>-0.27837400000000001</v>
      </c>
      <c r="AH31" s="11">
        <f t="shared" si="12"/>
        <v>-1</v>
      </c>
      <c r="AI31">
        <v>2.5000000000000001E-2</v>
      </c>
      <c r="AJ31">
        <v>-2.5000000000000001E-2</v>
      </c>
      <c r="AK31">
        <v>1.5E-3</v>
      </c>
      <c r="AL31">
        <v>-1.5E-3</v>
      </c>
      <c r="AM31">
        <v>1.5E-3</v>
      </c>
      <c r="AN31">
        <v>-1.5E-3</v>
      </c>
      <c r="AO31" s="16">
        <v>2.5000000000000001E-2</v>
      </c>
      <c r="AP31" s="16">
        <v>-2.5000000000000001E-2</v>
      </c>
      <c r="AQ31">
        <v>1.4999999999999999E-2</v>
      </c>
      <c r="AR31">
        <v>-1.4999999999999999E-2</v>
      </c>
      <c r="AS31">
        <v>1E-3</v>
      </c>
      <c r="AT31">
        <v>-1E-3</v>
      </c>
      <c r="AU31">
        <v>1E-3</v>
      </c>
      <c r="AV31">
        <v>-1E-3</v>
      </c>
      <c r="AW31" s="16">
        <v>1.4999999999999999E-2</v>
      </c>
      <c r="AX31" s="16">
        <v>-1.4999999999999999E-2</v>
      </c>
    </row>
    <row r="32" spans="1:279" customFormat="1">
      <c r="A32" s="2">
        <v>27</v>
      </c>
      <c r="B32" s="2">
        <v>3.1152899999999999</v>
      </c>
      <c r="C32" s="2">
        <v>0.28315800000000002</v>
      </c>
      <c r="D32" s="2">
        <v>0.26782299999999998</v>
      </c>
      <c r="E32" s="2">
        <v>28.096599999999999</v>
      </c>
      <c r="F32" s="17" t="str">
        <f t="shared" si="0"/>
        <v/>
      </c>
      <c r="G32" s="9"/>
      <c r="H32" s="25">
        <v>1</v>
      </c>
      <c r="I32" s="5"/>
      <c r="J32" s="5"/>
      <c r="K32" s="5"/>
      <c r="L32" s="5"/>
      <c r="M32" s="5">
        <v>2</v>
      </c>
      <c r="N32" s="5"/>
      <c r="O32" s="5"/>
      <c r="P32" s="5"/>
      <c r="Q32" s="5"/>
      <c r="R32" s="5">
        <v>3</v>
      </c>
      <c r="S32" s="5"/>
      <c r="T32" s="5"/>
      <c r="U32" s="5"/>
      <c r="V32" s="5"/>
      <c r="W32" s="22">
        <f t="shared" si="1"/>
        <v>-3.1193599999999999</v>
      </c>
      <c r="X32" s="21">
        <f t="shared" si="2"/>
        <v>-0.28995700000000002</v>
      </c>
      <c r="Y32" s="21">
        <f t="shared" si="3"/>
        <v>-0.28256799999999999</v>
      </c>
      <c r="Z32" s="11">
        <f t="shared" si="4"/>
        <v>-1</v>
      </c>
      <c r="AA32" s="22">
        <f t="shared" si="5"/>
        <v>-3.1073400000000002</v>
      </c>
      <c r="AB32" s="21">
        <f t="shared" si="6"/>
        <v>-0.29020600000000002</v>
      </c>
      <c r="AC32" s="21">
        <f t="shared" si="7"/>
        <v>-0.27907300000000002</v>
      </c>
      <c r="AD32" s="11">
        <f t="shared" si="8"/>
        <v>-1</v>
      </c>
      <c r="AE32" s="22">
        <f t="shared" si="9"/>
        <v>-3.1158600000000001</v>
      </c>
      <c r="AF32" s="21">
        <f t="shared" si="10"/>
        <v>-0.28945700000000002</v>
      </c>
      <c r="AG32" s="21">
        <f t="shared" si="11"/>
        <v>-0.27837400000000001</v>
      </c>
      <c r="AH32" s="11">
        <f t="shared" si="12"/>
        <v>-1</v>
      </c>
      <c r="AI32">
        <v>2.5000000000000001E-2</v>
      </c>
      <c r="AJ32">
        <v>-2.5000000000000001E-2</v>
      </c>
      <c r="AK32">
        <v>1.5E-3</v>
      </c>
      <c r="AL32">
        <v>-1.5E-3</v>
      </c>
      <c r="AM32">
        <v>1.5E-3</v>
      </c>
      <c r="AN32">
        <v>-1.5E-3</v>
      </c>
      <c r="AO32" s="16">
        <v>2.5000000000000001E-2</v>
      </c>
      <c r="AP32" s="16">
        <v>-2.5000000000000001E-2</v>
      </c>
      <c r="AQ32">
        <v>1.4999999999999999E-2</v>
      </c>
      <c r="AR32">
        <v>-1.4999999999999999E-2</v>
      </c>
      <c r="AS32">
        <v>1E-3</v>
      </c>
      <c r="AT32">
        <v>-1E-3</v>
      </c>
      <c r="AU32">
        <v>1E-3</v>
      </c>
      <c r="AV32">
        <v>-1E-3</v>
      </c>
      <c r="AW32" s="16">
        <v>1.4999999999999999E-2</v>
      </c>
      <c r="AX32" s="16">
        <v>-1.4999999999999999E-2</v>
      </c>
    </row>
    <row r="33" spans="1:279" customFormat="1">
      <c r="A33" s="2">
        <v>28</v>
      </c>
      <c r="B33" s="2">
        <v>3.10914</v>
      </c>
      <c r="C33" s="2">
        <v>0.28270800000000001</v>
      </c>
      <c r="D33" s="2">
        <v>0.26754699999999998</v>
      </c>
      <c r="E33" s="2">
        <v>27.968900000000001</v>
      </c>
      <c r="F33" s="17" t="str">
        <f t="shared" si="0"/>
        <v/>
      </c>
      <c r="G33" s="9"/>
      <c r="H33" s="25">
        <v>1</v>
      </c>
      <c r="I33" s="5"/>
      <c r="J33" s="5"/>
      <c r="K33" s="5"/>
      <c r="L33" s="5"/>
      <c r="M33" s="5">
        <v>2</v>
      </c>
      <c r="N33" s="5"/>
      <c r="O33" s="5"/>
      <c r="P33" s="5"/>
      <c r="Q33" s="5"/>
      <c r="R33" s="5">
        <v>3</v>
      </c>
      <c r="S33" s="5"/>
      <c r="T33" s="5"/>
      <c r="U33" s="5"/>
      <c r="V33" s="5"/>
      <c r="W33" s="22">
        <f t="shared" si="1"/>
        <v>-3.1193599999999999</v>
      </c>
      <c r="X33" s="21">
        <f t="shared" si="2"/>
        <v>-0.28995700000000002</v>
      </c>
      <c r="Y33" s="21">
        <f t="shared" si="3"/>
        <v>-0.28256799999999999</v>
      </c>
      <c r="Z33" s="11">
        <f t="shared" si="4"/>
        <v>-1</v>
      </c>
      <c r="AA33" s="22">
        <f t="shared" si="5"/>
        <v>-3.1073400000000002</v>
      </c>
      <c r="AB33" s="21">
        <f t="shared" si="6"/>
        <v>-0.29020600000000002</v>
      </c>
      <c r="AC33" s="21">
        <f t="shared" si="7"/>
        <v>-0.27907300000000002</v>
      </c>
      <c r="AD33" s="11">
        <f t="shared" si="8"/>
        <v>-1</v>
      </c>
      <c r="AE33" s="22">
        <f t="shared" si="9"/>
        <v>-3.1158600000000001</v>
      </c>
      <c r="AF33" s="21">
        <f t="shared" si="10"/>
        <v>-0.28945700000000002</v>
      </c>
      <c r="AG33" s="21">
        <f t="shared" si="11"/>
        <v>-0.27837400000000001</v>
      </c>
      <c r="AH33" s="11">
        <f t="shared" si="12"/>
        <v>-1</v>
      </c>
      <c r="AI33">
        <v>2.5000000000000001E-2</v>
      </c>
      <c r="AJ33">
        <v>-2.5000000000000001E-2</v>
      </c>
      <c r="AK33">
        <v>1.5E-3</v>
      </c>
      <c r="AL33">
        <v>-1.5E-3</v>
      </c>
      <c r="AM33">
        <v>1.5E-3</v>
      </c>
      <c r="AN33">
        <v>-1.5E-3</v>
      </c>
      <c r="AO33" s="16">
        <v>2.5000000000000001E-2</v>
      </c>
      <c r="AP33" s="16">
        <v>-2.5000000000000001E-2</v>
      </c>
      <c r="AQ33">
        <v>1.4999999999999999E-2</v>
      </c>
      <c r="AR33">
        <v>-1.4999999999999999E-2</v>
      </c>
      <c r="AS33">
        <v>1E-3</v>
      </c>
      <c r="AT33">
        <v>-1E-3</v>
      </c>
      <c r="AU33">
        <v>1E-3</v>
      </c>
      <c r="AV33">
        <v>-1E-3</v>
      </c>
      <c r="AW33" s="16">
        <v>1.4999999999999999E-2</v>
      </c>
      <c r="AX33" s="16">
        <v>-1.4999999999999999E-2</v>
      </c>
      <c r="JR33">
        <v>12.849506578947368</v>
      </c>
    </row>
    <row r="34" spans="1:279" customFormat="1">
      <c r="A34" s="2">
        <v>29</v>
      </c>
      <c r="B34" s="2">
        <v>3.1142500000000002</v>
      </c>
      <c r="C34" s="2">
        <v>0.28425499999999998</v>
      </c>
      <c r="D34" s="2">
        <v>0.268598</v>
      </c>
      <c r="E34" s="2">
        <v>28.1814</v>
      </c>
      <c r="F34" s="17" t="str">
        <f t="shared" si="0"/>
        <v/>
      </c>
      <c r="G34" s="9"/>
      <c r="H34" s="25">
        <v>1</v>
      </c>
      <c r="I34" s="5"/>
      <c r="J34" s="5"/>
      <c r="K34" s="5"/>
      <c r="L34" s="5"/>
      <c r="M34" s="5">
        <v>2</v>
      </c>
      <c r="N34" s="5"/>
      <c r="O34" s="5"/>
      <c r="P34" s="5"/>
      <c r="Q34" s="5"/>
      <c r="R34" s="5">
        <v>3</v>
      </c>
      <c r="S34" s="5"/>
      <c r="T34" s="5"/>
      <c r="U34" s="5"/>
      <c r="V34" s="5"/>
      <c r="W34" s="22">
        <f t="shared" si="1"/>
        <v>-3.1193599999999999</v>
      </c>
      <c r="X34" s="21">
        <f t="shared" si="2"/>
        <v>-0.28995700000000002</v>
      </c>
      <c r="Y34" s="21">
        <f t="shared" si="3"/>
        <v>-0.28256799999999999</v>
      </c>
      <c r="Z34" s="11">
        <f t="shared" si="4"/>
        <v>-1</v>
      </c>
      <c r="AA34" s="22">
        <f t="shared" si="5"/>
        <v>-3.1073400000000002</v>
      </c>
      <c r="AB34" s="21">
        <f t="shared" si="6"/>
        <v>-0.29020600000000002</v>
      </c>
      <c r="AC34" s="21">
        <f t="shared" si="7"/>
        <v>-0.27907300000000002</v>
      </c>
      <c r="AD34" s="11">
        <f t="shared" si="8"/>
        <v>-1</v>
      </c>
      <c r="AE34" s="22">
        <f t="shared" si="9"/>
        <v>-3.1158600000000001</v>
      </c>
      <c r="AF34" s="21">
        <f t="shared" si="10"/>
        <v>-0.28945700000000002</v>
      </c>
      <c r="AG34" s="21">
        <f t="shared" si="11"/>
        <v>-0.27837400000000001</v>
      </c>
      <c r="AH34" s="11">
        <f t="shared" si="12"/>
        <v>-1</v>
      </c>
      <c r="AI34">
        <v>2.5000000000000001E-2</v>
      </c>
      <c r="AJ34">
        <v>-2.5000000000000001E-2</v>
      </c>
      <c r="AK34">
        <v>1.5E-3</v>
      </c>
      <c r="AL34">
        <v>-1.5E-3</v>
      </c>
      <c r="AM34">
        <v>1.5E-3</v>
      </c>
      <c r="AN34">
        <v>-1.5E-3</v>
      </c>
      <c r="AO34" s="16">
        <v>2.5000000000000001E-2</v>
      </c>
      <c r="AP34" s="16">
        <v>-2.5000000000000001E-2</v>
      </c>
      <c r="AQ34">
        <v>1.4999999999999999E-2</v>
      </c>
      <c r="AR34">
        <v>-1.4999999999999999E-2</v>
      </c>
      <c r="AS34">
        <v>1E-3</v>
      </c>
      <c r="AT34">
        <v>-1E-3</v>
      </c>
      <c r="AU34">
        <v>1E-3</v>
      </c>
      <c r="AV34">
        <v>-1E-3</v>
      </c>
      <c r="AW34" s="16">
        <v>1.4999999999999999E-2</v>
      </c>
      <c r="AX34" s="16">
        <v>-1.4999999999999999E-2</v>
      </c>
      <c r="JR34">
        <v>12.849506578947368</v>
      </c>
      <c r="JS34">
        <v>12.849506578947368</v>
      </c>
    </row>
    <row r="35" spans="1:279" customFormat="1">
      <c r="A35" s="2">
        <v>30</v>
      </c>
      <c r="B35" s="2">
        <v>3.1082900000000002</v>
      </c>
      <c r="C35" s="2">
        <v>0.28392200000000001</v>
      </c>
      <c r="D35" s="2">
        <v>0.27074300000000001</v>
      </c>
      <c r="E35" s="2">
        <v>28.167000000000002</v>
      </c>
      <c r="F35" s="17" t="str">
        <f t="shared" si="0"/>
        <v/>
      </c>
      <c r="G35" s="9"/>
      <c r="H35" s="25">
        <v>1</v>
      </c>
      <c r="I35" s="5"/>
      <c r="J35" s="5"/>
      <c r="K35" s="5"/>
      <c r="L35" s="5"/>
      <c r="M35" s="5">
        <v>2</v>
      </c>
      <c r="N35" s="5"/>
      <c r="O35" s="5"/>
      <c r="P35" s="5"/>
      <c r="Q35" s="5"/>
      <c r="R35" s="5">
        <v>3</v>
      </c>
      <c r="S35" s="5"/>
      <c r="T35" s="5"/>
      <c r="U35" s="5"/>
      <c r="V35" s="5"/>
      <c r="W35" s="22">
        <f t="shared" si="1"/>
        <v>-3.1193599999999999</v>
      </c>
      <c r="X35" s="21">
        <f t="shared" si="2"/>
        <v>-0.28995700000000002</v>
      </c>
      <c r="Y35" s="21">
        <f t="shared" si="3"/>
        <v>-0.28256799999999999</v>
      </c>
      <c r="Z35" s="11">
        <f t="shared" si="4"/>
        <v>-1</v>
      </c>
      <c r="AA35" s="22">
        <f t="shared" si="5"/>
        <v>-3.1073400000000002</v>
      </c>
      <c r="AB35" s="21">
        <f t="shared" si="6"/>
        <v>-0.29020600000000002</v>
      </c>
      <c r="AC35" s="21">
        <f t="shared" si="7"/>
        <v>-0.27907300000000002</v>
      </c>
      <c r="AD35" s="11">
        <f t="shared" si="8"/>
        <v>-1</v>
      </c>
      <c r="AE35" s="22">
        <f t="shared" si="9"/>
        <v>-3.1158600000000001</v>
      </c>
      <c r="AF35" s="21">
        <f t="shared" si="10"/>
        <v>-0.28945700000000002</v>
      </c>
      <c r="AG35" s="21">
        <f t="shared" si="11"/>
        <v>-0.27837400000000001</v>
      </c>
      <c r="AH35" s="11">
        <f t="shared" si="12"/>
        <v>-1</v>
      </c>
      <c r="AI35">
        <v>2.5000000000000001E-2</v>
      </c>
      <c r="AJ35">
        <v>-2.5000000000000001E-2</v>
      </c>
      <c r="AK35">
        <v>1.5E-3</v>
      </c>
      <c r="AL35">
        <v>-1.5E-3</v>
      </c>
      <c r="AM35">
        <v>1.5E-3</v>
      </c>
      <c r="AN35">
        <v>-1.5E-3</v>
      </c>
      <c r="AO35" s="16">
        <v>2.5000000000000001E-2</v>
      </c>
      <c r="AP35" s="16">
        <v>-2.5000000000000001E-2</v>
      </c>
      <c r="AQ35">
        <v>1.4999999999999999E-2</v>
      </c>
      <c r="AR35">
        <v>-1.4999999999999999E-2</v>
      </c>
      <c r="AS35">
        <v>1E-3</v>
      </c>
      <c r="AT35">
        <v>-1E-3</v>
      </c>
      <c r="AU35">
        <v>1E-3</v>
      </c>
      <c r="AV35">
        <v>-1E-3</v>
      </c>
      <c r="AW35" s="16">
        <v>1.4999999999999999E-2</v>
      </c>
      <c r="AX35" s="16">
        <v>-1.4999999999999999E-2</v>
      </c>
    </row>
    <row r="36" spans="1:279" customFormat="1">
      <c r="F36" s="17" t="str">
        <f t="shared" si="0"/>
        <v/>
      </c>
      <c r="G36" s="9"/>
      <c r="H36" s="25">
        <v>1</v>
      </c>
      <c r="I36" s="5"/>
      <c r="J36" s="5"/>
      <c r="K36" s="5"/>
      <c r="L36" s="5"/>
      <c r="M36" s="5">
        <v>2</v>
      </c>
      <c r="N36" s="5"/>
      <c r="O36" s="5"/>
      <c r="P36" s="5"/>
      <c r="Q36" s="5"/>
      <c r="R36" s="5">
        <v>3</v>
      </c>
      <c r="S36" s="5"/>
      <c r="T36" s="5"/>
      <c r="U36" s="5"/>
      <c r="V36" s="5"/>
      <c r="W36" s="22">
        <f t="shared" si="1"/>
        <v>-3.1193599999999999</v>
      </c>
      <c r="X36" s="21">
        <f t="shared" si="2"/>
        <v>-0.28995700000000002</v>
      </c>
      <c r="Y36" s="21">
        <f t="shared" si="3"/>
        <v>-0.28256799999999999</v>
      </c>
      <c r="Z36" s="11">
        <f t="shared" si="4"/>
        <v>-1</v>
      </c>
      <c r="AA36" s="22">
        <f t="shared" si="5"/>
        <v>-3.1073400000000002</v>
      </c>
      <c r="AB36" s="21">
        <f t="shared" si="6"/>
        <v>-0.29020600000000002</v>
      </c>
      <c r="AC36" s="21">
        <f t="shared" si="7"/>
        <v>-0.27907300000000002</v>
      </c>
      <c r="AD36" s="11">
        <f t="shared" si="8"/>
        <v>-1</v>
      </c>
      <c r="AE36" s="22">
        <f t="shared" si="9"/>
        <v>-3.1158600000000001</v>
      </c>
      <c r="AF36" s="21">
        <f t="shared" si="10"/>
        <v>-0.28945700000000002</v>
      </c>
      <c r="AG36" s="21">
        <f t="shared" si="11"/>
        <v>-0.27837400000000001</v>
      </c>
      <c r="AH36" s="11">
        <f t="shared" si="12"/>
        <v>-1</v>
      </c>
      <c r="AI36">
        <v>2.5000000000000001E-2</v>
      </c>
      <c r="AJ36">
        <v>-2.5000000000000001E-2</v>
      </c>
      <c r="AK36">
        <v>1.5E-3</v>
      </c>
      <c r="AL36">
        <v>-1.5E-3</v>
      </c>
      <c r="AM36">
        <v>1.5E-3</v>
      </c>
      <c r="AN36">
        <v>-1.5E-3</v>
      </c>
      <c r="AO36" s="16">
        <v>2.5000000000000001E-2</v>
      </c>
      <c r="AP36" s="16">
        <v>-2.5000000000000001E-2</v>
      </c>
      <c r="AQ36">
        <v>1.4999999999999999E-2</v>
      </c>
      <c r="AR36">
        <v>-1.4999999999999999E-2</v>
      </c>
      <c r="AS36">
        <v>1E-3</v>
      </c>
      <c r="AT36">
        <v>-1E-3</v>
      </c>
      <c r="AU36">
        <v>1E-3</v>
      </c>
      <c r="AV36">
        <v>-1E-3</v>
      </c>
      <c r="AW36" s="16">
        <v>1.4999999999999999E-2</v>
      </c>
      <c r="AX36" s="16">
        <v>-1.4999999999999999E-2</v>
      </c>
    </row>
    <row r="37" spans="1:279" customFormat="1">
      <c r="F37" s="17" t="str">
        <f t="shared" si="0"/>
        <v/>
      </c>
      <c r="G37" s="9"/>
      <c r="H37" s="25">
        <v>1</v>
      </c>
      <c r="I37" s="5"/>
      <c r="J37" s="5"/>
      <c r="K37" s="5"/>
      <c r="L37" s="5"/>
      <c r="M37" s="5">
        <v>2</v>
      </c>
      <c r="N37" s="5"/>
      <c r="O37" s="5"/>
      <c r="P37" s="5"/>
      <c r="Q37" s="5"/>
      <c r="R37" s="5">
        <v>3</v>
      </c>
      <c r="S37" s="5"/>
      <c r="T37" s="5"/>
      <c r="U37" s="5"/>
      <c r="V37" s="5"/>
      <c r="W37" s="22">
        <f t="shared" si="1"/>
        <v>-3.1193599999999999</v>
      </c>
      <c r="X37" s="21">
        <f t="shared" si="2"/>
        <v>-0.28995700000000002</v>
      </c>
      <c r="Y37" s="21">
        <f t="shared" si="3"/>
        <v>-0.28256799999999999</v>
      </c>
      <c r="Z37" s="11">
        <f t="shared" si="4"/>
        <v>-1</v>
      </c>
      <c r="AA37" s="22">
        <f t="shared" si="5"/>
        <v>-3.1073400000000002</v>
      </c>
      <c r="AB37" s="21">
        <f t="shared" si="6"/>
        <v>-0.29020600000000002</v>
      </c>
      <c r="AC37" s="21">
        <f t="shared" si="7"/>
        <v>-0.27907300000000002</v>
      </c>
      <c r="AD37" s="11">
        <f t="shared" si="8"/>
        <v>-1</v>
      </c>
      <c r="AE37" s="22">
        <f t="shared" si="9"/>
        <v>-3.1158600000000001</v>
      </c>
      <c r="AF37" s="21">
        <f t="shared" si="10"/>
        <v>-0.28945700000000002</v>
      </c>
      <c r="AG37" s="21">
        <f t="shared" si="11"/>
        <v>-0.27837400000000001</v>
      </c>
      <c r="AH37" s="11">
        <f t="shared" si="12"/>
        <v>-1</v>
      </c>
      <c r="AI37">
        <v>2.5000000000000001E-2</v>
      </c>
      <c r="AJ37">
        <v>-2.5000000000000001E-2</v>
      </c>
      <c r="AK37">
        <v>1.5E-3</v>
      </c>
      <c r="AL37">
        <v>-1.5E-3</v>
      </c>
      <c r="AM37">
        <v>1.5E-3</v>
      </c>
      <c r="AN37">
        <v>-1.5E-3</v>
      </c>
      <c r="AO37" s="16">
        <v>2.5000000000000001E-2</v>
      </c>
      <c r="AP37" s="16">
        <v>-2.5000000000000001E-2</v>
      </c>
      <c r="AQ37">
        <v>1.4999999999999999E-2</v>
      </c>
      <c r="AR37">
        <v>-1.4999999999999999E-2</v>
      </c>
      <c r="AS37">
        <v>1E-3</v>
      </c>
      <c r="AT37">
        <v>-1E-3</v>
      </c>
      <c r="AU37">
        <v>1E-3</v>
      </c>
      <c r="AV37">
        <v>-1E-3</v>
      </c>
      <c r="AW37" s="16">
        <v>1.4999999999999999E-2</v>
      </c>
      <c r="AX37" s="16">
        <v>-1.4999999999999999E-2</v>
      </c>
    </row>
    <row r="38" spans="1:279" customFormat="1">
      <c r="F38" s="17" t="str">
        <f t="shared" si="0"/>
        <v/>
      </c>
      <c r="G38" s="9"/>
      <c r="H38" s="25">
        <v>1</v>
      </c>
      <c r="I38" s="5"/>
      <c r="J38" s="5"/>
      <c r="K38" s="5"/>
      <c r="L38" s="5"/>
      <c r="M38" s="5">
        <v>2</v>
      </c>
      <c r="N38" s="5"/>
      <c r="O38" s="5"/>
      <c r="P38" s="5"/>
      <c r="Q38" s="5"/>
      <c r="R38" s="5">
        <v>3</v>
      </c>
      <c r="S38" s="5"/>
      <c r="T38" s="5"/>
      <c r="U38" s="5"/>
      <c r="V38" s="5"/>
      <c r="W38" s="22">
        <f t="shared" si="1"/>
        <v>-3.1193599999999999</v>
      </c>
      <c r="X38" s="21">
        <f t="shared" si="2"/>
        <v>-0.28995700000000002</v>
      </c>
      <c r="Y38" s="21">
        <f t="shared" si="3"/>
        <v>-0.28256799999999999</v>
      </c>
      <c r="Z38" s="11">
        <f t="shared" si="4"/>
        <v>-1</v>
      </c>
      <c r="AA38" s="22">
        <f t="shared" si="5"/>
        <v>-3.1073400000000002</v>
      </c>
      <c r="AB38" s="21">
        <f t="shared" si="6"/>
        <v>-0.29020600000000002</v>
      </c>
      <c r="AC38" s="21">
        <f t="shared" si="7"/>
        <v>-0.27907300000000002</v>
      </c>
      <c r="AD38" s="11">
        <f t="shared" si="8"/>
        <v>-1</v>
      </c>
      <c r="AE38" s="22">
        <f t="shared" si="9"/>
        <v>-3.1158600000000001</v>
      </c>
      <c r="AF38" s="21">
        <f t="shared" si="10"/>
        <v>-0.28945700000000002</v>
      </c>
      <c r="AG38" s="21">
        <f t="shared" si="11"/>
        <v>-0.27837400000000001</v>
      </c>
      <c r="AH38" s="11">
        <f t="shared" si="12"/>
        <v>-1</v>
      </c>
      <c r="AI38">
        <v>2.5000000000000001E-2</v>
      </c>
      <c r="AJ38">
        <v>-2.5000000000000001E-2</v>
      </c>
      <c r="AK38">
        <v>1.5E-3</v>
      </c>
      <c r="AL38">
        <v>-1.5E-3</v>
      </c>
      <c r="AM38">
        <v>1.5E-3</v>
      </c>
      <c r="AN38">
        <v>-1.5E-3</v>
      </c>
      <c r="AO38" s="16">
        <v>2.5000000000000001E-2</v>
      </c>
      <c r="AP38" s="16">
        <v>-2.5000000000000001E-2</v>
      </c>
      <c r="AQ38">
        <v>1.4999999999999999E-2</v>
      </c>
      <c r="AR38">
        <v>-1.4999999999999999E-2</v>
      </c>
      <c r="AS38">
        <v>1E-3</v>
      </c>
      <c r="AT38">
        <v>-1E-3</v>
      </c>
      <c r="AU38">
        <v>1E-3</v>
      </c>
      <c r="AV38">
        <v>-1E-3</v>
      </c>
      <c r="AW38" s="16">
        <v>1.4999999999999999E-2</v>
      </c>
      <c r="AX38" s="16">
        <v>-1.4999999999999999E-2</v>
      </c>
    </row>
    <row r="39" spans="1:279" customFormat="1">
      <c r="F39" s="17" t="str">
        <f t="shared" si="0"/>
        <v/>
      </c>
      <c r="G39" s="9"/>
      <c r="H39" s="25">
        <v>1</v>
      </c>
      <c r="I39" s="5"/>
      <c r="J39" s="5"/>
      <c r="K39" s="5"/>
      <c r="L39" s="5"/>
      <c r="M39" s="5">
        <v>2</v>
      </c>
      <c r="N39" s="5"/>
      <c r="O39" s="5"/>
      <c r="P39" s="5"/>
      <c r="Q39" s="5"/>
      <c r="R39" s="5">
        <v>3</v>
      </c>
      <c r="S39" s="5"/>
      <c r="T39" s="5"/>
      <c r="U39" s="5"/>
      <c r="V39" s="5"/>
      <c r="W39" s="22">
        <f t="shared" si="1"/>
        <v>-3.1193599999999999</v>
      </c>
      <c r="X39" s="21">
        <f t="shared" si="2"/>
        <v>-0.28995700000000002</v>
      </c>
      <c r="Y39" s="21">
        <f t="shared" si="3"/>
        <v>-0.28256799999999999</v>
      </c>
      <c r="Z39" s="11">
        <f t="shared" si="4"/>
        <v>-1</v>
      </c>
      <c r="AA39" s="22">
        <f t="shared" si="5"/>
        <v>-3.1073400000000002</v>
      </c>
      <c r="AB39" s="21">
        <f t="shared" si="6"/>
        <v>-0.29020600000000002</v>
      </c>
      <c r="AC39" s="21">
        <f t="shared" si="7"/>
        <v>-0.27907300000000002</v>
      </c>
      <c r="AD39" s="11">
        <f t="shared" si="8"/>
        <v>-1</v>
      </c>
      <c r="AE39" s="22">
        <f t="shared" si="9"/>
        <v>-3.1158600000000001</v>
      </c>
      <c r="AF39" s="21">
        <f t="shared" si="10"/>
        <v>-0.28945700000000002</v>
      </c>
      <c r="AG39" s="21">
        <f t="shared" si="11"/>
        <v>-0.27837400000000001</v>
      </c>
      <c r="AH39" s="11">
        <f t="shared" si="12"/>
        <v>-1</v>
      </c>
      <c r="AI39">
        <v>2.5000000000000001E-2</v>
      </c>
      <c r="AJ39">
        <v>-2.5000000000000001E-2</v>
      </c>
      <c r="AK39">
        <v>1.5E-3</v>
      </c>
      <c r="AL39">
        <v>-1.5E-3</v>
      </c>
      <c r="AM39">
        <v>1.5E-3</v>
      </c>
      <c r="AN39">
        <v>-1.5E-3</v>
      </c>
      <c r="AO39" s="16">
        <v>2.5000000000000001E-2</v>
      </c>
      <c r="AP39" s="16">
        <v>-2.5000000000000001E-2</v>
      </c>
      <c r="AQ39">
        <v>1.4999999999999999E-2</v>
      </c>
      <c r="AR39">
        <v>-1.4999999999999999E-2</v>
      </c>
      <c r="AS39">
        <v>1E-3</v>
      </c>
      <c r="AT39">
        <v>-1E-3</v>
      </c>
      <c r="AU39">
        <v>1E-3</v>
      </c>
      <c r="AV39">
        <v>-1E-3</v>
      </c>
      <c r="AW39" s="16">
        <v>1.4999999999999999E-2</v>
      </c>
      <c r="AX39" s="16">
        <v>-1.4999999999999999E-2</v>
      </c>
    </row>
    <row r="40" spans="1:279" customFormat="1">
      <c r="F40" s="17" t="str">
        <f t="shared" si="0"/>
        <v/>
      </c>
      <c r="G40" s="9"/>
      <c r="H40" s="2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22" t="e">
        <f t="shared" si="1"/>
        <v>#N/A</v>
      </c>
      <c r="X40" s="21" t="e">
        <f t="shared" si="2"/>
        <v>#N/A</v>
      </c>
      <c r="Y40" s="21" t="e">
        <f t="shared" si="3"/>
        <v>#N/A</v>
      </c>
      <c r="Z40" s="11" t="e">
        <f t="shared" si="4"/>
        <v>#N/A</v>
      </c>
      <c r="AA40" s="22" t="e">
        <f t="shared" si="5"/>
        <v>#N/A</v>
      </c>
      <c r="AB40" s="21" t="e">
        <f t="shared" si="6"/>
        <v>#N/A</v>
      </c>
      <c r="AC40" s="21" t="e">
        <f t="shared" si="7"/>
        <v>#N/A</v>
      </c>
      <c r="AD40" s="11" t="e">
        <f t="shared" si="8"/>
        <v>#N/A</v>
      </c>
      <c r="AE40" s="22" t="e">
        <f t="shared" si="9"/>
        <v>#N/A</v>
      </c>
      <c r="AF40" s="21" t="e">
        <f t="shared" si="10"/>
        <v>#N/A</v>
      </c>
      <c r="AG40" s="21" t="e">
        <f t="shared" si="11"/>
        <v>#N/A</v>
      </c>
      <c r="AH40" s="11" t="e">
        <f t="shared" si="12"/>
        <v>#N/A</v>
      </c>
      <c r="AI40">
        <v>2.5000000000000001E-2</v>
      </c>
      <c r="AJ40">
        <v>-2.5000000000000001E-2</v>
      </c>
      <c r="AK40">
        <v>1.5E-3</v>
      </c>
      <c r="AL40">
        <v>-1.5E-3</v>
      </c>
      <c r="AM40">
        <v>1.5E-3</v>
      </c>
      <c r="AN40">
        <v>-1.5E-3</v>
      </c>
      <c r="AO40" s="16">
        <v>2.5000000000000001E-2</v>
      </c>
      <c r="AP40" s="16">
        <v>-2.5000000000000001E-2</v>
      </c>
      <c r="AQ40">
        <v>1.4999999999999999E-2</v>
      </c>
      <c r="AR40">
        <v>-1.4999999999999999E-2</v>
      </c>
      <c r="AS40">
        <v>1E-3</v>
      </c>
      <c r="AT40">
        <v>-1E-3</v>
      </c>
      <c r="AU40">
        <v>1E-3</v>
      </c>
      <c r="AV40">
        <v>-1E-3</v>
      </c>
      <c r="AW40" s="16">
        <v>1.4999999999999999E-2</v>
      </c>
      <c r="AX40" s="16">
        <v>-1.4999999999999999E-2</v>
      </c>
    </row>
    <row r="41" spans="1:279" customFormat="1">
      <c r="F41" s="17" t="str">
        <f t="shared" si="0"/>
        <v/>
      </c>
      <c r="G41" s="9"/>
      <c r="H41" s="2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22" t="e">
        <f t="shared" si="1"/>
        <v>#N/A</v>
      </c>
      <c r="X41" s="21" t="e">
        <f t="shared" si="2"/>
        <v>#N/A</v>
      </c>
      <c r="Y41" s="21" t="e">
        <f t="shared" si="3"/>
        <v>#N/A</v>
      </c>
      <c r="Z41" s="11" t="e">
        <f t="shared" si="4"/>
        <v>#N/A</v>
      </c>
      <c r="AA41" s="22" t="e">
        <f t="shared" si="5"/>
        <v>#N/A</v>
      </c>
      <c r="AB41" s="21" t="e">
        <f t="shared" si="6"/>
        <v>#N/A</v>
      </c>
      <c r="AC41" s="21" t="e">
        <f t="shared" si="7"/>
        <v>#N/A</v>
      </c>
      <c r="AD41" s="11" t="e">
        <f t="shared" si="8"/>
        <v>#N/A</v>
      </c>
      <c r="AE41" s="22" t="e">
        <f t="shared" si="9"/>
        <v>#N/A</v>
      </c>
      <c r="AF41" s="21" t="e">
        <f t="shared" si="10"/>
        <v>#N/A</v>
      </c>
      <c r="AG41" s="21" t="e">
        <f t="shared" si="11"/>
        <v>#N/A</v>
      </c>
      <c r="AH41" s="11" t="e">
        <f t="shared" si="12"/>
        <v>#N/A</v>
      </c>
      <c r="AI41">
        <v>2.5000000000000001E-2</v>
      </c>
      <c r="AJ41">
        <v>-2.5000000000000001E-2</v>
      </c>
      <c r="AK41">
        <v>1.5E-3</v>
      </c>
      <c r="AL41">
        <v>-1.5E-3</v>
      </c>
      <c r="AM41">
        <v>1.5E-3</v>
      </c>
      <c r="AN41">
        <v>-1.5E-3</v>
      </c>
      <c r="AO41" s="16">
        <v>2.5000000000000001E-2</v>
      </c>
      <c r="AP41" s="16">
        <v>-2.5000000000000001E-2</v>
      </c>
      <c r="AQ41">
        <v>1.4999999999999999E-2</v>
      </c>
      <c r="AR41">
        <v>-1.4999999999999999E-2</v>
      </c>
      <c r="AS41">
        <v>1E-3</v>
      </c>
      <c r="AT41">
        <v>-1E-3</v>
      </c>
      <c r="AU41">
        <v>1E-3</v>
      </c>
      <c r="AV41">
        <v>-1E-3</v>
      </c>
      <c r="AW41" s="16">
        <v>1.4999999999999999E-2</v>
      </c>
      <c r="AX41" s="16">
        <v>-1.4999999999999999E-2</v>
      </c>
    </row>
    <row r="42" spans="1:279" customFormat="1">
      <c r="F42" s="17" t="str">
        <f t="shared" si="0"/>
        <v/>
      </c>
      <c r="G42" s="9"/>
      <c r="H42" s="2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22" t="e">
        <f t="shared" si="1"/>
        <v>#N/A</v>
      </c>
      <c r="X42" s="21" t="e">
        <f t="shared" si="2"/>
        <v>#N/A</v>
      </c>
      <c r="Y42" s="21" t="e">
        <f t="shared" si="3"/>
        <v>#N/A</v>
      </c>
      <c r="Z42" s="11" t="e">
        <f t="shared" si="4"/>
        <v>#N/A</v>
      </c>
      <c r="AA42" s="22" t="e">
        <f t="shared" si="5"/>
        <v>#N/A</v>
      </c>
      <c r="AB42" s="21" t="e">
        <f t="shared" si="6"/>
        <v>#N/A</v>
      </c>
      <c r="AC42" s="21" t="e">
        <f t="shared" si="7"/>
        <v>#N/A</v>
      </c>
      <c r="AD42" s="11" t="e">
        <f t="shared" si="8"/>
        <v>#N/A</v>
      </c>
      <c r="AE42" s="22" t="e">
        <f t="shared" si="9"/>
        <v>#N/A</v>
      </c>
      <c r="AF42" s="21" t="e">
        <f t="shared" si="10"/>
        <v>#N/A</v>
      </c>
      <c r="AG42" s="21" t="e">
        <f t="shared" si="11"/>
        <v>#N/A</v>
      </c>
      <c r="AH42" s="11" t="e">
        <f t="shared" si="12"/>
        <v>#N/A</v>
      </c>
      <c r="AI42">
        <v>2.5000000000000001E-2</v>
      </c>
      <c r="AJ42">
        <v>-2.5000000000000001E-2</v>
      </c>
      <c r="AK42">
        <v>1.5E-3</v>
      </c>
      <c r="AL42">
        <v>-1.5E-3</v>
      </c>
      <c r="AM42">
        <v>1.5E-3</v>
      </c>
      <c r="AN42">
        <v>-1.5E-3</v>
      </c>
      <c r="AO42" s="16">
        <v>2.5000000000000001E-2</v>
      </c>
      <c r="AP42" s="16">
        <v>-2.5000000000000001E-2</v>
      </c>
      <c r="AQ42">
        <v>1.4999999999999999E-2</v>
      </c>
      <c r="AR42">
        <v>-1.4999999999999999E-2</v>
      </c>
      <c r="AS42">
        <v>1E-3</v>
      </c>
      <c r="AT42">
        <v>-1E-3</v>
      </c>
      <c r="AU42">
        <v>1E-3</v>
      </c>
      <c r="AV42">
        <v>-1E-3</v>
      </c>
      <c r="AW42" s="16">
        <v>1.4999999999999999E-2</v>
      </c>
      <c r="AX42" s="16">
        <v>-1.4999999999999999E-2</v>
      </c>
    </row>
    <row r="43" spans="1:279" customFormat="1">
      <c r="F43" s="17" t="str">
        <f t="shared" si="0"/>
        <v/>
      </c>
      <c r="G43" s="9"/>
      <c r="H43" s="2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22" t="e">
        <f t="shared" si="1"/>
        <v>#N/A</v>
      </c>
      <c r="X43" s="21" t="e">
        <f t="shared" si="2"/>
        <v>#N/A</v>
      </c>
      <c r="Y43" s="21" t="e">
        <f t="shared" si="3"/>
        <v>#N/A</v>
      </c>
      <c r="Z43" s="11" t="e">
        <f t="shared" si="4"/>
        <v>#N/A</v>
      </c>
      <c r="AA43" s="22" t="e">
        <f t="shared" si="5"/>
        <v>#N/A</v>
      </c>
      <c r="AB43" s="21" t="e">
        <f t="shared" si="6"/>
        <v>#N/A</v>
      </c>
      <c r="AC43" s="21" t="e">
        <f t="shared" si="7"/>
        <v>#N/A</v>
      </c>
      <c r="AD43" s="11" t="e">
        <f t="shared" si="8"/>
        <v>#N/A</v>
      </c>
      <c r="AE43" s="22" t="e">
        <f t="shared" si="9"/>
        <v>#N/A</v>
      </c>
      <c r="AF43" s="21" t="e">
        <f t="shared" si="10"/>
        <v>#N/A</v>
      </c>
      <c r="AG43" s="21" t="e">
        <f t="shared" si="11"/>
        <v>#N/A</v>
      </c>
      <c r="AH43" s="11" t="e">
        <f t="shared" si="12"/>
        <v>#N/A</v>
      </c>
      <c r="AI43">
        <v>2.5000000000000001E-2</v>
      </c>
      <c r="AJ43">
        <v>-2.5000000000000001E-2</v>
      </c>
      <c r="AK43">
        <v>1.5E-3</v>
      </c>
      <c r="AL43">
        <v>-1.5E-3</v>
      </c>
      <c r="AM43">
        <v>1.5E-3</v>
      </c>
      <c r="AN43">
        <v>-1.5E-3</v>
      </c>
      <c r="AO43" s="16">
        <v>2.5000000000000001E-2</v>
      </c>
      <c r="AP43" s="16">
        <v>-2.5000000000000001E-2</v>
      </c>
      <c r="AQ43">
        <v>1.4999999999999999E-2</v>
      </c>
      <c r="AR43">
        <v>-1.4999999999999999E-2</v>
      </c>
      <c r="AS43">
        <v>1E-3</v>
      </c>
      <c r="AT43">
        <v>-1E-3</v>
      </c>
      <c r="AU43">
        <v>1E-3</v>
      </c>
      <c r="AV43">
        <v>-1E-3</v>
      </c>
      <c r="AW43" s="16">
        <v>1.4999999999999999E-2</v>
      </c>
      <c r="AX43" s="16">
        <v>-1.4999999999999999E-2</v>
      </c>
    </row>
    <row r="44" spans="1:279" customFormat="1">
      <c r="F44" s="17" t="str">
        <f t="shared" si="0"/>
        <v/>
      </c>
      <c r="G44" s="9"/>
      <c r="H44" s="2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22" t="e">
        <f t="shared" si="1"/>
        <v>#N/A</v>
      </c>
      <c r="X44" s="21" t="e">
        <f t="shared" si="2"/>
        <v>#N/A</v>
      </c>
      <c r="Y44" s="21" t="e">
        <f t="shared" si="3"/>
        <v>#N/A</v>
      </c>
      <c r="Z44" s="11" t="e">
        <f t="shared" si="4"/>
        <v>#N/A</v>
      </c>
      <c r="AA44" s="22" t="e">
        <f t="shared" si="5"/>
        <v>#N/A</v>
      </c>
      <c r="AB44" s="21" t="e">
        <f t="shared" si="6"/>
        <v>#N/A</v>
      </c>
      <c r="AC44" s="21" t="e">
        <f t="shared" si="7"/>
        <v>#N/A</v>
      </c>
      <c r="AD44" s="11" t="e">
        <f t="shared" si="8"/>
        <v>#N/A</v>
      </c>
      <c r="AE44" s="22" t="e">
        <f t="shared" si="9"/>
        <v>#N/A</v>
      </c>
      <c r="AF44" s="21" t="e">
        <f t="shared" si="10"/>
        <v>#N/A</v>
      </c>
      <c r="AG44" s="21" t="e">
        <f t="shared" si="11"/>
        <v>#N/A</v>
      </c>
      <c r="AH44" s="11" t="e">
        <f t="shared" si="12"/>
        <v>#N/A</v>
      </c>
      <c r="AI44">
        <v>2.5000000000000001E-2</v>
      </c>
      <c r="AJ44">
        <v>-2.5000000000000001E-2</v>
      </c>
      <c r="AK44">
        <v>1.5E-3</v>
      </c>
      <c r="AL44">
        <v>-1.5E-3</v>
      </c>
      <c r="AM44">
        <v>1.5E-3</v>
      </c>
      <c r="AN44">
        <v>-1.5E-3</v>
      </c>
      <c r="AO44" s="16">
        <v>2.5000000000000001E-2</v>
      </c>
      <c r="AP44" s="16">
        <v>-2.5000000000000001E-2</v>
      </c>
      <c r="AQ44">
        <v>1.4999999999999999E-2</v>
      </c>
      <c r="AR44">
        <v>-1.4999999999999999E-2</v>
      </c>
      <c r="AS44">
        <v>1E-3</v>
      </c>
      <c r="AT44">
        <v>-1E-3</v>
      </c>
      <c r="AU44">
        <v>1E-3</v>
      </c>
      <c r="AV44">
        <v>-1E-3</v>
      </c>
      <c r="AW44" s="16">
        <v>1.4999999999999999E-2</v>
      </c>
      <c r="AX44" s="16">
        <v>-1.4999999999999999E-2</v>
      </c>
    </row>
    <row r="45" spans="1:279" customFormat="1">
      <c r="F45" s="17" t="str">
        <f t="shared" si="0"/>
        <v/>
      </c>
      <c r="G45" s="9"/>
      <c r="H45" s="2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22" t="e">
        <f t="shared" si="1"/>
        <v>#N/A</v>
      </c>
      <c r="X45" s="21" t="e">
        <f t="shared" si="2"/>
        <v>#N/A</v>
      </c>
      <c r="Y45" s="21" t="e">
        <f t="shared" si="3"/>
        <v>#N/A</v>
      </c>
      <c r="Z45" s="11" t="e">
        <f t="shared" si="4"/>
        <v>#N/A</v>
      </c>
      <c r="AA45" s="22" t="e">
        <f t="shared" si="5"/>
        <v>#N/A</v>
      </c>
      <c r="AB45" s="21" t="e">
        <f t="shared" si="6"/>
        <v>#N/A</v>
      </c>
      <c r="AC45" s="21" t="e">
        <f t="shared" si="7"/>
        <v>#N/A</v>
      </c>
      <c r="AD45" s="11" t="e">
        <f t="shared" si="8"/>
        <v>#N/A</v>
      </c>
      <c r="AE45" s="22" t="e">
        <f t="shared" si="9"/>
        <v>#N/A</v>
      </c>
      <c r="AF45" s="21" t="e">
        <f t="shared" si="10"/>
        <v>#N/A</v>
      </c>
      <c r="AG45" s="21" t="e">
        <f t="shared" si="11"/>
        <v>#N/A</v>
      </c>
      <c r="AH45" s="11" t="e">
        <f t="shared" si="12"/>
        <v>#N/A</v>
      </c>
      <c r="AI45">
        <v>2.5000000000000001E-2</v>
      </c>
      <c r="AJ45">
        <v>-2.5000000000000001E-2</v>
      </c>
      <c r="AK45">
        <v>1.5E-3</v>
      </c>
      <c r="AL45">
        <v>-1.5E-3</v>
      </c>
      <c r="AM45">
        <v>1.5E-3</v>
      </c>
      <c r="AN45">
        <v>-1.5E-3</v>
      </c>
      <c r="AO45" s="16">
        <v>2.5000000000000001E-2</v>
      </c>
      <c r="AP45" s="16">
        <v>-2.5000000000000001E-2</v>
      </c>
      <c r="AQ45">
        <v>1.4999999999999999E-2</v>
      </c>
      <c r="AR45">
        <v>-1.4999999999999999E-2</v>
      </c>
      <c r="AS45">
        <v>1E-3</v>
      </c>
      <c r="AT45">
        <v>-1E-3</v>
      </c>
      <c r="AU45">
        <v>1E-3</v>
      </c>
      <c r="AV45">
        <v>-1E-3</v>
      </c>
      <c r="AW45" s="16">
        <v>1.4999999999999999E-2</v>
      </c>
      <c r="AX45" s="16">
        <v>-1.4999999999999999E-2</v>
      </c>
    </row>
    <row r="46" spans="1:279" customFormat="1">
      <c r="F46" s="17" t="str">
        <f t="shared" si="0"/>
        <v/>
      </c>
      <c r="G46" s="9"/>
      <c r="H46" s="2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22" t="e">
        <f t="shared" si="1"/>
        <v>#N/A</v>
      </c>
      <c r="X46" s="21" t="e">
        <f t="shared" si="2"/>
        <v>#N/A</v>
      </c>
      <c r="Y46" s="21" t="e">
        <f t="shared" si="3"/>
        <v>#N/A</v>
      </c>
      <c r="Z46" s="11" t="e">
        <f t="shared" si="4"/>
        <v>#N/A</v>
      </c>
      <c r="AA46" s="22" t="e">
        <f t="shared" si="5"/>
        <v>#N/A</v>
      </c>
      <c r="AB46" s="21" t="e">
        <f t="shared" si="6"/>
        <v>#N/A</v>
      </c>
      <c r="AC46" s="21" t="e">
        <f t="shared" si="7"/>
        <v>#N/A</v>
      </c>
      <c r="AD46" s="11" t="e">
        <f t="shared" si="8"/>
        <v>#N/A</v>
      </c>
      <c r="AE46" s="22" t="e">
        <f t="shared" si="9"/>
        <v>#N/A</v>
      </c>
      <c r="AF46" s="21" t="e">
        <f t="shared" si="10"/>
        <v>#N/A</v>
      </c>
      <c r="AG46" s="21" t="e">
        <f t="shared" si="11"/>
        <v>#N/A</v>
      </c>
      <c r="AH46" s="11" t="e">
        <f t="shared" si="12"/>
        <v>#N/A</v>
      </c>
      <c r="AI46">
        <v>2.5000000000000001E-2</v>
      </c>
      <c r="AJ46">
        <v>-2.5000000000000001E-2</v>
      </c>
      <c r="AK46">
        <v>1.5E-3</v>
      </c>
      <c r="AL46">
        <v>-1.5E-3</v>
      </c>
      <c r="AM46">
        <v>1.5E-3</v>
      </c>
      <c r="AN46">
        <v>-1.5E-3</v>
      </c>
      <c r="AO46" s="16">
        <v>2.5000000000000001E-2</v>
      </c>
      <c r="AP46" s="16">
        <v>-2.5000000000000001E-2</v>
      </c>
      <c r="AQ46">
        <v>1.4999999999999999E-2</v>
      </c>
      <c r="AR46">
        <v>-1.4999999999999999E-2</v>
      </c>
      <c r="AS46">
        <v>1E-3</v>
      </c>
      <c r="AT46">
        <v>-1E-3</v>
      </c>
      <c r="AU46">
        <v>1E-3</v>
      </c>
      <c r="AV46">
        <v>-1E-3</v>
      </c>
      <c r="AW46" s="16">
        <v>1.4999999999999999E-2</v>
      </c>
      <c r="AX46" s="16">
        <v>-1.4999999999999999E-2</v>
      </c>
      <c r="JR46">
        <v>12.849506578947368</v>
      </c>
      <c r="JS46">
        <v>25.699013157894736</v>
      </c>
    </row>
    <row r="47" spans="1:279" customFormat="1">
      <c r="F47" s="17" t="str">
        <f t="shared" si="0"/>
        <v/>
      </c>
      <c r="G47" s="9"/>
      <c r="H47" s="2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22" t="e">
        <f t="shared" si="1"/>
        <v>#N/A</v>
      </c>
      <c r="X47" s="21" t="e">
        <f t="shared" si="2"/>
        <v>#N/A</v>
      </c>
      <c r="Y47" s="21" t="e">
        <f t="shared" si="3"/>
        <v>#N/A</v>
      </c>
      <c r="Z47" s="11" t="e">
        <f t="shared" si="4"/>
        <v>#N/A</v>
      </c>
      <c r="AA47" s="22" t="e">
        <f t="shared" si="5"/>
        <v>#N/A</v>
      </c>
      <c r="AB47" s="21" t="e">
        <f t="shared" si="6"/>
        <v>#N/A</v>
      </c>
      <c r="AC47" s="21" t="e">
        <f t="shared" si="7"/>
        <v>#N/A</v>
      </c>
      <c r="AD47" s="11" t="e">
        <f t="shared" si="8"/>
        <v>#N/A</v>
      </c>
      <c r="AE47" s="22" t="e">
        <f t="shared" si="9"/>
        <v>#N/A</v>
      </c>
      <c r="AF47" s="21" t="e">
        <f t="shared" si="10"/>
        <v>#N/A</v>
      </c>
      <c r="AG47" s="21" t="e">
        <f t="shared" si="11"/>
        <v>#N/A</v>
      </c>
      <c r="AH47" s="11" t="e">
        <f t="shared" si="12"/>
        <v>#N/A</v>
      </c>
      <c r="AI47">
        <v>2.5000000000000001E-2</v>
      </c>
      <c r="AJ47">
        <v>-2.5000000000000001E-2</v>
      </c>
      <c r="AK47">
        <v>1.5E-3</v>
      </c>
      <c r="AL47">
        <v>-1.5E-3</v>
      </c>
      <c r="AM47">
        <v>1.5E-3</v>
      </c>
      <c r="AN47">
        <v>-1.5E-3</v>
      </c>
      <c r="AO47" s="16">
        <v>2.5000000000000001E-2</v>
      </c>
      <c r="AP47" s="16">
        <v>-2.5000000000000001E-2</v>
      </c>
      <c r="AQ47">
        <v>1.4999999999999999E-2</v>
      </c>
      <c r="AR47">
        <v>-1.4999999999999999E-2</v>
      </c>
      <c r="AS47">
        <v>1E-3</v>
      </c>
      <c r="AT47">
        <v>-1E-3</v>
      </c>
      <c r="AU47">
        <v>1E-3</v>
      </c>
      <c r="AV47">
        <v>-1E-3</v>
      </c>
      <c r="AW47" s="16">
        <v>1.4999999999999999E-2</v>
      </c>
      <c r="AX47" s="16">
        <v>-1.4999999999999999E-2</v>
      </c>
    </row>
    <row r="48" spans="1:279" customFormat="1">
      <c r="F48" s="17" t="str">
        <f t="shared" si="0"/>
        <v/>
      </c>
      <c r="G48" s="9"/>
      <c r="H48" s="2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22" t="e">
        <f t="shared" si="1"/>
        <v>#N/A</v>
      </c>
      <c r="X48" s="21" t="e">
        <f t="shared" si="2"/>
        <v>#N/A</v>
      </c>
      <c r="Y48" s="21" t="e">
        <f t="shared" si="3"/>
        <v>#N/A</v>
      </c>
      <c r="Z48" s="11" t="e">
        <f t="shared" si="4"/>
        <v>#N/A</v>
      </c>
      <c r="AA48" s="22" t="e">
        <f t="shared" si="5"/>
        <v>#N/A</v>
      </c>
      <c r="AB48" s="21" t="e">
        <f t="shared" si="6"/>
        <v>#N/A</v>
      </c>
      <c r="AC48" s="21" t="e">
        <f t="shared" si="7"/>
        <v>#N/A</v>
      </c>
      <c r="AD48" s="11" t="e">
        <f t="shared" si="8"/>
        <v>#N/A</v>
      </c>
      <c r="AE48" s="22" t="e">
        <f t="shared" si="9"/>
        <v>#N/A</v>
      </c>
      <c r="AF48" s="21" t="e">
        <f t="shared" si="10"/>
        <v>#N/A</v>
      </c>
      <c r="AG48" s="21" t="e">
        <f t="shared" si="11"/>
        <v>#N/A</v>
      </c>
      <c r="AH48" s="11" t="e">
        <f t="shared" si="12"/>
        <v>#N/A</v>
      </c>
      <c r="AI48">
        <v>2.5000000000000001E-2</v>
      </c>
      <c r="AJ48">
        <v>-2.5000000000000001E-2</v>
      </c>
      <c r="AK48">
        <v>1.5E-3</v>
      </c>
      <c r="AL48">
        <v>-1.5E-3</v>
      </c>
      <c r="AM48">
        <v>1.5E-3</v>
      </c>
      <c r="AN48">
        <v>-1.5E-3</v>
      </c>
      <c r="AO48" s="16">
        <v>2.5000000000000001E-2</v>
      </c>
      <c r="AP48" s="16">
        <v>-2.5000000000000001E-2</v>
      </c>
      <c r="AQ48">
        <v>1.4999999999999999E-2</v>
      </c>
      <c r="AR48">
        <v>-1.4999999999999999E-2</v>
      </c>
      <c r="AS48">
        <v>1E-3</v>
      </c>
      <c r="AT48">
        <v>-1E-3</v>
      </c>
      <c r="AU48">
        <v>1E-3</v>
      </c>
      <c r="AV48">
        <v>-1E-3</v>
      </c>
      <c r="AW48" s="16">
        <v>1.4999999999999999E-2</v>
      </c>
      <c r="AX48" s="16">
        <v>-1.4999999999999999E-2</v>
      </c>
      <c r="JQ48">
        <v>12.849506578947368</v>
      </c>
      <c r="JR48">
        <v>12.849506578947368</v>
      </c>
      <c r="JS48">
        <v>12.849506578947368</v>
      </c>
    </row>
    <row r="49" spans="6:279" customFormat="1">
      <c r="F49" s="17" t="str">
        <f t="shared" si="0"/>
        <v/>
      </c>
      <c r="G49" s="9"/>
      <c r="H49" s="2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22" t="e">
        <f t="shared" si="1"/>
        <v>#N/A</v>
      </c>
      <c r="X49" s="21" t="e">
        <f t="shared" si="2"/>
        <v>#N/A</v>
      </c>
      <c r="Y49" s="21" t="e">
        <f t="shared" si="3"/>
        <v>#N/A</v>
      </c>
      <c r="Z49" s="11" t="e">
        <f t="shared" si="4"/>
        <v>#N/A</v>
      </c>
      <c r="AA49" s="22" t="e">
        <f t="shared" si="5"/>
        <v>#N/A</v>
      </c>
      <c r="AB49" s="21" t="e">
        <f t="shared" si="6"/>
        <v>#N/A</v>
      </c>
      <c r="AC49" s="21" t="e">
        <f t="shared" si="7"/>
        <v>#N/A</v>
      </c>
      <c r="AD49" s="11" t="e">
        <f t="shared" si="8"/>
        <v>#N/A</v>
      </c>
      <c r="AE49" s="22" t="e">
        <f t="shared" si="9"/>
        <v>#N/A</v>
      </c>
      <c r="AF49" s="21" t="e">
        <f t="shared" si="10"/>
        <v>#N/A</v>
      </c>
      <c r="AG49" s="21" t="e">
        <f t="shared" si="11"/>
        <v>#N/A</v>
      </c>
      <c r="AH49" s="11" t="e">
        <f t="shared" si="12"/>
        <v>#N/A</v>
      </c>
      <c r="AI49">
        <v>2.5000000000000001E-2</v>
      </c>
      <c r="AJ49">
        <v>-2.5000000000000001E-2</v>
      </c>
      <c r="AK49">
        <v>1.5E-3</v>
      </c>
      <c r="AL49">
        <v>-1.5E-3</v>
      </c>
      <c r="AM49">
        <v>1.5E-3</v>
      </c>
      <c r="AN49">
        <v>-1.5E-3</v>
      </c>
      <c r="AO49" s="16">
        <v>2.5000000000000001E-2</v>
      </c>
      <c r="AP49" s="16">
        <v>-2.5000000000000001E-2</v>
      </c>
      <c r="AQ49">
        <v>1.4999999999999999E-2</v>
      </c>
      <c r="AR49">
        <v>-1.4999999999999999E-2</v>
      </c>
      <c r="AS49">
        <v>1E-3</v>
      </c>
      <c r="AT49">
        <v>-1E-3</v>
      </c>
      <c r="AU49">
        <v>1E-3</v>
      </c>
      <c r="AV49">
        <v>-1E-3</v>
      </c>
      <c r="AW49" s="16">
        <v>1.4999999999999999E-2</v>
      </c>
      <c r="AX49" s="16">
        <v>-1.4999999999999999E-2</v>
      </c>
    </row>
    <row r="50" spans="6:279" customFormat="1">
      <c r="F50" s="17" t="str">
        <f t="shared" si="0"/>
        <v/>
      </c>
      <c r="G50" s="9"/>
      <c r="H50" s="2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22" t="e">
        <f t="shared" si="1"/>
        <v>#N/A</v>
      </c>
      <c r="X50" s="21" t="e">
        <f t="shared" si="2"/>
        <v>#N/A</v>
      </c>
      <c r="Y50" s="21" t="e">
        <f t="shared" si="3"/>
        <v>#N/A</v>
      </c>
      <c r="Z50" s="11" t="e">
        <f t="shared" si="4"/>
        <v>#N/A</v>
      </c>
      <c r="AA50" s="22" t="e">
        <f t="shared" si="5"/>
        <v>#N/A</v>
      </c>
      <c r="AB50" s="21" t="e">
        <f t="shared" si="6"/>
        <v>#N/A</v>
      </c>
      <c r="AC50" s="21" t="e">
        <f t="shared" si="7"/>
        <v>#N/A</v>
      </c>
      <c r="AD50" s="11" t="e">
        <f t="shared" si="8"/>
        <v>#N/A</v>
      </c>
      <c r="AE50" s="22" t="e">
        <f t="shared" si="9"/>
        <v>#N/A</v>
      </c>
      <c r="AF50" s="21" t="e">
        <f t="shared" si="10"/>
        <v>#N/A</v>
      </c>
      <c r="AG50" s="21" t="e">
        <f t="shared" si="11"/>
        <v>#N/A</v>
      </c>
      <c r="AH50" s="11" t="e">
        <f t="shared" si="12"/>
        <v>#N/A</v>
      </c>
      <c r="AI50">
        <v>2.5000000000000001E-2</v>
      </c>
      <c r="AJ50">
        <v>-2.5000000000000001E-2</v>
      </c>
      <c r="AK50">
        <v>1.5E-3</v>
      </c>
      <c r="AL50">
        <v>-1.5E-3</v>
      </c>
      <c r="AM50">
        <v>1.5E-3</v>
      </c>
      <c r="AN50">
        <v>-1.5E-3</v>
      </c>
      <c r="AO50" s="16">
        <v>2.5000000000000001E-2</v>
      </c>
      <c r="AP50" s="16">
        <v>-2.5000000000000001E-2</v>
      </c>
      <c r="AQ50">
        <v>1.4999999999999999E-2</v>
      </c>
      <c r="AR50">
        <v>-1.4999999999999999E-2</v>
      </c>
      <c r="AS50">
        <v>1E-3</v>
      </c>
      <c r="AT50">
        <v>-1E-3</v>
      </c>
      <c r="AU50">
        <v>1E-3</v>
      </c>
      <c r="AV50">
        <v>-1E-3</v>
      </c>
      <c r="AW50" s="16">
        <v>1.4999999999999999E-2</v>
      </c>
      <c r="AX50" s="16">
        <v>-1.4999999999999999E-2</v>
      </c>
    </row>
    <row r="51" spans="6:279" customFormat="1">
      <c r="F51" s="17" t="str">
        <f t="shared" si="0"/>
        <v/>
      </c>
      <c r="G51" s="9"/>
      <c r="H51" s="2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22" t="e">
        <f t="shared" si="1"/>
        <v>#N/A</v>
      </c>
      <c r="X51" s="21" t="e">
        <f t="shared" si="2"/>
        <v>#N/A</v>
      </c>
      <c r="Y51" s="21" t="e">
        <f t="shared" si="3"/>
        <v>#N/A</v>
      </c>
      <c r="Z51" s="11" t="e">
        <f t="shared" si="4"/>
        <v>#N/A</v>
      </c>
      <c r="AA51" s="22" t="e">
        <f t="shared" si="5"/>
        <v>#N/A</v>
      </c>
      <c r="AB51" s="21" t="e">
        <f t="shared" si="6"/>
        <v>#N/A</v>
      </c>
      <c r="AC51" s="21" t="e">
        <f t="shared" si="7"/>
        <v>#N/A</v>
      </c>
      <c r="AD51" s="11" t="e">
        <f t="shared" si="8"/>
        <v>#N/A</v>
      </c>
      <c r="AE51" s="22" t="e">
        <f t="shared" si="9"/>
        <v>#N/A</v>
      </c>
      <c r="AF51" s="21" t="e">
        <f t="shared" si="10"/>
        <v>#N/A</v>
      </c>
      <c r="AG51" s="21" t="e">
        <f t="shared" si="11"/>
        <v>#N/A</v>
      </c>
      <c r="AH51" s="11" t="e">
        <f t="shared" si="12"/>
        <v>#N/A</v>
      </c>
      <c r="AI51">
        <v>2.5000000000000001E-2</v>
      </c>
      <c r="AJ51">
        <v>-2.5000000000000001E-2</v>
      </c>
      <c r="AK51">
        <v>1.5E-3</v>
      </c>
      <c r="AL51">
        <v>-1.5E-3</v>
      </c>
      <c r="AM51">
        <v>1.5E-3</v>
      </c>
      <c r="AN51">
        <v>-1.5E-3</v>
      </c>
      <c r="AO51" s="16">
        <v>2.5000000000000001E-2</v>
      </c>
      <c r="AP51" s="16">
        <v>-2.5000000000000001E-2</v>
      </c>
      <c r="AQ51">
        <v>1.4999999999999999E-2</v>
      </c>
      <c r="AR51">
        <v>-1.4999999999999999E-2</v>
      </c>
      <c r="AS51">
        <v>1E-3</v>
      </c>
      <c r="AT51">
        <v>-1E-3</v>
      </c>
      <c r="AU51">
        <v>1E-3</v>
      </c>
      <c r="AV51">
        <v>-1E-3</v>
      </c>
      <c r="AW51" s="16">
        <v>1.4999999999999999E-2</v>
      </c>
      <c r="AX51" s="16">
        <v>-1.4999999999999999E-2</v>
      </c>
    </row>
    <row r="52" spans="6:279" customFormat="1">
      <c r="F52" s="17" t="str">
        <f t="shared" si="0"/>
        <v/>
      </c>
      <c r="G52" s="9"/>
      <c r="H52" s="2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22" t="e">
        <f t="shared" si="1"/>
        <v>#N/A</v>
      </c>
      <c r="X52" s="21" t="e">
        <f t="shared" si="2"/>
        <v>#N/A</v>
      </c>
      <c r="Y52" s="21" t="e">
        <f t="shared" si="3"/>
        <v>#N/A</v>
      </c>
      <c r="Z52" s="11" t="e">
        <f t="shared" si="4"/>
        <v>#N/A</v>
      </c>
      <c r="AA52" s="22" t="e">
        <f t="shared" si="5"/>
        <v>#N/A</v>
      </c>
      <c r="AB52" s="21" t="e">
        <f t="shared" si="6"/>
        <v>#N/A</v>
      </c>
      <c r="AC52" s="21" t="e">
        <f t="shared" si="7"/>
        <v>#N/A</v>
      </c>
      <c r="AD52" s="11" t="e">
        <f t="shared" si="8"/>
        <v>#N/A</v>
      </c>
      <c r="AE52" s="22" t="e">
        <f t="shared" si="9"/>
        <v>#N/A</v>
      </c>
      <c r="AF52" s="21" t="e">
        <f t="shared" si="10"/>
        <v>#N/A</v>
      </c>
      <c r="AG52" s="21" t="e">
        <f t="shared" si="11"/>
        <v>#N/A</v>
      </c>
      <c r="AH52" s="11" t="e">
        <f t="shared" si="12"/>
        <v>#N/A</v>
      </c>
      <c r="AI52">
        <v>2.5000000000000001E-2</v>
      </c>
      <c r="AJ52">
        <v>-2.5000000000000001E-2</v>
      </c>
      <c r="AK52">
        <v>1.5E-3</v>
      </c>
      <c r="AL52">
        <v>-1.5E-3</v>
      </c>
      <c r="AM52">
        <v>1.5E-3</v>
      </c>
      <c r="AN52">
        <v>-1.5E-3</v>
      </c>
      <c r="AO52" s="16">
        <v>2.5000000000000001E-2</v>
      </c>
      <c r="AP52" s="16">
        <v>-2.5000000000000001E-2</v>
      </c>
      <c r="AQ52">
        <v>1.4999999999999999E-2</v>
      </c>
      <c r="AR52">
        <v>-1.4999999999999999E-2</v>
      </c>
      <c r="AS52">
        <v>1E-3</v>
      </c>
      <c r="AT52">
        <v>-1E-3</v>
      </c>
      <c r="AU52">
        <v>1E-3</v>
      </c>
      <c r="AV52">
        <v>-1E-3</v>
      </c>
      <c r="AW52" s="16">
        <v>1.4999999999999999E-2</v>
      </c>
      <c r="AX52" s="16">
        <v>-1.4999999999999999E-2</v>
      </c>
    </row>
    <row r="53" spans="6:279" customFormat="1">
      <c r="F53" s="17" t="str">
        <f t="shared" si="0"/>
        <v/>
      </c>
      <c r="G53" s="9"/>
      <c r="H53" s="2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22" t="e">
        <f t="shared" si="1"/>
        <v>#N/A</v>
      </c>
      <c r="X53" s="21" t="e">
        <f t="shared" si="2"/>
        <v>#N/A</v>
      </c>
      <c r="Y53" s="21" t="e">
        <f t="shared" si="3"/>
        <v>#N/A</v>
      </c>
      <c r="Z53" s="11" t="e">
        <f t="shared" si="4"/>
        <v>#N/A</v>
      </c>
      <c r="AA53" s="22" t="e">
        <f t="shared" si="5"/>
        <v>#N/A</v>
      </c>
      <c r="AB53" s="21" t="e">
        <f t="shared" si="6"/>
        <v>#N/A</v>
      </c>
      <c r="AC53" s="21" t="e">
        <f t="shared" si="7"/>
        <v>#N/A</v>
      </c>
      <c r="AD53" s="11" t="e">
        <f t="shared" si="8"/>
        <v>#N/A</v>
      </c>
      <c r="AE53" s="22" t="e">
        <f t="shared" si="9"/>
        <v>#N/A</v>
      </c>
      <c r="AF53" s="21" t="e">
        <f t="shared" si="10"/>
        <v>#N/A</v>
      </c>
      <c r="AG53" s="21" t="e">
        <f t="shared" si="11"/>
        <v>#N/A</v>
      </c>
      <c r="AH53" s="11" t="e">
        <f t="shared" si="12"/>
        <v>#N/A</v>
      </c>
      <c r="AI53">
        <v>2.5000000000000001E-2</v>
      </c>
      <c r="AJ53">
        <v>-2.5000000000000001E-2</v>
      </c>
      <c r="AK53">
        <v>1.5E-3</v>
      </c>
      <c r="AL53">
        <v>-1.5E-3</v>
      </c>
      <c r="AM53">
        <v>1.5E-3</v>
      </c>
      <c r="AN53">
        <v>-1.5E-3</v>
      </c>
      <c r="AO53" s="16">
        <v>2.5000000000000001E-2</v>
      </c>
      <c r="AP53" s="16">
        <v>-2.5000000000000001E-2</v>
      </c>
      <c r="AQ53">
        <v>1.4999999999999999E-2</v>
      </c>
      <c r="AR53">
        <v>-1.4999999999999999E-2</v>
      </c>
      <c r="AS53">
        <v>1E-3</v>
      </c>
      <c r="AT53">
        <v>-1E-3</v>
      </c>
      <c r="AU53">
        <v>1E-3</v>
      </c>
      <c r="AV53">
        <v>-1E-3</v>
      </c>
      <c r="AW53" s="16">
        <v>1.4999999999999999E-2</v>
      </c>
      <c r="AX53" s="16">
        <v>-1.4999999999999999E-2</v>
      </c>
      <c r="JR53">
        <v>12.849506578947368</v>
      </c>
    </row>
    <row r="54" spans="6:279" customFormat="1">
      <c r="F54" s="17" t="str">
        <f t="shared" si="0"/>
        <v/>
      </c>
      <c r="G54" s="9"/>
      <c r="H54" s="2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22" t="e">
        <f t="shared" si="1"/>
        <v>#N/A</v>
      </c>
      <c r="X54" s="21" t="e">
        <f t="shared" si="2"/>
        <v>#N/A</v>
      </c>
      <c r="Y54" s="21" t="e">
        <f t="shared" si="3"/>
        <v>#N/A</v>
      </c>
      <c r="Z54" s="11" t="e">
        <f t="shared" si="4"/>
        <v>#N/A</v>
      </c>
      <c r="AA54" s="22" t="e">
        <f t="shared" si="5"/>
        <v>#N/A</v>
      </c>
      <c r="AB54" s="21" t="e">
        <f t="shared" si="6"/>
        <v>#N/A</v>
      </c>
      <c r="AC54" s="21" t="e">
        <f t="shared" si="7"/>
        <v>#N/A</v>
      </c>
      <c r="AD54" s="11" t="e">
        <f t="shared" si="8"/>
        <v>#N/A</v>
      </c>
      <c r="AE54" s="22" t="e">
        <f t="shared" si="9"/>
        <v>#N/A</v>
      </c>
      <c r="AF54" s="21" t="e">
        <f t="shared" si="10"/>
        <v>#N/A</v>
      </c>
      <c r="AG54" s="21" t="e">
        <f t="shared" si="11"/>
        <v>#N/A</v>
      </c>
      <c r="AH54" s="11" t="e">
        <f t="shared" si="12"/>
        <v>#N/A</v>
      </c>
      <c r="AI54">
        <v>2.5000000000000001E-2</v>
      </c>
      <c r="AJ54">
        <v>-2.5000000000000001E-2</v>
      </c>
      <c r="AK54">
        <v>1.5E-3</v>
      </c>
      <c r="AL54">
        <v>-1.5E-3</v>
      </c>
      <c r="AM54">
        <v>1.5E-3</v>
      </c>
      <c r="AN54">
        <v>-1.5E-3</v>
      </c>
      <c r="AO54" s="16">
        <v>2.5000000000000001E-2</v>
      </c>
      <c r="AP54" s="16">
        <v>-2.5000000000000001E-2</v>
      </c>
      <c r="AQ54">
        <v>1.4999999999999999E-2</v>
      </c>
      <c r="AR54">
        <v>-1.4999999999999999E-2</v>
      </c>
      <c r="AS54">
        <v>1E-3</v>
      </c>
      <c r="AT54">
        <v>-1E-3</v>
      </c>
      <c r="AU54">
        <v>1E-3</v>
      </c>
      <c r="AV54">
        <v>-1E-3</v>
      </c>
      <c r="AW54" s="16">
        <v>1.4999999999999999E-2</v>
      </c>
      <c r="AX54" s="16">
        <v>-1.4999999999999999E-2</v>
      </c>
    </row>
    <row r="55" spans="6:279" customFormat="1">
      <c r="F55" s="17" t="str">
        <f t="shared" si="0"/>
        <v/>
      </c>
      <c r="G55" s="9"/>
      <c r="H55" s="2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22" t="e">
        <f t="shared" si="1"/>
        <v>#N/A</v>
      </c>
      <c r="X55" s="21" t="e">
        <f t="shared" si="2"/>
        <v>#N/A</v>
      </c>
      <c r="Y55" s="21" t="e">
        <f t="shared" si="3"/>
        <v>#N/A</v>
      </c>
      <c r="Z55" s="11" t="e">
        <f t="shared" si="4"/>
        <v>#N/A</v>
      </c>
      <c r="AA55" s="22" t="e">
        <f t="shared" si="5"/>
        <v>#N/A</v>
      </c>
      <c r="AB55" s="21" t="e">
        <f t="shared" si="6"/>
        <v>#N/A</v>
      </c>
      <c r="AC55" s="21" t="e">
        <f t="shared" si="7"/>
        <v>#N/A</v>
      </c>
      <c r="AD55" s="11" t="e">
        <f t="shared" si="8"/>
        <v>#N/A</v>
      </c>
      <c r="AE55" s="22" t="e">
        <f t="shared" si="9"/>
        <v>#N/A</v>
      </c>
      <c r="AF55" s="21" t="e">
        <f t="shared" si="10"/>
        <v>#N/A</v>
      </c>
      <c r="AG55" s="21" t="e">
        <f t="shared" si="11"/>
        <v>#N/A</v>
      </c>
      <c r="AH55" s="11" t="e">
        <f t="shared" si="12"/>
        <v>#N/A</v>
      </c>
      <c r="AI55">
        <v>2.5000000000000001E-2</v>
      </c>
      <c r="AJ55">
        <v>-2.5000000000000001E-2</v>
      </c>
      <c r="AK55">
        <v>1.5E-3</v>
      </c>
      <c r="AL55">
        <v>-1.5E-3</v>
      </c>
      <c r="AM55">
        <v>1.5E-3</v>
      </c>
      <c r="AN55">
        <v>-1.5E-3</v>
      </c>
      <c r="AO55" s="16">
        <v>2.5000000000000001E-2</v>
      </c>
      <c r="AP55" s="16">
        <v>-2.5000000000000001E-2</v>
      </c>
      <c r="AQ55">
        <v>1.4999999999999999E-2</v>
      </c>
      <c r="AR55">
        <v>-1.4999999999999999E-2</v>
      </c>
      <c r="AS55">
        <v>1E-3</v>
      </c>
      <c r="AT55">
        <v>-1E-3</v>
      </c>
      <c r="AU55">
        <v>1E-3</v>
      </c>
      <c r="AV55">
        <v>-1E-3</v>
      </c>
      <c r="AW55" s="16">
        <v>1.4999999999999999E-2</v>
      </c>
      <c r="AX55" s="16">
        <v>-1.4999999999999999E-2</v>
      </c>
      <c r="JR55">
        <v>12.849506578947368</v>
      </c>
      <c r="JS55">
        <v>12.849506578947368</v>
      </c>
    </row>
    <row r="56" spans="6:279" customFormat="1">
      <c r="F56" s="17" t="str">
        <f t="shared" si="0"/>
        <v/>
      </c>
      <c r="G56" s="9"/>
      <c r="H56" s="2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22" t="e">
        <f t="shared" si="1"/>
        <v>#N/A</v>
      </c>
      <c r="X56" s="21" t="e">
        <f t="shared" si="2"/>
        <v>#N/A</v>
      </c>
      <c r="Y56" s="21" t="e">
        <f t="shared" si="3"/>
        <v>#N/A</v>
      </c>
      <c r="Z56" s="11" t="e">
        <f t="shared" si="4"/>
        <v>#N/A</v>
      </c>
      <c r="AA56" s="22" t="e">
        <f t="shared" si="5"/>
        <v>#N/A</v>
      </c>
      <c r="AB56" s="21" t="e">
        <f t="shared" si="6"/>
        <v>#N/A</v>
      </c>
      <c r="AC56" s="21" t="e">
        <f t="shared" si="7"/>
        <v>#N/A</v>
      </c>
      <c r="AD56" s="11" t="e">
        <f t="shared" si="8"/>
        <v>#N/A</v>
      </c>
      <c r="AE56" s="22" t="e">
        <f t="shared" si="9"/>
        <v>#N/A</v>
      </c>
      <c r="AF56" s="21" t="e">
        <f t="shared" si="10"/>
        <v>#N/A</v>
      </c>
      <c r="AG56" s="21" t="e">
        <f t="shared" si="11"/>
        <v>#N/A</v>
      </c>
      <c r="AH56" s="11" t="e">
        <f t="shared" si="12"/>
        <v>#N/A</v>
      </c>
      <c r="AI56">
        <v>2.5000000000000001E-2</v>
      </c>
      <c r="AJ56">
        <v>-2.5000000000000001E-2</v>
      </c>
      <c r="AK56">
        <v>1.5E-3</v>
      </c>
      <c r="AL56">
        <v>-1.5E-3</v>
      </c>
      <c r="AM56">
        <v>1.5E-3</v>
      </c>
      <c r="AN56">
        <v>-1.5E-3</v>
      </c>
      <c r="AO56" s="16">
        <v>2.5000000000000001E-2</v>
      </c>
      <c r="AP56" s="16">
        <v>-2.5000000000000001E-2</v>
      </c>
      <c r="AQ56">
        <v>1.4999999999999999E-2</v>
      </c>
      <c r="AR56">
        <v>-1.4999999999999999E-2</v>
      </c>
      <c r="AS56">
        <v>1E-3</v>
      </c>
      <c r="AT56">
        <v>-1E-3</v>
      </c>
      <c r="AU56">
        <v>1E-3</v>
      </c>
      <c r="AV56">
        <v>-1E-3</v>
      </c>
      <c r="AW56" s="16">
        <v>1.4999999999999999E-2</v>
      </c>
      <c r="AX56" s="16">
        <v>-1.4999999999999999E-2</v>
      </c>
      <c r="JP56">
        <v>12.849506578947368</v>
      </c>
    </row>
    <row r="57" spans="6:279" customFormat="1">
      <c r="F57" s="17" t="str">
        <f t="shared" si="0"/>
        <v/>
      </c>
      <c r="G57" s="9"/>
      <c r="H57" s="2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22" t="e">
        <f t="shared" si="1"/>
        <v>#N/A</v>
      </c>
      <c r="X57" s="21" t="e">
        <f t="shared" si="2"/>
        <v>#N/A</v>
      </c>
      <c r="Y57" s="21" t="e">
        <f t="shared" si="3"/>
        <v>#N/A</v>
      </c>
      <c r="Z57" s="11" t="e">
        <f t="shared" si="4"/>
        <v>#N/A</v>
      </c>
      <c r="AA57" s="22" t="e">
        <f t="shared" si="5"/>
        <v>#N/A</v>
      </c>
      <c r="AB57" s="21" t="e">
        <f t="shared" si="6"/>
        <v>#N/A</v>
      </c>
      <c r="AC57" s="21" t="e">
        <f t="shared" si="7"/>
        <v>#N/A</v>
      </c>
      <c r="AD57" s="11" t="e">
        <f t="shared" si="8"/>
        <v>#N/A</v>
      </c>
      <c r="AE57" s="22" t="e">
        <f t="shared" si="9"/>
        <v>#N/A</v>
      </c>
      <c r="AF57" s="21" t="e">
        <f t="shared" si="10"/>
        <v>#N/A</v>
      </c>
      <c r="AG57" s="21" t="e">
        <f t="shared" si="11"/>
        <v>#N/A</v>
      </c>
      <c r="AH57" s="11" t="e">
        <f t="shared" si="12"/>
        <v>#N/A</v>
      </c>
      <c r="AI57">
        <v>2.5000000000000001E-2</v>
      </c>
      <c r="AJ57">
        <v>-2.5000000000000001E-2</v>
      </c>
      <c r="AK57">
        <v>1.5E-3</v>
      </c>
      <c r="AL57">
        <v>-1.5E-3</v>
      </c>
      <c r="AM57">
        <v>1.5E-3</v>
      </c>
      <c r="AN57">
        <v>-1.5E-3</v>
      </c>
      <c r="AO57" s="16">
        <v>2.5000000000000001E-2</v>
      </c>
      <c r="AP57" s="16">
        <v>-2.5000000000000001E-2</v>
      </c>
      <c r="AQ57">
        <v>1.4999999999999999E-2</v>
      </c>
      <c r="AR57">
        <v>-1.4999999999999999E-2</v>
      </c>
      <c r="AS57">
        <v>1E-3</v>
      </c>
      <c r="AT57">
        <v>-1E-3</v>
      </c>
      <c r="AU57">
        <v>1E-3</v>
      </c>
      <c r="AV57">
        <v>-1E-3</v>
      </c>
      <c r="AW57" s="16">
        <v>1.4999999999999999E-2</v>
      </c>
      <c r="AX57" s="16">
        <v>-1.4999999999999999E-2</v>
      </c>
      <c r="JP57">
        <v>38.548519736842103</v>
      </c>
      <c r="JR57">
        <v>12.849506578947368</v>
      </c>
      <c r="JS57">
        <v>12.849506578947368</v>
      </c>
    </row>
    <row r="58" spans="6:279" customFormat="1">
      <c r="F58" s="17" t="str">
        <f t="shared" si="0"/>
        <v/>
      </c>
      <c r="G58" s="9"/>
      <c r="H58" s="2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22" t="e">
        <f t="shared" si="1"/>
        <v>#N/A</v>
      </c>
      <c r="X58" s="21" t="e">
        <f t="shared" si="2"/>
        <v>#N/A</v>
      </c>
      <c r="Y58" s="21" t="e">
        <f t="shared" si="3"/>
        <v>#N/A</v>
      </c>
      <c r="Z58" s="11" t="e">
        <f t="shared" si="4"/>
        <v>#N/A</v>
      </c>
      <c r="AA58" s="22" t="e">
        <f t="shared" si="5"/>
        <v>#N/A</v>
      </c>
      <c r="AB58" s="21" t="e">
        <f t="shared" si="6"/>
        <v>#N/A</v>
      </c>
      <c r="AC58" s="21" t="e">
        <f t="shared" si="7"/>
        <v>#N/A</v>
      </c>
      <c r="AD58" s="11" t="e">
        <f t="shared" si="8"/>
        <v>#N/A</v>
      </c>
      <c r="AE58" s="22" t="e">
        <f t="shared" si="9"/>
        <v>#N/A</v>
      </c>
      <c r="AF58" s="21" t="e">
        <f t="shared" si="10"/>
        <v>#N/A</v>
      </c>
      <c r="AG58" s="21" t="e">
        <f t="shared" si="11"/>
        <v>#N/A</v>
      </c>
      <c r="AH58" s="11" t="e">
        <f t="shared" si="12"/>
        <v>#N/A</v>
      </c>
      <c r="AI58">
        <v>2.5000000000000001E-2</v>
      </c>
      <c r="AJ58">
        <v>-2.5000000000000001E-2</v>
      </c>
      <c r="AK58">
        <v>1.5E-3</v>
      </c>
      <c r="AL58">
        <v>-1.5E-3</v>
      </c>
      <c r="AM58">
        <v>1.5E-3</v>
      </c>
      <c r="AN58">
        <v>-1.5E-3</v>
      </c>
      <c r="AO58" s="16">
        <v>2.5000000000000001E-2</v>
      </c>
      <c r="AP58" s="16">
        <v>-2.5000000000000001E-2</v>
      </c>
      <c r="AQ58">
        <v>1.4999999999999999E-2</v>
      </c>
      <c r="AR58">
        <v>-1.4999999999999999E-2</v>
      </c>
      <c r="AS58">
        <v>1E-3</v>
      </c>
      <c r="AT58">
        <v>-1E-3</v>
      </c>
      <c r="AU58">
        <v>1E-3</v>
      </c>
      <c r="AV58">
        <v>-1E-3</v>
      </c>
      <c r="AW58" s="16">
        <v>1.4999999999999999E-2</v>
      </c>
      <c r="AX58" s="16">
        <v>-1.4999999999999999E-2</v>
      </c>
    </row>
    <row r="59" spans="6:279" customFormat="1">
      <c r="F59" s="17" t="str">
        <f t="shared" si="0"/>
        <v/>
      </c>
      <c r="G59" s="9"/>
      <c r="H59" s="2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22" t="e">
        <f t="shared" si="1"/>
        <v>#N/A</v>
      </c>
      <c r="X59" s="21" t="e">
        <f t="shared" si="2"/>
        <v>#N/A</v>
      </c>
      <c r="Y59" s="21" t="e">
        <f t="shared" si="3"/>
        <v>#N/A</v>
      </c>
      <c r="Z59" s="11" t="e">
        <f t="shared" si="4"/>
        <v>#N/A</v>
      </c>
      <c r="AA59" s="22" t="e">
        <f t="shared" si="5"/>
        <v>#N/A</v>
      </c>
      <c r="AB59" s="21" t="e">
        <f t="shared" si="6"/>
        <v>#N/A</v>
      </c>
      <c r="AC59" s="21" t="e">
        <f t="shared" si="7"/>
        <v>#N/A</v>
      </c>
      <c r="AD59" s="11" t="e">
        <f t="shared" si="8"/>
        <v>#N/A</v>
      </c>
      <c r="AE59" s="22" t="e">
        <f t="shared" si="9"/>
        <v>#N/A</v>
      </c>
      <c r="AF59" s="21" t="e">
        <f t="shared" si="10"/>
        <v>#N/A</v>
      </c>
      <c r="AG59" s="21" t="e">
        <f t="shared" si="11"/>
        <v>#N/A</v>
      </c>
      <c r="AH59" s="11" t="e">
        <f t="shared" si="12"/>
        <v>#N/A</v>
      </c>
      <c r="AI59">
        <v>2.5000000000000001E-2</v>
      </c>
      <c r="AJ59">
        <v>-2.5000000000000001E-2</v>
      </c>
      <c r="AK59">
        <v>1.5E-3</v>
      </c>
      <c r="AL59">
        <v>-1.5E-3</v>
      </c>
      <c r="AM59">
        <v>1.5E-3</v>
      </c>
      <c r="AN59">
        <v>-1.5E-3</v>
      </c>
      <c r="AO59" s="16">
        <v>2.5000000000000001E-2</v>
      </c>
      <c r="AP59" s="16">
        <v>-2.5000000000000001E-2</v>
      </c>
      <c r="AQ59">
        <v>1.4999999999999999E-2</v>
      </c>
      <c r="AR59">
        <v>-1.4999999999999999E-2</v>
      </c>
      <c r="AS59">
        <v>1E-3</v>
      </c>
      <c r="AT59">
        <v>-1E-3</v>
      </c>
      <c r="AU59">
        <v>1E-3</v>
      </c>
      <c r="AV59">
        <v>-1E-3</v>
      </c>
      <c r="AW59" s="16">
        <v>1.4999999999999999E-2</v>
      </c>
      <c r="AX59" s="16">
        <v>-1.4999999999999999E-2</v>
      </c>
      <c r="JQ59">
        <v>12.849506578947368</v>
      </c>
      <c r="JR59">
        <v>12.849506578947368</v>
      </c>
      <c r="JS59">
        <v>38.548519736842103</v>
      </c>
    </row>
    <row r="60" spans="6:279" customFormat="1">
      <c r="F60" s="17" t="str">
        <f t="shared" si="0"/>
        <v/>
      </c>
      <c r="G60" s="9"/>
      <c r="H60" s="2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22" t="e">
        <f t="shared" si="1"/>
        <v>#N/A</v>
      </c>
      <c r="X60" s="21" t="e">
        <f t="shared" si="2"/>
        <v>#N/A</v>
      </c>
      <c r="Y60" s="21" t="e">
        <f t="shared" si="3"/>
        <v>#N/A</v>
      </c>
      <c r="Z60" s="11" t="e">
        <f t="shared" si="4"/>
        <v>#N/A</v>
      </c>
      <c r="AA60" s="22" t="e">
        <f t="shared" si="5"/>
        <v>#N/A</v>
      </c>
      <c r="AB60" s="21" t="e">
        <f t="shared" si="6"/>
        <v>#N/A</v>
      </c>
      <c r="AC60" s="21" t="e">
        <f t="shared" si="7"/>
        <v>#N/A</v>
      </c>
      <c r="AD60" s="11" t="e">
        <f t="shared" si="8"/>
        <v>#N/A</v>
      </c>
      <c r="AE60" s="22" t="e">
        <f t="shared" si="9"/>
        <v>#N/A</v>
      </c>
      <c r="AF60" s="21" t="e">
        <f t="shared" si="10"/>
        <v>#N/A</v>
      </c>
      <c r="AG60" s="21" t="e">
        <f t="shared" si="11"/>
        <v>#N/A</v>
      </c>
      <c r="AH60" s="11" t="e">
        <f t="shared" si="12"/>
        <v>#N/A</v>
      </c>
      <c r="AI60">
        <v>2.5000000000000001E-2</v>
      </c>
      <c r="AJ60">
        <v>-2.5000000000000001E-2</v>
      </c>
      <c r="AK60">
        <v>1.5E-3</v>
      </c>
      <c r="AL60">
        <v>-1.5E-3</v>
      </c>
      <c r="AM60">
        <v>1.5E-3</v>
      </c>
      <c r="AN60">
        <v>-1.5E-3</v>
      </c>
      <c r="AO60" s="16">
        <v>2.5000000000000001E-2</v>
      </c>
      <c r="AP60" s="16">
        <v>-2.5000000000000001E-2</v>
      </c>
      <c r="AQ60">
        <v>1.4999999999999999E-2</v>
      </c>
      <c r="AR60">
        <v>-1.4999999999999999E-2</v>
      </c>
      <c r="AS60">
        <v>1E-3</v>
      </c>
      <c r="AT60">
        <v>-1E-3</v>
      </c>
      <c r="AU60">
        <v>1E-3</v>
      </c>
      <c r="AV60">
        <v>-1E-3</v>
      </c>
      <c r="AW60" s="16">
        <v>1.4999999999999999E-2</v>
      </c>
      <c r="AX60" s="16">
        <v>-1.4999999999999999E-2</v>
      </c>
    </row>
    <row r="61" spans="6:279" customFormat="1">
      <c r="F61" s="17" t="str">
        <f t="shared" si="0"/>
        <v/>
      </c>
      <c r="G61" s="9"/>
      <c r="H61" s="2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22" t="e">
        <f t="shared" si="1"/>
        <v>#N/A</v>
      </c>
      <c r="X61" s="21" t="e">
        <f t="shared" si="2"/>
        <v>#N/A</v>
      </c>
      <c r="Y61" s="21" t="e">
        <f t="shared" si="3"/>
        <v>#N/A</v>
      </c>
      <c r="Z61" s="11" t="e">
        <f t="shared" si="4"/>
        <v>#N/A</v>
      </c>
      <c r="AA61" s="22" t="e">
        <f t="shared" si="5"/>
        <v>#N/A</v>
      </c>
      <c r="AB61" s="21" t="e">
        <f t="shared" si="6"/>
        <v>#N/A</v>
      </c>
      <c r="AC61" s="21" t="e">
        <f t="shared" si="7"/>
        <v>#N/A</v>
      </c>
      <c r="AD61" s="11" t="e">
        <f t="shared" si="8"/>
        <v>#N/A</v>
      </c>
      <c r="AE61" s="22" t="e">
        <f t="shared" si="9"/>
        <v>#N/A</v>
      </c>
      <c r="AF61" s="21" t="e">
        <f t="shared" si="10"/>
        <v>#N/A</v>
      </c>
      <c r="AG61" s="21" t="e">
        <f t="shared" si="11"/>
        <v>#N/A</v>
      </c>
      <c r="AH61" s="11" t="e">
        <f t="shared" si="12"/>
        <v>#N/A</v>
      </c>
      <c r="AI61">
        <v>2.5000000000000001E-2</v>
      </c>
      <c r="AJ61">
        <v>-2.5000000000000001E-2</v>
      </c>
      <c r="AK61">
        <v>1.5E-3</v>
      </c>
      <c r="AL61">
        <v>-1.5E-3</v>
      </c>
      <c r="AM61">
        <v>1.5E-3</v>
      </c>
      <c r="AN61">
        <v>-1.5E-3</v>
      </c>
      <c r="AO61" s="16">
        <v>2.5000000000000001E-2</v>
      </c>
      <c r="AP61" s="16">
        <v>-2.5000000000000001E-2</v>
      </c>
      <c r="AQ61">
        <v>1.4999999999999999E-2</v>
      </c>
      <c r="AR61">
        <v>-1.4999999999999999E-2</v>
      </c>
      <c r="AS61">
        <v>1E-3</v>
      </c>
      <c r="AT61">
        <v>-1E-3</v>
      </c>
      <c r="AU61">
        <v>1E-3</v>
      </c>
      <c r="AV61">
        <v>-1E-3</v>
      </c>
      <c r="AW61" s="16">
        <v>1.4999999999999999E-2</v>
      </c>
      <c r="AX61" s="16">
        <v>-1.4999999999999999E-2</v>
      </c>
      <c r="JS61">
        <v>12.849506578947368</v>
      </c>
    </row>
    <row r="62" spans="6:279" customFormat="1">
      <c r="F62" s="17" t="str">
        <f t="shared" si="0"/>
        <v/>
      </c>
      <c r="G62" s="9"/>
      <c r="H62" s="2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22" t="e">
        <f t="shared" si="1"/>
        <v>#N/A</v>
      </c>
      <c r="X62" s="21" t="e">
        <f t="shared" si="2"/>
        <v>#N/A</v>
      </c>
      <c r="Y62" s="21" t="e">
        <f t="shared" si="3"/>
        <v>#N/A</v>
      </c>
      <c r="Z62" s="11" t="e">
        <f t="shared" si="4"/>
        <v>#N/A</v>
      </c>
      <c r="AA62" s="22" t="e">
        <f t="shared" si="5"/>
        <v>#N/A</v>
      </c>
      <c r="AB62" s="21" t="e">
        <f t="shared" si="6"/>
        <v>#N/A</v>
      </c>
      <c r="AC62" s="21" t="e">
        <f t="shared" si="7"/>
        <v>#N/A</v>
      </c>
      <c r="AD62" s="11" t="e">
        <f t="shared" si="8"/>
        <v>#N/A</v>
      </c>
      <c r="AE62" s="22" t="e">
        <f t="shared" si="9"/>
        <v>#N/A</v>
      </c>
      <c r="AF62" s="21" t="e">
        <f t="shared" si="10"/>
        <v>#N/A</v>
      </c>
      <c r="AG62" s="21" t="e">
        <f t="shared" si="11"/>
        <v>#N/A</v>
      </c>
      <c r="AH62" s="11" t="e">
        <f t="shared" si="12"/>
        <v>#N/A</v>
      </c>
      <c r="AI62">
        <v>2.5000000000000001E-2</v>
      </c>
      <c r="AJ62">
        <v>-2.5000000000000001E-2</v>
      </c>
      <c r="AK62">
        <v>1.5E-3</v>
      </c>
      <c r="AL62">
        <v>-1.5E-3</v>
      </c>
      <c r="AM62">
        <v>1.5E-3</v>
      </c>
      <c r="AN62">
        <v>-1.5E-3</v>
      </c>
      <c r="AO62" s="16">
        <v>2.5000000000000001E-2</v>
      </c>
      <c r="AP62" s="16">
        <v>-2.5000000000000001E-2</v>
      </c>
      <c r="AQ62">
        <v>1.4999999999999999E-2</v>
      </c>
      <c r="AR62">
        <v>-1.4999999999999999E-2</v>
      </c>
      <c r="AS62">
        <v>1E-3</v>
      </c>
      <c r="AT62">
        <v>-1E-3</v>
      </c>
      <c r="AU62">
        <v>1E-3</v>
      </c>
      <c r="AV62">
        <v>-1E-3</v>
      </c>
      <c r="AW62" s="16">
        <v>1.4999999999999999E-2</v>
      </c>
      <c r="AX62" s="16">
        <v>-1.4999999999999999E-2</v>
      </c>
      <c r="JS62">
        <v>12.849506578947368</v>
      </c>
    </row>
    <row r="63" spans="6:279" customFormat="1">
      <c r="F63" s="17" t="str">
        <f t="shared" si="0"/>
        <v/>
      </c>
      <c r="G63" s="9"/>
      <c r="H63" s="2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22" t="e">
        <f t="shared" si="1"/>
        <v>#N/A</v>
      </c>
      <c r="X63" s="21" t="e">
        <f t="shared" si="2"/>
        <v>#N/A</v>
      </c>
      <c r="Y63" s="21" t="e">
        <f t="shared" si="3"/>
        <v>#N/A</v>
      </c>
      <c r="Z63" s="11" t="e">
        <f t="shared" si="4"/>
        <v>#N/A</v>
      </c>
      <c r="AA63" s="22" t="e">
        <f t="shared" si="5"/>
        <v>#N/A</v>
      </c>
      <c r="AB63" s="21" t="e">
        <f t="shared" si="6"/>
        <v>#N/A</v>
      </c>
      <c r="AC63" s="21" t="e">
        <f t="shared" si="7"/>
        <v>#N/A</v>
      </c>
      <c r="AD63" s="11" t="e">
        <f t="shared" si="8"/>
        <v>#N/A</v>
      </c>
      <c r="AE63" s="22" t="e">
        <f t="shared" si="9"/>
        <v>#N/A</v>
      </c>
      <c r="AF63" s="21" t="e">
        <f t="shared" si="10"/>
        <v>#N/A</v>
      </c>
      <c r="AG63" s="21" t="e">
        <f t="shared" si="11"/>
        <v>#N/A</v>
      </c>
      <c r="AH63" s="11" t="e">
        <f t="shared" si="12"/>
        <v>#N/A</v>
      </c>
      <c r="AI63">
        <v>2.5000000000000001E-2</v>
      </c>
      <c r="AJ63">
        <v>-2.5000000000000001E-2</v>
      </c>
      <c r="AK63">
        <v>1.5E-3</v>
      </c>
      <c r="AL63">
        <v>-1.5E-3</v>
      </c>
      <c r="AM63">
        <v>1.5E-3</v>
      </c>
      <c r="AN63">
        <v>-1.5E-3</v>
      </c>
      <c r="AO63" s="16">
        <v>2.5000000000000001E-2</v>
      </c>
      <c r="AP63" s="16">
        <v>-2.5000000000000001E-2</v>
      </c>
      <c r="AQ63">
        <v>1.4999999999999999E-2</v>
      </c>
      <c r="AR63">
        <v>-1.4999999999999999E-2</v>
      </c>
      <c r="AS63">
        <v>1E-3</v>
      </c>
      <c r="AT63">
        <v>-1E-3</v>
      </c>
      <c r="AU63">
        <v>1E-3</v>
      </c>
      <c r="AV63">
        <v>-1E-3</v>
      </c>
      <c r="AW63" s="16">
        <v>1.4999999999999999E-2</v>
      </c>
      <c r="AX63" s="16">
        <v>-1.4999999999999999E-2</v>
      </c>
      <c r="JR63">
        <v>12.849506578947368</v>
      </c>
    </row>
    <row r="64" spans="6:279" customFormat="1">
      <c r="F64" s="17" t="str">
        <f t="shared" si="0"/>
        <v/>
      </c>
      <c r="G64" s="9"/>
      <c r="H64" s="2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22" t="e">
        <f t="shared" si="1"/>
        <v>#N/A</v>
      </c>
      <c r="X64" s="21" t="e">
        <f t="shared" si="2"/>
        <v>#N/A</v>
      </c>
      <c r="Y64" s="21" t="e">
        <f t="shared" si="3"/>
        <v>#N/A</v>
      </c>
      <c r="Z64" s="11" t="e">
        <f t="shared" si="4"/>
        <v>#N/A</v>
      </c>
      <c r="AA64" s="22" t="e">
        <f t="shared" si="5"/>
        <v>#N/A</v>
      </c>
      <c r="AB64" s="21" t="e">
        <f t="shared" si="6"/>
        <v>#N/A</v>
      </c>
      <c r="AC64" s="21" t="e">
        <f t="shared" si="7"/>
        <v>#N/A</v>
      </c>
      <c r="AD64" s="11" t="e">
        <f t="shared" si="8"/>
        <v>#N/A</v>
      </c>
      <c r="AE64" s="22" t="e">
        <f t="shared" si="9"/>
        <v>#N/A</v>
      </c>
      <c r="AF64" s="21" t="e">
        <f t="shared" si="10"/>
        <v>#N/A</v>
      </c>
      <c r="AG64" s="21" t="e">
        <f t="shared" si="11"/>
        <v>#N/A</v>
      </c>
      <c r="AH64" s="11" t="e">
        <f t="shared" si="12"/>
        <v>#N/A</v>
      </c>
      <c r="AI64">
        <v>2.5000000000000001E-2</v>
      </c>
      <c r="AJ64">
        <v>-2.5000000000000001E-2</v>
      </c>
      <c r="AK64">
        <v>1.5E-3</v>
      </c>
      <c r="AL64">
        <v>-1.5E-3</v>
      </c>
      <c r="AM64">
        <v>1.5E-3</v>
      </c>
      <c r="AN64">
        <v>-1.5E-3</v>
      </c>
      <c r="AO64" s="16">
        <v>2.5000000000000001E-2</v>
      </c>
      <c r="AP64" s="16">
        <v>-2.5000000000000001E-2</v>
      </c>
      <c r="AQ64">
        <v>1.4999999999999999E-2</v>
      </c>
      <c r="AR64">
        <v>-1.4999999999999999E-2</v>
      </c>
      <c r="AS64">
        <v>1E-3</v>
      </c>
      <c r="AT64">
        <v>-1E-3</v>
      </c>
      <c r="AU64">
        <v>1E-3</v>
      </c>
      <c r="AV64">
        <v>-1E-3</v>
      </c>
      <c r="AW64" s="16">
        <v>1.4999999999999999E-2</v>
      </c>
      <c r="AX64" s="16">
        <v>-1.4999999999999999E-2</v>
      </c>
    </row>
    <row r="65" spans="6:278" customFormat="1">
      <c r="F65" s="17" t="str">
        <f t="shared" si="0"/>
        <v/>
      </c>
      <c r="G65" s="9"/>
      <c r="H65" s="2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22" t="e">
        <f t="shared" si="1"/>
        <v>#N/A</v>
      </c>
      <c r="X65" s="21" t="e">
        <f t="shared" si="2"/>
        <v>#N/A</v>
      </c>
      <c r="Y65" s="21" t="e">
        <f t="shared" si="3"/>
        <v>#N/A</v>
      </c>
      <c r="Z65" s="11" t="e">
        <f t="shared" si="4"/>
        <v>#N/A</v>
      </c>
      <c r="AA65" s="22" t="e">
        <f t="shared" si="5"/>
        <v>#N/A</v>
      </c>
      <c r="AB65" s="21" t="e">
        <f t="shared" si="6"/>
        <v>#N/A</v>
      </c>
      <c r="AC65" s="21" t="e">
        <f t="shared" si="7"/>
        <v>#N/A</v>
      </c>
      <c r="AD65" s="11" t="e">
        <f t="shared" si="8"/>
        <v>#N/A</v>
      </c>
      <c r="AE65" s="22" t="e">
        <f t="shared" si="9"/>
        <v>#N/A</v>
      </c>
      <c r="AF65" s="21" t="e">
        <f t="shared" si="10"/>
        <v>#N/A</v>
      </c>
      <c r="AG65" s="21" t="e">
        <f t="shared" si="11"/>
        <v>#N/A</v>
      </c>
      <c r="AH65" s="11" t="e">
        <f t="shared" si="12"/>
        <v>#N/A</v>
      </c>
      <c r="AI65">
        <v>2.5000000000000001E-2</v>
      </c>
      <c r="AJ65">
        <v>-2.5000000000000001E-2</v>
      </c>
      <c r="AK65">
        <v>1.5E-3</v>
      </c>
      <c r="AL65">
        <v>-1.5E-3</v>
      </c>
      <c r="AM65">
        <v>1.5E-3</v>
      </c>
      <c r="AN65">
        <v>-1.5E-3</v>
      </c>
      <c r="AO65" s="16">
        <v>2.5000000000000001E-2</v>
      </c>
      <c r="AP65" s="16">
        <v>-2.5000000000000001E-2</v>
      </c>
      <c r="AQ65">
        <v>1.4999999999999999E-2</v>
      </c>
      <c r="AR65">
        <v>-1.4999999999999999E-2</v>
      </c>
      <c r="AS65">
        <v>1E-3</v>
      </c>
      <c r="AT65">
        <v>-1E-3</v>
      </c>
      <c r="AU65">
        <v>1E-3</v>
      </c>
      <c r="AV65">
        <v>-1E-3</v>
      </c>
      <c r="AW65" s="16">
        <v>1.4999999999999999E-2</v>
      </c>
      <c r="AX65" s="16">
        <v>-1.4999999999999999E-2</v>
      </c>
      <c r="JR65">
        <v>12.849506578947368</v>
      </c>
    </row>
    <row r="66" spans="6:278" customFormat="1">
      <c r="F66" s="17" t="str">
        <f t="shared" si="0"/>
        <v/>
      </c>
      <c r="G66" s="9"/>
      <c r="H66" s="2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22" t="e">
        <f t="shared" si="1"/>
        <v>#N/A</v>
      </c>
      <c r="X66" s="21" t="e">
        <f t="shared" si="2"/>
        <v>#N/A</v>
      </c>
      <c r="Y66" s="21" t="e">
        <f t="shared" si="3"/>
        <v>#N/A</v>
      </c>
      <c r="Z66" s="11" t="e">
        <f t="shared" si="4"/>
        <v>#N/A</v>
      </c>
      <c r="AA66" s="22" t="e">
        <f t="shared" si="5"/>
        <v>#N/A</v>
      </c>
      <c r="AB66" s="21" t="e">
        <f t="shared" si="6"/>
        <v>#N/A</v>
      </c>
      <c r="AC66" s="21" t="e">
        <f t="shared" si="7"/>
        <v>#N/A</v>
      </c>
      <c r="AD66" s="11" t="e">
        <f t="shared" si="8"/>
        <v>#N/A</v>
      </c>
      <c r="AE66" s="22" t="e">
        <f t="shared" si="9"/>
        <v>#N/A</v>
      </c>
      <c r="AF66" s="21" t="e">
        <f t="shared" si="10"/>
        <v>#N/A</v>
      </c>
      <c r="AG66" s="21" t="e">
        <f t="shared" si="11"/>
        <v>#N/A</v>
      </c>
      <c r="AH66" s="11" t="e">
        <f t="shared" si="12"/>
        <v>#N/A</v>
      </c>
      <c r="AI66">
        <v>2.5000000000000001E-2</v>
      </c>
      <c r="AJ66">
        <v>-2.5000000000000001E-2</v>
      </c>
      <c r="AK66">
        <v>1.5E-3</v>
      </c>
      <c r="AL66">
        <v>-1.5E-3</v>
      </c>
      <c r="AM66">
        <v>1.5E-3</v>
      </c>
      <c r="AN66">
        <v>-1.5E-3</v>
      </c>
      <c r="AO66" s="16">
        <v>2.5000000000000001E-2</v>
      </c>
      <c r="AP66" s="16">
        <v>-2.5000000000000001E-2</v>
      </c>
      <c r="AQ66">
        <v>1.4999999999999999E-2</v>
      </c>
      <c r="AR66">
        <v>-1.4999999999999999E-2</v>
      </c>
      <c r="AS66">
        <v>1E-3</v>
      </c>
      <c r="AT66">
        <v>-1E-3</v>
      </c>
      <c r="AU66">
        <v>1E-3</v>
      </c>
      <c r="AV66">
        <v>-1E-3</v>
      </c>
      <c r="AW66" s="16">
        <v>1.4999999999999999E-2</v>
      </c>
      <c r="AX66" s="16">
        <v>-1.4999999999999999E-2</v>
      </c>
      <c r="JR66">
        <v>24.187306501547987</v>
      </c>
    </row>
    <row r="67" spans="6:278" customFormat="1">
      <c r="F67" s="17" t="str">
        <f t="shared" si="0"/>
        <v/>
      </c>
      <c r="G67" s="9"/>
      <c r="H67" s="2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22" t="e">
        <f t="shared" si="1"/>
        <v>#N/A</v>
      </c>
      <c r="X67" s="21" t="e">
        <f t="shared" si="2"/>
        <v>#N/A</v>
      </c>
      <c r="Y67" s="21" t="e">
        <f t="shared" si="3"/>
        <v>#N/A</v>
      </c>
      <c r="Z67" s="11" t="e">
        <f t="shared" si="4"/>
        <v>#N/A</v>
      </c>
      <c r="AA67" s="22" t="e">
        <f t="shared" si="5"/>
        <v>#N/A</v>
      </c>
      <c r="AB67" s="21" t="e">
        <f t="shared" si="6"/>
        <v>#N/A</v>
      </c>
      <c r="AC67" s="21" t="e">
        <f t="shared" si="7"/>
        <v>#N/A</v>
      </c>
      <c r="AD67" s="11" t="e">
        <f t="shared" si="8"/>
        <v>#N/A</v>
      </c>
      <c r="AE67" s="22" t="e">
        <f t="shared" si="9"/>
        <v>#N/A</v>
      </c>
      <c r="AF67" s="21" t="e">
        <f t="shared" si="10"/>
        <v>#N/A</v>
      </c>
      <c r="AG67" s="21" t="e">
        <f t="shared" si="11"/>
        <v>#N/A</v>
      </c>
      <c r="AH67" s="11" t="e">
        <f t="shared" si="12"/>
        <v>#N/A</v>
      </c>
      <c r="AI67">
        <v>2.5000000000000001E-2</v>
      </c>
      <c r="AJ67">
        <v>-2.5000000000000001E-2</v>
      </c>
      <c r="AK67">
        <v>1.5E-3</v>
      </c>
      <c r="AL67">
        <v>-1.5E-3</v>
      </c>
      <c r="AM67">
        <v>1.5E-3</v>
      </c>
      <c r="AN67">
        <v>-1.5E-3</v>
      </c>
      <c r="AO67" s="16">
        <v>2.5000000000000001E-2</v>
      </c>
      <c r="AP67" s="16">
        <v>-2.5000000000000001E-2</v>
      </c>
      <c r="AQ67">
        <v>1.4999999999999999E-2</v>
      </c>
      <c r="AR67">
        <v>-1.4999999999999999E-2</v>
      </c>
      <c r="AS67">
        <v>1E-3</v>
      </c>
      <c r="AT67">
        <v>-1E-3</v>
      </c>
      <c r="AU67">
        <v>1E-3</v>
      </c>
      <c r="AV67">
        <v>-1E-3</v>
      </c>
      <c r="AW67" s="16">
        <v>1.4999999999999999E-2</v>
      </c>
      <c r="AX67" s="16">
        <v>-1.4999999999999999E-2</v>
      </c>
    </row>
    <row r="68" spans="6:278" customFormat="1">
      <c r="F68" s="17" t="str">
        <f t="shared" si="0"/>
        <v/>
      </c>
      <c r="G68" s="9"/>
      <c r="H68" s="2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22" t="e">
        <f t="shared" si="1"/>
        <v>#N/A</v>
      </c>
      <c r="X68" s="21" t="e">
        <f t="shared" si="2"/>
        <v>#N/A</v>
      </c>
      <c r="Y68" s="21" t="e">
        <f t="shared" si="3"/>
        <v>#N/A</v>
      </c>
      <c r="Z68" s="11" t="e">
        <f t="shared" si="4"/>
        <v>#N/A</v>
      </c>
      <c r="AA68" s="22" t="e">
        <f t="shared" si="5"/>
        <v>#N/A</v>
      </c>
      <c r="AB68" s="21" t="e">
        <f t="shared" si="6"/>
        <v>#N/A</v>
      </c>
      <c r="AC68" s="21" t="e">
        <f t="shared" si="7"/>
        <v>#N/A</v>
      </c>
      <c r="AD68" s="11" t="e">
        <f t="shared" si="8"/>
        <v>#N/A</v>
      </c>
      <c r="AE68" s="22" t="e">
        <f t="shared" si="9"/>
        <v>#N/A</v>
      </c>
      <c r="AF68" s="21" t="e">
        <f t="shared" si="10"/>
        <v>#N/A</v>
      </c>
      <c r="AG68" s="21" t="e">
        <f t="shared" si="11"/>
        <v>#N/A</v>
      </c>
      <c r="AH68" s="11" t="e">
        <f t="shared" si="12"/>
        <v>#N/A</v>
      </c>
      <c r="AI68">
        <v>2.5000000000000001E-2</v>
      </c>
      <c r="AJ68">
        <v>-2.5000000000000001E-2</v>
      </c>
      <c r="AK68">
        <v>1.5E-3</v>
      </c>
      <c r="AL68">
        <v>-1.5E-3</v>
      </c>
      <c r="AM68">
        <v>1.5E-3</v>
      </c>
      <c r="AN68">
        <v>-1.5E-3</v>
      </c>
      <c r="AO68" s="16">
        <v>2.5000000000000001E-2</v>
      </c>
      <c r="AP68" s="16">
        <v>-2.5000000000000001E-2</v>
      </c>
      <c r="AQ68">
        <v>1.4999999999999999E-2</v>
      </c>
      <c r="AR68">
        <v>-1.4999999999999999E-2</v>
      </c>
      <c r="AS68">
        <v>1E-3</v>
      </c>
      <c r="AT68">
        <v>-1E-3</v>
      </c>
      <c r="AU68">
        <v>1E-3</v>
      </c>
      <c r="AV68">
        <v>-1E-3</v>
      </c>
      <c r="AW68" s="16">
        <v>1.4999999999999999E-2</v>
      </c>
      <c r="AX68" s="16">
        <v>-1.4999999999999999E-2</v>
      </c>
    </row>
    <row r="69" spans="6:278" customFormat="1">
      <c r="F69" s="17" t="str">
        <f t="shared" si="0"/>
        <v/>
      </c>
      <c r="G69" s="9"/>
      <c r="H69" s="2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22" t="e">
        <f t="shared" si="1"/>
        <v>#N/A</v>
      </c>
      <c r="X69" s="21" t="e">
        <f t="shared" si="2"/>
        <v>#N/A</v>
      </c>
      <c r="Y69" s="21" t="e">
        <f t="shared" si="3"/>
        <v>#N/A</v>
      </c>
      <c r="Z69" s="11" t="e">
        <f t="shared" si="4"/>
        <v>#N/A</v>
      </c>
      <c r="AA69" s="22" t="e">
        <f t="shared" si="5"/>
        <v>#N/A</v>
      </c>
      <c r="AB69" s="21" t="e">
        <f t="shared" si="6"/>
        <v>#N/A</v>
      </c>
      <c r="AC69" s="21" t="e">
        <f t="shared" si="7"/>
        <v>#N/A</v>
      </c>
      <c r="AD69" s="11" t="e">
        <f t="shared" si="8"/>
        <v>#N/A</v>
      </c>
      <c r="AE69" s="22" t="e">
        <f t="shared" si="9"/>
        <v>#N/A</v>
      </c>
      <c r="AF69" s="21" t="e">
        <f t="shared" si="10"/>
        <v>#N/A</v>
      </c>
      <c r="AG69" s="21" t="e">
        <f t="shared" si="11"/>
        <v>#N/A</v>
      </c>
      <c r="AH69" s="11" t="e">
        <f t="shared" si="12"/>
        <v>#N/A</v>
      </c>
      <c r="AI69">
        <v>2.5000000000000001E-2</v>
      </c>
      <c r="AJ69">
        <v>-2.5000000000000001E-2</v>
      </c>
      <c r="AK69">
        <v>1.5E-3</v>
      </c>
      <c r="AL69">
        <v>-1.5E-3</v>
      </c>
      <c r="AM69">
        <v>1.5E-3</v>
      </c>
      <c r="AN69">
        <v>-1.5E-3</v>
      </c>
      <c r="AO69" s="16">
        <v>2.5000000000000001E-2</v>
      </c>
      <c r="AP69" s="16">
        <v>-2.5000000000000001E-2</v>
      </c>
      <c r="AQ69">
        <v>1.4999999999999999E-2</v>
      </c>
      <c r="AR69">
        <v>-1.4999999999999999E-2</v>
      </c>
      <c r="AS69">
        <v>1E-3</v>
      </c>
      <c r="AT69">
        <v>-1E-3</v>
      </c>
      <c r="AU69">
        <v>1E-3</v>
      </c>
      <c r="AV69">
        <v>-1E-3</v>
      </c>
      <c r="AW69" s="16">
        <v>1.4999999999999999E-2</v>
      </c>
      <c r="AX69" s="16">
        <v>-1.4999999999999999E-2</v>
      </c>
    </row>
    <row r="70" spans="6:278" customFormat="1">
      <c r="F70" s="17" t="str">
        <f t="shared" si="0"/>
        <v/>
      </c>
      <c r="G70" s="9"/>
      <c r="H70" s="2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22" t="e">
        <f t="shared" si="1"/>
        <v>#N/A</v>
      </c>
      <c r="X70" s="21" t="e">
        <f t="shared" si="2"/>
        <v>#N/A</v>
      </c>
      <c r="Y70" s="21" t="e">
        <f t="shared" si="3"/>
        <v>#N/A</v>
      </c>
      <c r="Z70" s="11" t="e">
        <f t="shared" si="4"/>
        <v>#N/A</v>
      </c>
      <c r="AA70" s="22" t="e">
        <f t="shared" si="5"/>
        <v>#N/A</v>
      </c>
      <c r="AB70" s="21" t="e">
        <f t="shared" si="6"/>
        <v>#N/A</v>
      </c>
      <c r="AC70" s="21" t="e">
        <f t="shared" si="7"/>
        <v>#N/A</v>
      </c>
      <c r="AD70" s="11" t="e">
        <f t="shared" si="8"/>
        <v>#N/A</v>
      </c>
      <c r="AE70" s="22" t="e">
        <f t="shared" si="9"/>
        <v>#N/A</v>
      </c>
      <c r="AF70" s="21" t="e">
        <f t="shared" si="10"/>
        <v>#N/A</v>
      </c>
      <c r="AG70" s="21" t="e">
        <f t="shared" si="11"/>
        <v>#N/A</v>
      </c>
      <c r="AH70" s="11" t="e">
        <f t="shared" si="12"/>
        <v>#N/A</v>
      </c>
      <c r="AI70">
        <v>2.5000000000000001E-2</v>
      </c>
      <c r="AJ70">
        <v>-2.5000000000000001E-2</v>
      </c>
      <c r="AK70">
        <v>1.5E-3</v>
      </c>
      <c r="AL70">
        <v>-1.5E-3</v>
      </c>
      <c r="AM70">
        <v>1.5E-3</v>
      </c>
      <c r="AN70">
        <v>-1.5E-3</v>
      </c>
      <c r="AO70" s="16">
        <v>2.5000000000000001E-2</v>
      </c>
      <c r="AP70" s="16">
        <v>-2.5000000000000001E-2</v>
      </c>
      <c r="AQ70">
        <v>1.4999999999999999E-2</v>
      </c>
      <c r="AR70">
        <v>-1.4999999999999999E-2</v>
      </c>
      <c r="AS70">
        <v>1E-3</v>
      </c>
      <c r="AT70">
        <v>-1E-3</v>
      </c>
      <c r="AU70">
        <v>1E-3</v>
      </c>
      <c r="AV70">
        <v>-1E-3</v>
      </c>
      <c r="AW70" s="16">
        <v>1.4999999999999999E-2</v>
      </c>
      <c r="AX70" s="16">
        <v>-1.4999999999999999E-2</v>
      </c>
    </row>
    <row r="71" spans="6:278" customFormat="1">
      <c r="F71" s="17" t="str">
        <f t="shared" ref="F71:F100" si="13">IF(G71="","",G71)</f>
        <v/>
      </c>
      <c r="G71" s="9"/>
      <c r="H71" s="2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22" t="e">
        <f t="shared" ref="W71:W100" si="14">IF(H71="",NA(),I71-VLOOKUP(H71,$A$6:$E$35,2,FALSE))</f>
        <v>#N/A</v>
      </c>
      <c r="X71" s="21" t="e">
        <f t="shared" ref="X71:X100" si="15">IF(H71="",NA(),J71-VLOOKUP(H71,$A$6:$E$35,3,FALSE))</f>
        <v>#N/A</v>
      </c>
      <c r="Y71" s="21" t="e">
        <f t="shared" ref="Y71:Y100" si="16">IF(H71="",NA(),K71-VLOOKUP(H71,$A$6:$E$35,4,FALSE))</f>
        <v>#N/A</v>
      </c>
      <c r="Z71" s="11" t="e">
        <f t="shared" ref="Z71:Z100" si="17">IF(H71="",NA(),L71/VLOOKUP(H71,$A$6:$E$35,5,FALSE)-1)</f>
        <v>#N/A</v>
      </c>
      <c r="AA71" s="22" t="e">
        <f t="shared" ref="AA71:AA100" si="18">IF(M71="",NA(),N71-VLOOKUP(M71,$A$6:$E$35,2,FALSE))</f>
        <v>#N/A</v>
      </c>
      <c r="AB71" s="21" t="e">
        <f t="shared" ref="AB71:AB100" si="19">IF(M71="",NA(),O71-VLOOKUP(M71,$A$6:$E$35,3,FALSE))</f>
        <v>#N/A</v>
      </c>
      <c r="AC71" s="21" t="e">
        <f t="shared" ref="AC71:AC100" si="20">IF(M71="",NA(),P71-VLOOKUP(M71,$A$6:$E$35,4,FALSE))</f>
        <v>#N/A</v>
      </c>
      <c r="AD71" s="11" t="e">
        <f t="shared" ref="AD71:AD100" si="21">IF(M71="",NA(),Q71/VLOOKUP(M71,$A$6:$E$35,5,FALSE)-1)</f>
        <v>#N/A</v>
      </c>
      <c r="AE71" s="22" t="e">
        <f t="shared" ref="AE71:AE100" si="22">IF(R71="",NA(),S71-VLOOKUP(R71,$A$6:$E$35,2,FALSE))</f>
        <v>#N/A</v>
      </c>
      <c r="AF71" s="21" t="e">
        <f t="shared" ref="AF71:AF100" si="23">IF(R71="",NA(),T71-VLOOKUP(R71,$A$6:$E$35,3,FALSE))</f>
        <v>#N/A</v>
      </c>
      <c r="AG71" s="21" t="e">
        <f t="shared" ref="AG71:AG100" si="24">IF(R71="",NA(),U71-VLOOKUP(R71,$A$6:$E$35,4,FALSE))</f>
        <v>#N/A</v>
      </c>
      <c r="AH71" s="11" t="e">
        <f t="shared" ref="AH71:AH100" si="25">IF(R71="",NA(),V71/VLOOKUP(R71,$A$6:$E$35,5,FALSE)-1)</f>
        <v>#N/A</v>
      </c>
      <c r="AI71">
        <v>2.5000000000000001E-2</v>
      </c>
      <c r="AJ71">
        <v>-2.5000000000000001E-2</v>
      </c>
      <c r="AK71">
        <v>1.5E-3</v>
      </c>
      <c r="AL71">
        <v>-1.5E-3</v>
      </c>
      <c r="AM71">
        <v>1.5E-3</v>
      </c>
      <c r="AN71">
        <v>-1.5E-3</v>
      </c>
      <c r="AO71" s="16">
        <v>2.5000000000000001E-2</v>
      </c>
      <c r="AP71" s="16">
        <v>-2.5000000000000001E-2</v>
      </c>
      <c r="AQ71">
        <v>1.4999999999999999E-2</v>
      </c>
      <c r="AR71">
        <v>-1.4999999999999999E-2</v>
      </c>
      <c r="AS71">
        <v>1E-3</v>
      </c>
      <c r="AT71">
        <v>-1E-3</v>
      </c>
      <c r="AU71">
        <v>1E-3</v>
      </c>
      <c r="AV71">
        <v>-1E-3</v>
      </c>
      <c r="AW71" s="16">
        <v>1.4999999999999999E-2</v>
      </c>
      <c r="AX71" s="16">
        <v>-1.4999999999999999E-2</v>
      </c>
    </row>
    <row r="72" spans="6:278" customFormat="1">
      <c r="F72" s="17" t="str">
        <f t="shared" si="13"/>
        <v/>
      </c>
      <c r="G72" s="9"/>
      <c r="H72" s="2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22" t="e">
        <f t="shared" si="14"/>
        <v>#N/A</v>
      </c>
      <c r="X72" s="21" t="e">
        <f t="shared" si="15"/>
        <v>#N/A</v>
      </c>
      <c r="Y72" s="21" t="e">
        <f t="shared" si="16"/>
        <v>#N/A</v>
      </c>
      <c r="Z72" s="11" t="e">
        <f t="shared" si="17"/>
        <v>#N/A</v>
      </c>
      <c r="AA72" s="22" t="e">
        <f t="shared" si="18"/>
        <v>#N/A</v>
      </c>
      <c r="AB72" s="21" t="e">
        <f t="shared" si="19"/>
        <v>#N/A</v>
      </c>
      <c r="AC72" s="21" t="e">
        <f t="shared" si="20"/>
        <v>#N/A</v>
      </c>
      <c r="AD72" s="11" t="e">
        <f t="shared" si="21"/>
        <v>#N/A</v>
      </c>
      <c r="AE72" s="22" t="e">
        <f t="shared" si="22"/>
        <v>#N/A</v>
      </c>
      <c r="AF72" s="21" t="e">
        <f t="shared" si="23"/>
        <v>#N/A</v>
      </c>
      <c r="AG72" s="21" t="e">
        <f t="shared" si="24"/>
        <v>#N/A</v>
      </c>
      <c r="AH72" s="11" t="e">
        <f t="shared" si="25"/>
        <v>#N/A</v>
      </c>
      <c r="AI72">
        <v>2.5000000000000001E-2</v>
      </c>
      <c r="AJ72">
        <v>-2.5000000000000001E-2</v>
      </c>
      <c r="AK72">
        <v>1.5E-3</v>
      </c>
      <c r="AL72">
        <v>-1.5E-3</v>
      </c>
      <c r="AM72">
        <v>1.5E-3</v>
      </c>
      <c r="AN72">
        <v>-1.5E-3</v>
      </c>
      <c r="AO72" s="16">
        <v>2.5000000000000001E-2</v>
      </c>
      <c r="AP72" s="16">
        <v>-2.5000000000000001E-2</v>
      </c>
      <c r="AQ72">
        <v>1.4999999999999999E-2</v>
      </c>
      <c r="AR72">
        <v>-1.4999999999999999E-2</v>
      </c>
      <c r="AS72">
        <v>1E-3</v>
      </c>
      <c r="AT72">
        <v>-1E-3</v>
      </c>
      <c r="AU72">
        <v>1E-3</v>
      </c>
      <c r="AV72">
        <v>-1E-3</v>
      </c>
      <c r="AW72" s="16">
        <v>1.4999999999999999E-2</v>
      </c>
      <c r="AX72" s="16">
        <v>-1.4999999999999999E-2</v>
      </c>
    </row>
    <row r="73" spans="6:278" customFormat="1">
      <c r="F73" s="17" t="str">
        <f t="shared" si="13"/>
        <v/>
      </c>
      <c r="G73" s="4"/>
      <c r="H73" s="2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22" t="e">
        <f t="shared" si="14"/>
        <v>#N/A</v>
      </c>
      <c r="X73" s="21" t="e">
        <f t="shared" si="15"/>
        <v>#N/A</v>
      </c>
      <c r="Y73" s="21" t="e">
        <f t="shared" si="16"/>
        <v>#N/A</v>
      </c>
      <c r="Z73" s="11" t="e">
        <f t="shared" si="17"/>
        <v>#N/A</v>
      </c>
      <c r="AA73" s="22" t="e">
        <f t="shared" si="18"/>
        <v>#N/A</v>
      </c>
      <c r="AB73" s="21" t="e">
        <f t="shared" si="19"/>
        <v>#N/A</v>
      </c>
      <c r="AC73" s="21" t="e">
        <f t="shared" si="20"/>
        <v>#N/A</v>
      </c>
      <c r="AD73" s="11" t="e">
        <f t="shared" si="21"/>
        <v>#N/A</v>
      </c>
      <c r="AE73" s="22" t="e">
        <f t="shared" si="22"/>
        <v>#N/A</v>
      </c>
      <c r="AF73" s="21" t="e">
        <f t="shared" si="23"/>
        <v>#N/A</v>
      </c>
      <c r="AG73" s="21" t="e">
        <f t="shared" si="24"/>
        <v>#N/A</v>
      </c>
      <c r="AH73" s="11" t="e">
        <f t="shared" si="25"/>
        <v>#N/A</v>
      </c>
      <c r="AI73">
        <v>2.5000000000000001E-2</v>
      </c>
      <c r="AJ73">
        <v>-2.5000000000000001E-2</v>
      </c>
      <c r="AK73">
        <v>1.5E-3</v>
      </c>
      <c r="AL73">
        <v>-1.5E-3</v>
      </c>
      <c r="AM73">
        <v>1.5E-3</v>
      </c>
      <c r="AN73">
        <v>-1.5E-3</v>
      </c>
      <c r="AO73" s="16">
        <v>2.5000000000000001E-2</v>
      </c>
      <c r="AP73" s="16">
        <v>-2.5000000000000001E-2</v>
      </c>
      <c r="AQ73">
        <v>1.4999999999999999E-2</v>
      </c>
      <c r="AR73">
        <v>-1.4999999999999999E-2</v>
      </c>
      <c r="AS73">
        <v>1E-3</v>
      </c>
      <c r="AT73">
        <v>-1E-3</v>
      </c>
      <c r="AU73">
        <v>1E-3</v>
      </c>
      <c r="AV73">
        <v>-1E-3</v>
      </c>
      <c r="AW73" s="16">
        <v>1.4999999999999999E-2</v>
      </c>
      <c r="AX73" s="16">
        <v>-1.4999999999999999E-2</v>
      </c>
    </row>
    <row r="74" spans="6:278" customFormat="1">
      <c r="F74" s="17" t="str">
        <f t="shared" si="13"/>
        <v/>
      </c>
      <c r="G74" s="4"/>
      <c r="H74" s="2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22" t="e">
        <f t="shared" si="14"/>
        <v>#N/A</v>
      </c>
      <c r="X74" s="21" t="e">
        <f t="shared" si="15"/>
        <v>#N/A</v>
      </c>
      <c r="Y74" s="21" t="e">
        <f t="shared" si="16"/>
        <v>#N/A</v>
      </c>
      <c r="Z74" s="11" t="e">
        <f t="shared" si="17"/>
        <v>#N/A</v>
      </c>
      <c r="AA74" s="22" t="e">
        <f t="shared" si="18"/>
        <v>#N/A</v>
      </c>
      <c r="AB74" s="21" t="e">
        <f t="shared" si="19"/>
        <v>#N/A</v>
      </c>
      <c r="AC74" s="21" t="e">
        <f t="shared" si="20"/>
        <v>#N/A</v>
      </c>
      <c r="AD74" s="11" t="e">
        <f t="shared" si="21"/>
        <v>#N/A</v>
      </c>
      <c r="AE74" s="22" t="e">
        <f t="shared" si="22"/>
        <v>#N/A</v>
      </c>
      <c r="AF74" s="21" t="e">
        <f t="shared" si="23"/>
        <v>#N/A</v>
      </c>
      <c r="AG74" s="21" t="e">
        <f t="shared" si="24"/>
        <v>#N/A</v>
      </c>
      <c r="AH74" s="11" t="e">
        <f t="shared" si="25"/>
        <v>#N/A</v>
      </c>
      <c r="AI74">
        <v>2.5000000000000001E-2</v>
      </c>
      <c r="AJ74">
        <v>-2.5000000000000001E-2</v>
      </c>
      <c r="AK74">
        <v>1.5E-3</v>
      </c>
      <c r="AL74">
        <v>-1.5E-3</v>
      </c>
      <c r="AM74">
        <v>1.5E-3</v>
      </c>
      <c r="AN74">
        <v>-1.5E-3</v>
      </c>
      <c r="AO74" s="16">
        <v>2.5000000000000001E-2</v>
      </c>
      <c r="AP74" s="16">
        <v>-2.5000000000000001E-2</v>
      </c>
      <c r="AQ74">
        <v>1.4999999999999999E-2</v>
      </c>
      <c r="AR74">
        <v>-1.4999999999999999E-2</v>
      </c>
      <c r="AS74">
        <v>1E-3</v>
      </c>
      <c r="AT74">
        <v>-1E-3</v>
      </c>
      <c r="AU74">
        <v>1E-3</v>
      </c>
      <c r="AV74">
        <v>-1E-3</v>
      </c>
      <c r="AW74" s="16">
        <v>1.4999999999999999E-2</v>
      </c>
      <c r="AX74" s="16">
        <v>-1.4999999999999999E-2</v>
      </c>
    </row>
    <row r="75" spans="6:278" customFormat="1">
      <c r="F75" s="17" t="str">
        <f t="shared" si="13"/>
        <v/>
      </c>
      <c r="G75" s="4"/>
      <c r="H75" s="2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22" t="e">
        <f t="shared" si="14"/>
        <v>#N/A</v>
      </c>
      <c r="X75" s="21" t="e">
        <f t="shared" si="15"/>
        <v>#N/A</v>
      </c>
      <c r="Y75" s="21" t="e">
        <f t="shared" si="16"/>
        <v>#N/A</v>
      </c>
      <c r="Z75" s="11" t="e">
        <f t="shared" si="17"/>
        <v>#N/A</v>
      </c>
      <c r="AA75" s="22" t="e">
        <f t="shared" si="18"/>
        <v>#N/A</v>
      </c>
      <c r="AB75" s="21" t="e">
        <f t="shared" si="19"/>
        <v>#N/A</v>
      </c>
      <c r="AC75" s="21" t="e">
        <f t="shared" si="20"/>
        <v>#N/A</v>
      </c>
      <c r="AD75" s="11" t="e">
        <f t="shared" si="21"/>
        <v>#N/A</v>
      </c>
      <c r="AE75" s="22" t="e">
        <f t="shared" si="22"/>
        <v>#N/A</v>
      </c>
      <c r="AF75" s="21" t="e">
        <f t="shared" si="23"/>
        <v>#N/A</v>
      </c>
      <c r="AG75" s="21" t="e">
        <f t="shared" si="24"/>
        <v>#N/A</v>
      </c>
      <c r="AH75" s="11" t="e">
        <f t="shared" si="25"/>
        <v>#N/A</v>
      </c>
      <c r="AI75">
        <v>2.5000000000000001E-2</v>
      </c>
      <c r="AJ75">
        <v>-2.5000000000000001E-2</v>
      </c>
      <c r="AK75">
        <v>1.5E-3</v>
      </c>
      <c r="AL75">
        <v>-1.5E-3</v>
      </c>
      <c r="AM75">
        <v>1.5E-3</v>
      </c>
      <c r="AN75">
        <v>-1.5E-3</v>
      </c>
      <c r="AO75" s="16">
        <v>2.5000000000000001E-2</v>
      </c>
      <c r="AP75" s="16">
        <v>-2.5000000000000001E-2</v>
      </c>
      <c r="AQ75">
        <v>1.4999999999999999E-2</v>
      </c>
      <c r="AR75">
        <v>-1.4999999999999999E-2</v>
      </c>
      <c r="AS75">
        <v>1E-3</v>
      </c>
      <c r="AT75">
        <v>-1E-3</v>
      </c>
      <c r="AU75">
        <v>1E-3</v>
      </c>
      <c r="AV75">
        <v>-1E-3</v>
      </c>
      <c r="AW75" s="16">
        <v>1.4999999999999999E-2</v>
      </c>
      <c r="AX75" s="16">
        <v>-1.4999999999999999E-2</v>
      </c>
    </row>
    <row r="76" spans="6:278" customFormat="1">
      <c r="F76" s="17" t="str">
        <f t="shared" si="13"/>
        <v/>
      </c>
      <c r="G76" s="4"/>
      <c r="H76" s="2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22" t="e">
        <f t="shared" si="14"/>
        <v>#N/A</v>
      </c>
      <c r="X76" s="21" t="e">
        <f t="shared" si="15"/>
        <v>#N/A</v>
      </c>
      <c r="Y76" s="21" t="e">
        <f t="shared" si="16"/>
        <v>#N/A</v>
      </c>
      <c r="Z76" s="11" t="e">
        <f t="shared" si="17"/>
        <v>#N/A</v>
      </c>
      <c r="AA76" s="22" t="e">
        <f t="shared" si="18"/>
        <v>#N/A</v>
      </c>
      <c r="AB76" s="21" t="e">
        <f t="shared" si="19"/>
        <v>#N/A</v>
      </c>
      <c r="AC76" s="21" t="e">
        <f t="shared" si="20"/>
        <v>#N/A</v>
      </c>
      <c r="AD76" s="11" t="e">
        <f t="shared" si="21"/>
        <v>#N/A</v>
      </c>
      <c r="AE76" s="22" t="e">
        <f t="shared" si="22"/>
        <v>#N/A</v>
      </c>
      <c r="AF76" s="21" t="e">
        <f t="shared" si="23"/>
        <v>#N/A</v>
      </c>
      <c r="AG76" s="21" t="e">
        <f t="shared" si="24"/>
        <v>#N/A</v>
      </c>
      <c r="AH76" s="11" t="e">
        <f t="shared" si="25"/>
        <v>#N/A</v>
      </c>
      <c r="AI76">
        <v>2.5000000000000001E-2</v>
      </c>
      <c r="AJ76">
        <v>-2.5000000000000001E-2</v>
      </c>
      <c r="AK76">
        <v>1.5E-3</v>
      </c>
      <c r="AL76">
        <v>-1.5E-3</v>
      </c>
      <c r="AM76">
        <v>1.5E-3</v>
      </c>
      <c r="AN76">
        <v>-1.5E-3</v>
      </c>
      <c r="AO76" s="16">
        <v>2.5000000000000001E-2</v>
      </c>
      <c r="AP76" s="16">
        <v>-2.5000000000000001E-2</v>
      </c>
      <c r="AQ76">
        <v>1.4999999999999999E-2</v>
      </c>
      <c r="AR76">
        <v>-1.4999999999999999E-2</v>
      </c>
      <c r="AS76">
        <v>1E-3</v>
      </c>
      <c r="AT76">
        <v>-1E-3</v>
      </c>
      <c r="AU76">
        <v>1E-3</v>
      </c>
      <c r="AV76">
        <v>-1E-3</v>
      </c>
      <c r="AW76" s="16">
        <v>1.4999999999999999E-2</v>
      </c>
      <c r="AX76" s="16">
        <v>-1.4999999999999999E-2</v>
      </c>
    </row>
    <row r="77" spans="6:278" customFormat="1">
      <c r="F77" s="17" t="str">
        <f t="shared" si="13"/>
        <v/>
      </c>
      <c r="G77" s="4"/>
      <c r="H77" s="2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22" t="e">
        <f t="shared" si="14"/>
        <v>#N/A</v>
      </c>
      <c r="X77" s="21" t="e">
        <f t="shared" si="15"/>
        <v>#N/A</v>
      </c>
      <c r="Y77" s="21" t="e">
        <f t="shared" si="16"/>
        <v>#N/A</v>
      </c>
      <c r="Z77" s="11" t="e">
        <f t="shared" si="17"/>
        <v>#N/A</v>
      </c>
      <c r="AA77" s="22" t="e">
        <f t="shared" si="18"/>
        <v>#N/A</v>
      </c>
      <c r="AB77" s="21" t="e">
        <f t="shared" si="19"/>
        <v>#N/A</v>
      </c>
      <c r="AC77" s="21" t="e">
        <f t="shared" si="20"/>
        <v>#N/A</v>
      </c>
      <c r="AD77" s="11" t="e">
        <f t="shared" si="21"/>
        <v>#N/A</v>
      </c>
      <c r="AE77" s="22" t="e">
        <f t="shared" si="22"/>
        <v>#N/A</v>
      </c>
      <c r="AF77" s="21" t="e">
        <f t="shared" si="23"/>
        <v>#N/A</v>
      </c>
      <c r="AG77" s="21" t="e">
        <f t="shared" si="24"/>
        <v>#N/A</v>
      </c>
      <c r="AH77" s="11" t="e">
        <f t="shared" si="25"/>
        <v>#N/A</v>
      </c>
      <c r="AI77">
        <v>2.5000000000000001E-2</v>
      </c>
      <c r="AJ77">
        <v>-2.5000000000000001E-2</v>
      </c>
      <c r="AK77">
        <v>1.5E-3</v>
      </c>
      <c r="AL77">
        <v>-1.5E-3</v>
      </c>
      <c r="AM77">
        <v>1.5E-3</v>
      </c>
      <c r="AN77">
        <v>-1.5E-3</v>
      </c>
      <c r="AO77" s="16">
        <v>2.5000000000000001E-2</v>
      </c>
      <c r="AP77" s="16">
        <v>-2.5000000000000001E-2</v>
      </c>
      <c r="AQ77">
        <v>1.4999999999999999E-2</v>
      </c>
      <c r="AR77">
        <v>-1.4999999999999999E-2</v>
      </c>
      <c r="AS77">
        <v>1E-3</v>
      </c>
      <c r="AT77">
        <v>-1E-3</v>
      </c>
      <c r="AU77">
        <v>1E-3</v>
      </c>
      <c r="AV77">
        <v>-1E-3</v>
      </c>
      <c r="AW77" s="16">
        <v>1.4999999999999999E-2</v>
      </c>
      <c r="AX77" s="16">
        <v>-1.4999999999999999E-2</v>
      </c>
    </row>
    <row r="78" spans="6:278" customFormat="1">
      <c r="F78" s="17" t="str">
        <f t="shared" si="13"/>
        <v/>
      </c>
      <c r="G78" s="4"/>
      <c r="H78" s="2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22" t="e">
        <f t="shared" si="14"/>
        <v>#N/A</v>
      </c>
      <c r="X78" s="21" t="e">
        <f t="shared" si="15"/>
        <v>#N/A</v>
      </c>
      <c r="Y78" s="21" t="e">
        <f t="shared" si="16"/>
        <v>#N/A</v>
      </c>
      <c r="Z78" s="11" t="e">
        <f t="shared" si="17"/>
        <v>#N/A</v>
      </c>
      <c r="AA78" s="22" t="e">
        <f t="shared" si="18"/>
        <v>#N/A</v>
      </c>
      <c r="AB78" s="21" t="e">
        <f t="shared" si="19"/>
        <v>#N/A</v>
      </c>
      <c r="AC78" s="21" t="e">
        <f t="shared" si="20"/>
        <v>#N/A</v>
      </c>
      <c r="AD78" s="11" t="e">
        <f t="shared" si="21"/>
        <v>#N/A</v>
      </c>
      <c r="AE78" s="22" t="e">
        <f t="shared" si="22"/>
        <v>#N/A</v>
      </c>
      <c r="AF78" s="21" t="e">
        <f t="shared" si="23"/>
        <v>#N/A</v>
      </c>
      <c r="AG78" s="21" t="e">
        <f t="shared" si="24"/>
        <v>#N/A</v>
      </c>
      <c r="AH78" s="11" t="e">
        <f t="shared" si="25"/>
        <v>#N/A</v>
      </c>
      <c r="AI78">
        <v>2.5000000000000001E-2</v>
      </c>
      <c r="AJ78">
        <v>-2.5000000000000001E-2</v>
      </c>
      <c r="AK78">
        <v>1.5E-3</v>
      </c>
      <c r="AL78">
        <v>-1.5E-3</v>
      </c>
      <c r="AM78">
        <v>1.5E-3</v>
      </c>
      <c r="AN78">
        <v>-1.5E-3</v>
      </c>
      <c r="AO78" s="16">
        <v>2.5000000000000001E-2</v>
      </c>
      <c r="AP78" s="16">
        <v>-2.5000000000000001E-2</v>
      </c>
      <c r="AQ78">
        <v>1.4999999999999999E-2</v>
      </c>
      <c r="AR78">
        <v>-1.4999999999999999E-2</v>
      </c>
      <c r="AS78">
        <v>1E-3</v>
      </c>
      <c r="AT78">
        <v>-1E-3</v>
      </c>
      <c r="AU78">
        <v>1E-3</v>
      </c>
      <c r="AV78">
        <v>-1E-3</v>
      </c>
      <c r="AW78" s="16">
        <v>1.4999999999999999E-2</v>
      </c>
      <c r="AX78" s="16">
        <v>-1.4999999999999999E-2</v>
      </c>
    </row>
    <row r="79" spans="6:278" customFormat="1">
      <c r="F79" s="17" t="str">
        <f t="shared" si="13"/>
        <v/>
      </c>
      <c r="G79" s="4"/>
      <c r="H79" s="2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22" t="e">
        <f t="shared" si="14"/>
        <v>#N/A</v>
      </c>
      <c r="X79" s="21" t="e">
        <f t="shared" si="15"/>
        <v>#N/A</v>
      </c>
      <c r="Y79" s="21" t="e">
        <f t="shared" si="16"/>
        <v>#N/A</v>
      </c>
      <c r="Z79" s="11" t="e">
        <f t="shared" si="17"/>
        <v>#N/A</v>
      </c>
      <c r="AA79" s="22" t="e">
        <f t="shared" si="18"/>
        <v>#N/A</v>
      </c>
      <c r="AB79" s="21" t="e">
        <f t="shared" si="19"/>
        <v>#N/A</v>
      </c>
      <c r="AC79" s="21" t="e">
        <f t="shared" si="20"/>
        <v>#N/A</v>
      </c>
      <c r="AD79" s="11" t="e">
        <f t="shared" si="21"/>
        <v>#N/A</v>
      </c>
      <c r="AE79" s="22" t="e">
        <f t="shared" si="22"/>
        <v>#N/A</v>
      </c>
      <c r="AF79" s="21" t="e">
        <f t="shared" si="23"/>
        <v>#N/A</v>
      </c>
      <c r="AG79" s="21" t="e">
        <f t="shared" si="24"/>
        <v>#N/A</v>
      </c>
      <c r="AH79" s="11" t="e">
        <f t="shared" si="25"/>
        <v>#N/A</v>
      </c>
      <c r="AI79">
        <v>2.5000000000000001E-2</v>
      </c>
      <c r="AJ79">
        <v>-2.5000000000000001E-2</v>
      </c>
      <c r="AK79">
        <v>1.5E-3</v>
      </c>
      <c r="AL79">
        <v>-1.5E-3</v>
      </c>
      <c r="AM79">
        <v>1.5E-3</v>
      </c>
      <c r="AN79">
        <v>-1.5E-3</v>
      </c>
      <c r="AO79" s="16">
        <v>2.5000000000000001E-2</v>
      </c>
      <c r="AP79" s="16">
        <v>-2.5000000000000001E-2</v>
      </c>
      <c r="AQ79">
        <v>1.4999999999999999E-2</v>
      </c>
      <c r="AR79">
        <v>-1.4999999999999999E-2</v>
      </c>
      <c r="AS79">
        <v>1E-3</v>
      </c>
      <c r="AT79">
        <v>-1E-3</v>
      </c>
      <c r="AU79">
        <v>1E-3</v>
      </c>
      <c r="AV79">
        <v>-1E-3</v>
      </c>
      <c r="AW79" s="16">
        <v>1.4999999999999999E-2</v>
      </c>
      <c r="AX79" s="16">
        <v>-1.4999999999999999E-2</v>
      </c>
    </row>
    <row r="80" spans="6:278" customFormat="1">
      <c r="F80" s="17" t="str">
        <f t="shared" si="13"/>
        <v/>
      </c>
      <c r="G80" s="4"/>
      <c r="H80" s="2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22" t="e">
        <f t="shared" si="14"/>
        <v>#N/A</v>
      </c>
      <c r="X80" s="21" t="e">
        <f t="shared" si="15"/>
        <v>#N/A</v>
      </c>
      <c r="Y80" s="21" t="e">
        <f t="shared" si="16"/>
        <v>#N/A</v>
      </c>
      <c r="Z80" s="11" t="e">
        <f t="shared" si="17"/>
        <v>#N/A</v>
      </c>
      <c r="AA80" s="22" t="e">
        <f t="shared" si="18"/>
        <v>#N/A</v>
      </c>
      <c r="AB80" s="21" t="e">
        <f t="shared" si="19"/>
        <v>#N/A</v>
      </c>
      <c r="AC80" s="21" t="e">
        <f t="shared" si="20"/>
        <v>#N/A</v>
      </c>
      <c r="AD80" s="11" t="e">
        <f t="shared" si="21"/>
        <v>#N/A</v>
      </c>
      <c r="AE80" s="22" t="e">
        <f t="shared" si="22"/>
        <v>#N/A</v>
      </c>
      <c r="AF80" s="21" t="e">
        <f t="shared" si="23"/>
        <v>#N/A</v>
      </c>
      <c r="AG80" s="21" t="e">
        <f t="shared" si="24"/>
        <v>#N/A</v>
      </c>
      <c r="AH80" s="11" t="e">
        <f t="shared" si="25"/>
        <v>#N/A</v>
      </c>
      <c r="AI80">
        <v>2.5000000000000001E-2</v>
      </c>
      <c r="AJ80">
        <v>-2.5000000000000001E-2</v>
      </c>
      <c r="AK80">
        <v>1.5E-3</v>
      </c>
      <c r="AL80">
        <v>-1.5E-3</v>
      </c>
      <c r="AM80">
        <v>1.5E-3</v>
      </c>
      <c r="AN80">
        <v>-1.5E-3</v>
      </c>
      <c r="AO80" s="16">
        <v>2.5000000000000001E-2</v>
      </c>
      <c r="AP80" s="16">
        <v>-2.5000000000000001E-2</v>
      </c>
      <c r="AQ80">
        <v>1.4999999999999999E-2</v>
      </c>
      <c r="AR80">
        <v>-1.4999999999999999E-2</v>
      </c>
      <c r="AS80">
        <v>1E-3</v>
      </c>
      <c r="AT80">
        <v>-1E-3</v>
      </c>
      <c r="AU80">
        <v>1E-3</v>
      </c>
      <c r="AV80">
        <v>-1E-3</v>
      </c>
      <c r="AW80" s="16">
        <v>1.4999999999999999E-2</v>
      </c>
      <c r="AX80" s="16">
        <v>-1.4999999999999999E-2</v>
      </c>
    </row>
    <row r="81" spans="6:50">
      <c r="F81" s="17" t="str">
        <f t="shared" si="13"/>
        <v/>
      </c>
      <c r="G81" s="4"/>
      <c r="H81" s="2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22" t="e">
        <f t="shared" si="14"/>
        <v>#N/A</v>
      </c>
      <c r="X81" s="21" t="e">
        <f t="shared" si="15"/>
        <v>#N/A</v>
      </c>
      <c r="Y81" s="21" t="e">
        <f t="shared" si="16"/>
        <v>#N/A</v>
      </c>
      <c r="Z81" s="11" t="e">
        <f t="shared" si="17"/>
        <v>#N/A</v>
      </c>
      <c r="AA81" s="22" t="e">
        <f t="shared" si="18"/>
        <v>#N/A</v>
      </c>
      <c r="AB81" s="21" t="e">
        <f t="shared" si="19"/>
        <v>#N/A</v>
      </c>
      <c r="AC81" s="21" t="e">
        <f t="shared" si="20"/>
        <v>#N/A</v>
      </c>
      <c r="AD81" s="11" t="e">
        <f t="shared" si="21"/>
        <v>#N/A</v>
      </c>
      <c r="AE81" s="22" t="e">
        <f t="shared" si="22"/>
        <v>#N/A</v>
      </c>
      <c r="AF81" s="21" t="e">
        <f t="shared" si="23"/>
        <v>#N/A</v>
      </c>
      <c r="AG81" s="21" t="e">
        <f t="shared" si="24"/>
        <v>#N/A</v>
      </c>
      <c r="AH81" s="11" t="e">
        <f t="shared" si="25"/>
        <v>#N/A</v>
      </c>
      <c r="AI81">
        <v>2.5000000000000001E-2</v>
      </c>
      <c r="AJ81">
        <v>-2.5000000000000001E-2</v>
      </c>
      <c r="AK81">
        <v>1.5E-3</v>
      </c>
      <c r="AL81">
        <v>-1.5E-3</v>
      </c>
      <c r="AM81">
        <v>1.5E-3</v>
      </c>
      <c r="AN81">
        <v>-1.5E-3</v>
      </c>
      <c r="AO81" s="16">
        <v>2.5000000000000001E-2</v>
      </c>
      <c r="AP81" s="16">
        <v>-2.5000000000000001E-2</v>
      </c>
      <c r="AQ81">
        <v>1.4999999999999999E-2</v>
      </c>
      <c r="AR81">
        <v>-1.4999999999999999E-2</v>
      </c>
      <c r="AS81">
        <v>1E-3</v>
      </c>
      <c r="AT81">
        <v>-1E-3</v>
      </c>
      <c r="AU81">
        <v>1E-3</v>
      </c>
      <c r="AV81">
        <v>-1E-3</v>
      </c>
      <c r="AW81" s="16">
        <v>1.4999999999999999E-2</v>
      </c>
      <c r="AX81" s="16">
        <v>-1.4999999999999999E-2</v>
      </c>
    </row>
    <row r="82" spans="6:50">
      <c r="F82" s="17" t="str">
        <f t="shared" si="13"/>
        <v/>
      </c>
      <c r="G82" s="4"/>
      <c r="H82" s="2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22" t="e">
        <f t="shared" si="14"/>
        <v>#N/A</v>
      </c>
      <c r="X82" s="21" t="e">
        <f t="shared" si="15"/>
        <v>#N/A</v>
      </c>
      <c r="Y82" s="21" t="e">
        <f t="shared" si="16"/>
        <v>#N/A</v>
      </c>
      <c r="Z82" s="11" t="e">
        <f t="shared" si="17"/>
        <v>#N/A</v>
      </c>
      <c r="AA82" s="22" t="e">
        <f t="shared" si="18"/>
        <v>#N/A</v>
      </c>
      <c r="AB82" s="21" t="e">
        <f t="shared" si="19"/>
        <v>#N/A</v>
      </c>
      <c r="AC82" s="21" t="e">
        <f t="shared" si="20"/>
        <v>#N/A</v>
      </c>
      <c r="AD82" s="11" t="e">
        <f t="shared" si="21"/>
        <v>#N/A</v>
      </c>
      <c r="AE82" s="22" t="e">
        <f t="shared" si="22"/>
        <v>#N/A</v>
      </c>
      <c r="AF82" s="21" t="e">
        <f t="shared" si="23"/>
        <v>#N/A</v>
      </c>
      <c r="AG82" s="21" t="e">
        <f t="shared" si="24"/>
        <v>#N/A</v>
      </c>
      <c r="AH82" s="11" t="e">
        <f t="shared" si="25"/>
        <v>#N/A</v>
      </c>
      <c r="AI82">
        <v>2.5000000000000001E-2</v>
      </c>
      <c r="AJ82">
        <v>-2.5000000000000001E-2</v>
      </c>
      <c r="AK82">
        <v>1.5E-3</v>
      </c>
      <c r="AL82">
        <v>-1.5E-3</v>
      </c>
      <c r="AM82">
        <v>1.5E-3</v>
      </c>
      <c r="AN82">
        <v>-1.5E-3</v>
      </c>
      <c r="AO82" s="16">
        <v>2.5000000000000001E-2</v>
      </c>
      <c r="AP82" s="16">
        <v>-2.5000000000000001E-2</v>
      </c>
      <c r="AQ82">
        <v>1.4999999999999999E-2</v>
      </c>
      <c r="AR82">
        <v>-1.4999999999999999E-2</v>
      </c>
      <c r="AS82">
        <v>1E-3</v>
      </c>
      <c r="AT82">
        <v>-1E-3</v>
      </c>
      <c r="AU82">
        <v>1E-3</v>
      </c>
      <c r="AV82">
        <v>-1E-3</v>
      </c>
      <c r="AW82" s="16">
        <v>1.4999999999999999E-2</v>
      </c>
      <c r="AX82" s="16">
        <v>-1.4999999999999999E-2</v>
      </c>
    </row>
    <row r="83" spans="6:50">
      <c r="F83" s="17" t="str">
        <f t="shared" si="13"/>
        <v/>
      </c>
      <c r="G83" s="4"/>
      <c r="H83" s="2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22" t="e">
        <f t="shared" si="14"/>
        <v>#N/A</v>
      </c>
      <c r="X83" s="21" t="e">
        <f t="shared" si="15"/>
        <v>#N/A</v>
      </c>
      <c r="Y83" s="21" t="e">
        <f t="shared" si="16"/>
        <v>#N/A</v>
      </c>
      <c r="Z83" s="11" t="e">
        <f t="shared" si="17"/>
        <v>#N/A</v>
      </c>
      <c r="AA83" s="22" t="e">
        <f t="shared" si="18"/>
        <v>#N/A</v>
      </c>
      <c r="AB83" s="21" t="e">
        <f t="shared" si="19"/>
        <v>#N/A</v>
      </c>
      <c r="AC83" s="21" t="e">
        <f t="shared" si="20"/>
        <v>#N/A</v>
      </c>
      <c r="AD83" s="11" t="e">
        <f t="shared" si="21"/>
        <v>#N/A</v>
      </c>
      <c r="AE83" s="22" t="e">
        <f t="shared" si="22"/>
        <v>#N/A</v>
      </c>
      <c r="AF83" s="21" t="e">
        <f t="shared" si="23"/>
        <v>#N/A</v>
      </c>
      <c r="AG83" s="21" t="e">
        <f t="shared" si="24"/>
        <v>#N/A</v>
      </c>
      <c r="AH83" s="11" t="e">
        <f t="shared" si="25"/>
        <v>#N/A</v>
      </c>
      <c r="AI83">
        <v>2.5000000000000001E-2</v>
      </c>
      <c r="AJ83">
        <v>-2.5000000000000001E-2</v>
      </c>
      <c r="AK83">
        <v>1.5E-3</v>
      </c>
      <c r="AL83">
        <v>-1.5E-3</v>
      </c>
      <c r="AM83">
        <v>1.5E-3</v>
      </c>
      <c r="AN83">
        <v>-1.5E-3</v>
      </c>
      <c r="AO83" s="16">
        <v>2.5000000000000001E-2</v>
      </c>
      <c r="AP83" s="16">
        <v>-2.5000000000000001E-2</v>
      </c>
      <c r="AQ83">
        <v>1.4999999999999999E-2</v>
      </c>
      <c r="AR83">
        <v>-1.4999999999999999E-2</v>
      </c>
      <c r="AS83">
        <v>1E-3</v>
      </c>
      <c r="AT83">
        <v>-1E-3</v>
      </c>
      <c r="AU83">
        <v>1E-3</v>
      </c>
      <c r="AV83">
        <v>-1E-3</v>
      </c>
      <c r="AW83" s="16">
        <v>1.4999999999999999E-2</v>
      </c>
      <c r="AX83" s="16">
        <v>-1.4999999999999999E-2</v>
      </c>
    </row>
    <row r="84" spans="6:50">
      <c r="F84" s="17" t="str">
        <f t="shared" si="13"/>
        <v/>
      </c>
      <c r="G84" s="4"/>
      <c r="H84" s="2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22" t="e">
        <f t="shared" si="14"/>
        <v>#N/A</v>
      </c>
      <c r="X84" s="21" t="e">
        <f t="shared" si="15"/>
        <v>#N/A</v>
      </c>
      <c r="Y84" s="21" t="e">
        <f t="shared" si="16"/>
        <v>#N/A</v>
      </c>
      <c r="Z84" s="11" t="e">
        <f t="shared" si="17"/>
        <v>#N/A</v>
      </c>
      <c r="AA84" s="22" t="e">
        <f t="shared" si="18"/>
        <v>#N/A</v>
      </c>
      <c r="AB84" s="21" t="e">
        <f t="shared" si="19"/>
        <v>#N/A</v>
      </c>
      <c r="AC84" s="21" t="e">
        <f t="shared" si="20"/>
        <v>#N/A</v>
      </c>
      <c r="AD84" s="11" t="e">
        <f t="shared" si="21"/>
        <v>#N/A</v>
      </c>
      <c r="AE84" s="22" t="e">
        <f t="shared" si="22"/>
        <v>#N/A</v>
      </c>
      <c r="AF84" s="21" t="e">
        <f t="shared" si="23"/>
        <v>#N/A</v>
      </c>
      <c r="AG84" s="21" t="e">
        <f t="shared" si="24"/>
        <v>#N/A</v>
      </c>
      <c r="AH84" s="11" t="e">
        <f t="shared" si="25"/>
        <v>#N/A</v>
      </c>
      <c r="AI84">
        <v>2.5000000000000001E-2</v>
      </c>
      <c r="AJ84">
        <v>-2.5000000000000001E-2</v>
      </c>
      <c r="AK84">
        <v>1.5E-3</v>
      </c>
      <c r="AL84">
        <v>-1.5E-3</v>
      </c>
      <c r="AM84">
        <v>1.5E-3</v>
      </c>
      <c r="AN84">
        <v>-1.5E-3</v>
      </c>
      <c r="AO84" s="16">
        <v>2.5000000000000001E-2</v>
      </c>
      <c r="AP84" s="16">
        <v>-2.5000000000000001E-2</v>
      </c>
      <c r="AQ84">
        <v>1.4999999999999999E-2</v>
      </c>
      <c r="AR84">
        <v>-1.4999999999999999E-2</v>
      </c>
      <c r="AS84">
        <v>1E-3</v>
      </c>
      <c r="AT84">
        <v>-1E-3</v>
      </c>
      <c r="AU84">
        <v>1E-3</v>
      </c>
      <c r="AV84">
        <v>-1E-3</v>
      </c>
      <c r="AW84" s="16">
        <v>1.4999999999999999E-2</v>
      </c>
      <c r="AX84" s="16">
        <v>-1.4999999999999999E-2</v>
      </c>
    </row>
    <row r="85" spans="6:50">
      <c r="F85" s="17" t="str">
        <f t="shared" si="13"/>
        <v/>
      </c>
      <c r="G85" s="4"/>
      <c r="H85" s="2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22" t="e">
        <f t="shared" si="14"/>
        <v>#N/A</v>
      </c>
      <c r="X85" s="21" t="e">
        <f t="shared" si="15"/>
        <v>#N/A</v>
      </c>
      <c r="Y85" s="21" t="e">
        <f t="shared" si="16"/>
        <v>#N/A</v>
      </c>
      <c r="Z85" s="11" t="e">
        <f t="shared" si="17"/>
        <v>#N/A</v>
      </c>
      <c r="AA85" s="22" t="e">
        <f t="shared" si="18"/>
        <v>#N/A</v>
      </c>
      <c r="AB85" s="21" t="e">
        <f t="shared" si="19"/>
        <v>#N/A</v>
      </c>
      <c r="AC85" s="21" t="e">
        <f t="shared" si="20"/>
        <v>#N/A</v>
      </c>
      <c r="AD85" s="11" t="e">
        <f t="shared" si="21"/>
        <v>#N/A</v>
      </c>
      <c r="AE85" s="22" t="e">
        <f t="shared" si="22"/>
        <v>#N/A</v>
      </c>
      <c r="AF85" s="21" t="e">
        <f t="shared" si="23"/>
        <v>#N/A</v>
      </c>
      <c r="AG85" s="21" t="e">
        <f t="shared" si="24"/>
        <v>#N/A</v>
      </c>
      <c r="AH85" s="11" t="e">
        <f t="shared" si="25"/>
        <v>#N/A</v>
      </c>
      <c r="AI85">
        <v>2.5000000000000001E-2</v>
      </c>
      <c r="AJ85">
        <v>-2.5000000000000001E-2</v>
      </c>
      <c r="AK85">
        <v>1.5E-3</v>
      </c>
      <c r="AL85">
        <v>-1.5E-3</v>
      </c>
      <c r="AM85">
        <v>1.5E-3</v>
      </c>
      <c r="AN85">
        <v>-1.5E-3</v>
      </c>
      <c r="AO85" s="16">
        <v>2.5000000000000001E-2</v>
      </c>
      <c r="AP85" s="16">
        <v>-2.5000000000000001E-2</v>
      </c>
      <c r="AQ85">
        <v>1.4999999999999999E-2</v>
      </c>
      <c r="AR85">
        <v>-1.4999999999999999E-2</v>
      </c>
      <c r="AS85">
        <v>1E-3</v>
      </c>
      <c r="AT85">
        <v>-1E-3</v>
      </c>
      <c r="AU85">
        <v>1E-3</v>
      </c>
      <c r="AV85">
        <v>-1E-3</v>
      </c>
      <c r="AW85" s="16">
        <v>1.4999999999999999E-2</v>
      </c>
      <c r="AX85" s="16">
        <v>-1.4999999999999999E-2</v>
      </c>
    </row>
    <row r="86" spans="6:50">
      <c r="F86" s="17" t="str">
        <f t="shared" si="13"/>
        <v/>
      </c>
      <c r="G86" s="4"/>
      <c r="H86" s="2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22" t="e">
        <f t="shared" si="14"/>
        <v>#N/A</v>
      </c>
      <c r="X86" s="21" t="e">
        <f t="shared" si="15"/>
        <v>#N/A</v>
      </c>
      <c r="Y86" s="21" t="e">
        <f t="shared" si="16"/>
        <v>#N/A</v>
      </c>
      <c r="Z86" s="11" t="e">
        <f t="shared" si="17"/>
        <v>#N/A</v>
      </c>
      <c r="AA86" s="22" t="e">
        <f t="shared" si="18"/>
        <v>#N/A</v>
      </c>
      <c r="AB86" s="21" t="e">
        <f t="shared" si="19"/>
        <v>#N/A</v>
      </c>
      <c r="AC86" s="21" t="e">
        <f t="shared" si="20"/>
        <v>#N/A</v>
      </c>
      <c r="AD86" s="11" t="e">
        <f t="shared" si="21"/>
        <v>#N/A</v>
      </c>
      <c r="AE86" s="22" t="e">
        <f t="shared" si="22"/>
        <v>#N/A</v>
      </c>
      <c r="AF86" s="21" t="e">
        <f t="shared" si="23"/>
        <v>#N/A</v>
      </c>
      <c r="AG86" s="21" t="e">
        <f t="shared" si="24"/>
        <v>#N/A</v>
      </c>
      <c r="AH86" s="11" t="e">
        <f t="shared" si="25"/>
        <v>#N/A</v>
      </c>
      <c r="AI86">
        <v>2.5000000000000001E-2</v>
      </c>
      <c r="AJ86">
        <v>-2.5000000000000001E-2</v>
      </c>
      <c r="AK86">
        <v>1.5E-3</v>
      </c>
      <c r="AL86">
        <v>-1.5E-3</v>
      </c>
      <c r="AM86">
        <v>1.5E-3</v>
      </c>
      <c r="AN86">
        <v>-1.5E-3</v>
      </c>
      <c r="AO86" s="16">
        <v>2.5000000000000001E-2</v>
      </c>
      <c r="AP86" s="16">
        <v>-2.5000000000000001E-2</v>
      </c>
      <c r="AQ86">
        <v>1.4999999999999999E-2</v>
      </c>
      <c r="AR86">
        <v>-1.4999999999999999E-2</v>
      </c>
      <c r="AS86">
        <v>1E-3</v>
      </c>
      <c r="AT86">
        <v>-1E-3</v>
      </c>
      <c r="AU86">
        <v>1E-3</v>
      </c>
      <c r="AV86">
        <v>-1E-3</v>
      </c>
      <c r="AW86" s="16">
        <v>1.4999999999999999E-2</v>
      </c>
      <c r="AX86" s="16">
        <v>-1.4999999999999999E-2</v>
      </c>
    </row>
    <row r="87" spans="6:50">
      <c r="F87" s="17" t="str">
        <f t="shared" si="13"/>
        <v/>
      </c>
      <c r="G87" s="4"/>
      <c r="H87" s="2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22" t="e">
        <f t="shared" si="14"/>
        <v>#N/A</v>
      </c>
      <c r="X87" s="21" t="e">
        <f t="shared" si="15"/>
        <v>#N/A</v>
      </c>
      <c r="Y87" s="21" t="e">
        <f t="shared" si="16"/>
        <v>#N/A</v>
      </c>
      <c r="Z87" s="11" t="e">
        <f t="shared" si="17"/>
        <v>#N/A</v>
      </c>
      <c r="AA87" s="22" t="e">
        <f t="shared" si="18"/>
        <v>#N/A</v>
      </c>
      <c r="AB87" s="21" t="e">
        <f t="shared" si="19"/>
        <v>#N/A</v>
      </c>
      <c r="AC87" s="21" t="e">
        <f t="shared" si="20"/>
        <v>#N/A</v>
      </c>
      <c r="AD87" s="11" t="e">
        <f t="shared" si="21"/>
        <v>#N/A</v>
      </c>
      <c r="AE87" s="22" t="e">
        <f t="shared" si="22"/>
        <v>#N/A</v>
      </c>
      <c r="AF87" s="21" t="e">
        <f t="shared" si="23"/>
        <v>#N/A</v>
      </c>
      <c r="AG87" s="21" t="e">
        <f t="shared" si="24"/>
        <v>#N/A</v>
      </c>
      <c r="AH87" s="11" t="e">
        <f t="shared" si="25"/>
        <v>#N/A</v>
      </c>
      <c r="AI87">
        <v>2.5000000000000001E-2</v>
      </c>
      <c r="AJ87">
        <v>-2.5000000000000001E-2</v>
      </c>
      <c r="AK87">
        <v>1.5E-3</v>
      </c>
      <c r="AL87">
        <v>-1.5E-3</v>
      </c>
      <c r="AM87">
        <v>1.5E-3</v>
      </c>
      <c r="AN87">
        <v>-1.5E-3</v>
      </c>
      <c r="AO87" s="16">
        <v>2.5000000000000001E-2</v>
      </c>
      <c r="AP87" s="16">
        <v>-2.5000000000000001E-2</v>
      </c>
      <c r="AQ87">
        <v>1.4999999999999999E-2</v>
      </c>
      <c r="AR87">
        <v>-1.4999999999999999E-2</v>
      </c>
      <c r="AS87">
        <v>1E-3</v>
      </c>
      <c r="AT87">
        <v>-1E-3</v>
      </c>
      <c r="AU87">
        <v>1E-3</v>
      </c>
      <c r="AV87">
        <v>-1E-3</v>
      </c>
      <c r="AW87" s="16">
        <v>1.4999999999999999E-2</v>
      </c>
      <c r="AX87" s="16">
        <v>-1.4999999999999999E-2</v>
      </c>
    </row>
    <row r="88" spans="6:50">
      <c r="F88" s="17" t="str">
        <f t="shared" si="13"/>
        <v/>
      </c>
      <c r="G88" s="4"/>
      <c r="H88" s="2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22" t="e">
        <f t="shared" si="14"/>
        <v>#N/A</v>
      </c>
      <c r="X88" s="21" t="e">
        <f t="shared" si="15"/>
        <v>#N/A</v>
      </c>
      <c r="Y88" s="21" t="e">
        <f t="shared" si="16"/>
        <v>#N/A</v>
      </c>
      <c r="Z88" s="11" t="e">
        <f t="shared" si="17"/>
        <v>#N/A</v>
      </c>
      <c r="AA88" s="22" t="e">
        <f t="shared" si="18"/>
        <v>#N/A</v>
      </c>
      <c r="AB88" s="21" t="e">
        <f t="shared" si="19"/>
        <v>#N/A</v>
      </c>
      <c r="AC88" s="21" t="e">
        <f t="shared" si="20"/>
        <v>#N/A</v>
      </c>
      <c r="AD88" s="11" t="e">
        <f t="shared" si="21"/>
        <v>#N/A</v>
      </c>
      <c r="AE88" s="22" t="e">
        <f t="shared" si="22"/>
        <v>#N/A</v>
      </c>
      <c r="AF88" s="21" t="e">
        <f t="shared" si="23"/>
        <v>#N/A</v>
      </c>
      <c r="AG88" s="21" t="e">
        <f t="shared" si="24"/>
        <v>#N/A</v>
      </c>
      <c r="AH88" s="11" t="e">
        <f t="shared" si="25"/>
        <v>#N/A</v>
      </c>
      <c r="AI88">
        <v>2.5000000000000001E-2</v>
      </c>
      <c r="AJ88">
        <v>-2.5000000000000001E-2</v>
      </c>
      <c r="AK88">
        <v>1.5E-3</v>
      </c>
      <c r="AL88">
        <v>-1.5E-3</v>
      </c>
      <c r="AM88">
        <v>1.5E-3</v>
      </c>
      <c r="AN88">
        <v>-1.5E-3</v>
      </c>
      <c r="AO88" s="16">
        <v>2.5000000000000001E-2</v>
      </c>
      <c r="AP88" s="16">
        <v>-2.5000000000000001E-2</v>
      </c>
      <c r="AQ88">
        <v>1.4999999999999999E-2</v>
      </c>
      <c r="AR88">
        <v>-1.4999999999999999E-2</v>
      </c>
      <c r="AS88">
        <v>1E-3</v>
      </c>
      <c r="AT88">
        <v>-1E-3</v>
      </c>
      <c r="AU88">
        <v>1E-3</v>
      </c>
      <c r="AV88">
        <v>-1E-3</v>
      </c>
      <c r="AW88" s="16">
        <v>1.4999999999999999E-2</v>
      </c>
      <c r="AX88" s="16">
        <v>-1.4999999999999999E-2</v>
      </c>
    </row>
    <row r="89" spans="6:50">
      <c r="F89" s="17" t="str">
        <f t="shared" si="13"/>
        <v/>
      </c>
      <c r="G89" s="4"/>
      <c r="H89" s="2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22" t="e">
        <f t="shared" si="14"/>
        <v>#N/A</v>
      </c>
      <c r="X89" s="21" t="e">
        <f t="shared" si="15"/>
        <v>#N/A</v>
      </c>
      <c r="Y89" s="21" t="e">
        <f t="shared" si="16"/>
        <v>#N/A</v>
      </c>
      <c r="Z89" s="11" t="e">
        <f t="shared" si="17"/>
        <v>#N/A</v>
      </c>
      <c r="AA89" s="22" t="e">
        <f t="shared" si="18"/>
        <v>#N/A</v>
      </c>
      <c r="AB89" s="21" t="e">
        <f t="shared" si="19"/>
        <v>#N/A</v>
      </c>
      <c r="AC89" s="21" t="e">
        <f t="shared" si="20"/>
        <v>#N/A</v>
      </c>
      <c r="AD89" s="11" t="e">
        <f t="shared" si="21"/>
        <v>#N/A</v>
      </c>
      <c r="AE89" s="22" t="e">
        <f t="shared" si="22"/>
        <v>#N/A</v>
      </c>
      <c r="AF89" s="21" t="e">
        <f t="shared" si="23"/>
        <v>#N/A</v>
      </c>
      <c r="AG89" s="21" t="e">
        <f t="shared" si="24"/>
        <v>#N/A</v>
      </c>
      <c r="AH89" s="11" t="e">
        <f t="shared" si="25"/>
        <v>#N/A</v>
      </c>
      <c r="AI89">
        <v>2.5000000000000001E-2</v>
      </c>
      <c r="AJ89">
        <v>-2.5000000000000001E-2</v>
      </c>
      <c r="AK89">
        <v>1.5E-3</v>
      </c>
      <c r="AL89">
        <v>-1.5E-3</v>
      </c>
      <c r="AM89">
        <v>1.5E-3</v>
      </c>
      <c r="AN89">
        <v>-1.5E-3</v>
      </c>
      <c r="AO89" s="16">
        <v>2.5000000000000001E-2</v>
      </c>
      <c r="AP89" s="16">
        <v>-2.5000000000000001E-2</v>
      </c>
      <c r="AQ89">
        <v>1.4999999999999999E-2</v>
      </c>
      <c r="AR89">
        <v>-1.4999999999999999E-2</v>
      </c>
      <c r="AS89">
        <v>1E-3</v>
      </c>
      <c r="AT89">
        <v>-1E-3</v>
      </c>
      <c r="AU89">
        <v>1E-3</v>
      </c>
      <c r="AV89">
        <v>-1E-3</v>
      </c>
      <c r="AW89" s="16">
        <v>1.4999999999999999E-2</v>
      </c>
      <c r="AX89" s="16">
        <v>-1.4999999999999999E-2</v>
      </c>
    </row>
    <row r="90" spans="6:50">
      <c r="F90" s="17" t="str">
        <f t="shared" si="13"/>
        <v/>
      </c>
      <c r="G90" s="4"/>
      <c r="H90" s="2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22" t="e">
        <f t="shared" si="14"/>
        <v>#N/A</v>
      </c>
      <c r="X90" s="21" t="e">
        <f t="shared" si="15"/>
        <v>#N/A</v>
      </c>
      <c r="Y90" s="21" t="e">
        <f t="shared" si="16"/>
        <v>#N/A</v>
      </c>
      <c r="Z90" s="11" t="e">
        <f t="shared" si="17"/>
        <v>#N/A</v>
      </c>
      <c r="AA90" s="22" t="e">
        <f t="shared" si="18"/>
        <v>#N/A</v>
      </c>
      <c r="AB90" s="21" t="e">
        <f t="shared" si="19"/>
        <v>#N/A</v>
      </c>
      <c r="AC90" s="21" t="e">
        <f t="shared" si="20"/>
        <v>#N/A</v>
      </c>
      <c r="AD90" s="11" t="e">
        <f t="shared" si="21"/>
        <v>#N/A</v>
      </c>
      <c r="AE90" s="22" t="e">
        <f t="shared" si="22"/>
        <v>#N/A</v>
      </c>
      <c r="AF90" s="21" t="e">
        <f t="shared" si="23"/>
        <v>#N/A</v>
      </c>
      <c r="AG90" s="21" t="e">
        <f t="shared" si="24"/>
        <v>#N/A</v>
      </c>
      <c r="AH90" s="11" t="e">
        <f t="shared" si="25"/>
        <v>#N/A</v>
      </c>
      <c r="AI90">
        <v>2.5000000000000001E-2</v>
      </c>
      <c r="AJ90">
        <v>-2.5000000000000001E-2</v>
      </c>
      <c r="AK90">
        <v>1.5E-3</v>
      </c>
      <c r="AL90">
        <v>-1.5E-3</v>
      </c>
      <c r="AM90">
        <v>1.5E-3</v>
      </c>
      <c r="AN90">
        <v>-1.5E-3</v>
      </c>
      <c r="AO90" s="16">
        <v>2.5000000000000001E-2</v>
      </c>
      <c r="AP90" s="16">
        <v>-2.5000000000000001E-2</v>
      </c>
      <c r="AQ90">
        <v>1.4999999999999999E-2</v>
      </c>
      <c r="AR90">
        <v>-1.4999999999999999E-2</v>
      </c>
      <c r="AS90">
        <v>1E-3</v>
      </c>
      <c r="AT90">
        <v>-1E-3</v>
      </c>
      <c r="AU90">
        <v>1E-3</v>
      </c>
      <c r="AV90">
        <v>-1E-3</v>
      </c>
      <c r="AW90" s="16">
        <v>1.4999999999999999E-2</v>
      </c>
      <c r="AX90" s="16">
        <v>-1.4999999999999999E-2</v>
      </c>
    </row>
    <row r="91" spans="6:50">
      <c r="F91" s="17" t="str">
        <f t="shared" si="13"/>
        <v/>
      </c>
      <c r="G91" s="4"/>
      <c r="H91" s="2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22" t="e">
        <f t="shared" si="14"/>
        <v>#N/A</v>
      </c>
      <c r="X91" s="21" t="e">
        <f t="shared" si="15"/>
        <v>#N/A</v>
      </c>
      <c r="Y91" s="21" t="e">
        <f t="shared" si="16"/>
        <v>#N/A</v>
      </c>
      <c r="Z91" s="11" t="e">
        <f t="shared" si="17"/>
        <v>#N/A</v>
      </c>
      <c r="AA91" s="22" t="e">
        <f t="shared" si="18"/>
        <v>#N/A</v>
      </c>
      <c r="AB91" s="21" t="e">
        <f t="shared" si="19"/>
        <v>#N/A</v>
      </c>
      <c r="AC91" s="21" t="e">
        <f t="shared" si="20"/>
        <v>#N/A</v>
      </c>
      <c r="AD91" s="11" t="e">
        <f t="shared" si="21"/>
        <v>#N/A</v>
      </c>
      <c r="AE91" s="22" t="e">
        <f t="shared" si="22"/>
        <v>#N/A</v>
      </c>
      <c r="AF91" s="21" t="e">
        <f t="shared" si="23"/>
        <v>#N/A</v>
      </c>
      <c r="AG91" s="21" t="e">
        <f t="shared" si="24"/>
        <v>#N/A</v>
      </c>
      <c r="AH91" s="11" t="e">
        <f t="shared" si="25"/>
        <v>#N/A</v>
      </c>
      <c r="AI91">
        <v>2.5000000000000001E-2</v>
      </c>
      <c r="AJ91">
        <v>-2.5000000000000001E-2</v>
      </c>
      <c r="AK91">
        <v>1.5E-3</v>
      </c>
      <c r="AL91">
        <v>-1.5E-3</v>
      </c>
      <c r="AM91">
        <v>1.5E-3</v>
      </c>
      <c r="AN91">
        <v>-1.5E-3</v>
      </c>
      <c r="AO91" s="16">
        <v>2.5000000000000001E-2</v>
      </c>
      <c r="AP91" s="16">
        <v>-2.5000000000000001E-2</v>
      </c>
      <c r="AQ91">
        <v>1.4999999999999999E-2</v>
      </c>
      <c r="AR91">
        <v>-1.4999999999999999E-2</v>
      </c>
      <c r="AS91">
        <v>1E-3</v>
      </c>
      <c r="AT91">
        <v>-1E-3</v>
      </c>
      <c r="AU91">
        <v>1E-3</v>
      </c>
      <c r="AV91">
        <v>-1E-3</v>
      </c>
      <c r="AW91" s="16">
        <v>1.4999999999999999E-2</v>
      </c>
      <c r="AX91" s="16">
        <v>-1.4999999999999999E-2</v>
      </c>
    </row>
    <row r="92" spans="6:50">
      <c r="F92" s="17" t="str">
        <f t="shared" si="13"/>
        <v/>
      </c>
      <c r="G92" s="4"/>
      <c r="H92" s="2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22" t="e">
        <f t="shared" si="14"/>
        <v>#N/A</v>
      </c>
      <c r="X92" s="21" t="e">
        <f t="shared" si="15"/>
        <v>#N/A</v>
      </c>
      <c r="Y92" s="21" t="e">
        <f t="shared" si="16"/>
        <v>#N/A</v>
      </c>
      <c r="Z92" s="11" t="e">
        <f t="shared" si="17"/>
        <v>#N/A</v>
      </c>
      <c r="AA92" s="22" t="e">
        <f t="shared" si="18"/>
        <v>#N/A</v>
      </c>
      <c r="AB92" s="21" t="e">
        <f t="shared" si="19"/>
        <v>#N/A</v>
      </c>
      <c r="AC92" s="21" t="e">
        <f t="shared" si="20"/>
        <v>#N/A</v>
      </c>
      <c r="AD92" s="11" t="e">
        <f t="shared" si="21"/>
        <v>#N/A</v>
      </c>
      <c r="AE92" s="22" t="e">
        <f t="shared" si="22"/>
        <v>#N/A</v>
      </c>
      <c r="AF92" s="21" t="e">
        <f t="shared" si="23"/>
        <v>#N/A</v>
      </c>
      <c r="AG92" s="21" t="e">
        <f t="shared" si="24"/>
        <v>#N/A</v>
      </c>
      <c r="AH92" s="11" t="e">
        <f t="shared" si="25"/>
        <v>#N/A</v>
      </c>
      <c r="AI92">
        <v>2.5000000000000001E-2</v>
      </c>
      <c r="AJ92">
        <v>-2.5000000000000001E-2</v>
      </c>
      <c r="AK92">
        <v>1.5E-3</v>
      </c>
      <c r="AL92">
        <v>-1.5E-3</v>
      </c>
      <c r="AM92">
        <v>1.5E-3</v>
      </c>
      <c r="AN92">
        <v>-1.5E-3</v>
      </c>
      <c r="AO92" s="16">
        <v>2.5000000000000001E-2</v>
      </c>
      <c r="AP92" s="16">
        <v>-2.5000000000000001E-2</v>
      </c>
      <c r="AQ92">
        <v>1.4999999999999999E-2</v>
      </c>
      <c r="AR92">
        <v>-1.4999999999999999E-2</v>
      </c>
      <c r="AS92">
        <v>1E-3</v>
      </c>
      <c r="AT92">
        <v>-1E-3</v>
      </c>
      <c r="AU92">
        <v>1E-3</v>
      </c>
      <c r="AV92">
        <v>-1E-3</v>
      </c>
      <c r="AW92" s="16">
        <v>1.4999999999999999E-2</v>
      </c>
      <c r="AX92" s="16">
        <v>-1.4999999999999999E-2</v>
      </c>
    </row>
    <row r="93" spans="6:50">
      <c r="F93" s="17" t="str">
        <f t="shared" si="13"/>
        <v/>
      </c>
      <c r="G93" s="4"/>
      <c r="H93" s="2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22" t="e">
        <f t="shared" si="14"/>
        <v>#N/A</v>
      </c>
      <c r="X93" s="21" t="e">
        <f t="shared" si="15"/>
        <v>#N/A</v>
      </c>
      <c r="Y93" s="21" t="e">
        <f t="shared" si="16"/>
        <v>#N/A</v>
      </c>
      <c r="Z93" s="11" t="e">
        <f t="shared" si="17"/>
        <v>#N/A</v>
      </c>
      <c r="AA93" s="22" t="e">
        <f t="shared" si="18"/>
        <v>#N/A</v>
      </c>
      <c r="AB93" s="21" t="e">
        <f t="shared" si="19"/>
        <v>#N/A</v>
      </c>
      <c r="AC93" s="21" t="e">
        <f t="shared" si="20"/>
        <v>#N/A</v>
      </c>
      <c r="AD93" s="11" t="e">
        <f t="shared" si="21"/>
        <v>#N/A</v>
      </c>
      <c r="AE93" s="22" t="e">
        <f t="shared" si="22"/>
        <v>#N/A</v>
      </c>
      <c r="AF93" s="21" t="e">
        <f t="shared" si="23"/>
        <v>#N/A</v>
      </c>
      <c r="AG93" s="21" t="e">
        <f t="shared" si="24"/>
        <v>#N/A</v>
      </c>
      <c r="AH93" s="11" t="e">
        <f t="shared" si="25"/>
        <v>#N/A</v>
      </c>
      <c r="AI93">
        <v>2.5000000000000001E-2</v>
      </c>
      <c r="AJ93">
        <v>-2.5000000000000001E-2</v>
      </c>
      <c r="AK93">
        <v>1.5E-3</v>
      </c>
      <c r="AL93">
        <v>-1.5E-3</v>
      </c>
      <c r="AM93">
        <v>1.5E-3</v>
      </c>
      <c r="AN93">
        <v>-1.5E-3</v>
      </c>
      <c r="AO93" s="16">
        <v>2.5000000000000001E-2</v>
      </c>
      <c r="AP93" s="16">
        <v>-2.5000000000000001E-2</v>
      </c>
      <c r="AQ93">
        <v>1.4999999999999999E-2</v>
      </c>
      <c r="AR93">
        <v>-1.4999999999999999E-2</v>
      </c>
      <c r="AS93">
        <v>1E-3</v>
      </c>
      <c r="AT93">
        <v>-1E-3</v>
      </c>
      <c r="AU93">
        <v>1E-3</v>
      </c>
      <c r="AV93">
        <v>-1E-3</v>
      </c>
      <c r="AW93" s="16">
        <v>1.4999999999999999E-2</v>
      </c>
      <c r="AX93" s="16">
        <v>-1.4999999999999999E-2</v>
      </c>
    </row>
    <row r="94" spans="6:50">
      <c r="F94" s="17" t="str">
        <f t="shared" si="13"/>
        <v/>
      </c>
      <c r="G94" s="4"/>
      <c r="H94" s="2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22" t="e">
        <f t="shared" si="14"/>
        <v>#N/A</v>
      </c>
      <c r="X94" s="21" t="e">
        <f t="shared" si="15"/>
        <v>#N/A</v>
      </c>
      <c r="Y94" s="21" t="e">
        <f t="shared" si="16"/>
        <v>#N/A</v>
      </c>
      <c r="Z94" s="11" t="e">
        <f t="shared" si="17"/>
        <v>#N/A</v>
      </c>
      <c r="AA94" s="22" t="e">
        <f t="shared" si="18"/>
        <v>#N/A</v>
      </c>
      <c r="AB94" s="21" t="e">
        <f t="shared" si="19"/>
        <v>#N/A</v>
      </c>
      <c r="AC94" s="21" t="e">
        <f t="shared" si="20"/>
        <v>#N/A</v>
      </c>
      <c r="AD94" s="11" t="e">
        <f t="shared" si="21"/>
        <v>#N/A</v>
      </c>
      <c r="AE94" s="22" t="e">
        <f t="shared" si="22"/>
        <v>#N/A</v>
      </c>
      <c r="AF94" s="21" t="e">
        <f t="shared" si="23"/>
        <v>#N/A</v>
      </c>
      <c r="AG94" s="21" t="e">
        <f t="shared" si="24"/>
        <v>#N/A</v>
      </c>
      <c r="AH94" s="11" t="e">
        <f t="shared" si="25"/>
        <v>#N/A</v>
      </c>
      <c r="AI94">
        <v>2.5000000000000001E-2</v>
      </c>
      <c r="AJ94">
        <v>-2.5000000000000001E-2</v>
      </c>
      <c r="AK94">
        <v>1.5E-3</v>
      </c>
      <c r="AL94">
        <v>-1.5E-3</v>
      </c>
      <c r="AM94">
        <v>1.5E-3</v>
      </c>
      <c r="AN94">
        <v>-1.5E-3</v>
      </c>
      <c r="AO94" s="16">
        <v>2.5000000000000001E-2</v>
      </c>
      <c r="AP94" s="16">
        <v>-2.5000000000000001E-2</v>
      </c>
      <c r="AQ94">
        <v>1.4999999999999999E-2</v>
      </c>
      <c r="AR94">
        <v>-1.4999999999999999E-2</v>
      </c>
      <c r="AS94">
        <v>1E-3</v>
      </c>
      <c r="AT94">
        <v>-1E-3</v>
      </c>
      <c r="AU94">
        <v>1E-3</v>
      </c>
      <c r="AV94">
        <v>-1E-3</v>
      </c>
      <c r="AW94" s="16">
        <v>1.4999999999999999E-2</v>
      </c>
      <c r="AX94" s="16">
        <v>-1.4999999999999999E-2</v>
      </c>
    </row>
    <row r="95" spans="6:50">
      <c r="F95" s="17" t="str">
        <f t="shared" si="13"/>
        <v/>
      </c>
      <c r="G95" s="4"/>
      <c r="H95" s="2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22" t="e">
        <f t="shared" si="14"/>
        <v>#N/A</v>
      </c>
      <c r="X95" s="21" t="e">
        <f t="shared" si="15"/>
        <v>#N/A</v>
      </c>
      <c r="Y95" s="21" t="e">
        <f t="shared" si="16"/>
        <v>#N/A</v>
      </c>
      <c r="Z95" s="11" t="e">
        <f t="shared" si="17"/>
        <v>#N/A</v>
      </c>
      <c r="AA95" s="22" t="e">
        <f t="shared" si="18"/>
        <v>#N/A</v>
      </c>
      <c r="AB95" s="21" t="e">
        <f t="shared" si="19"/>
        <v>#N/A</v>
      </c>
      <c r="AC95" s="21" t="e">
        <f t="shared" si="20"/>
        <v>#N/A</v>
      </c>
      <c r="AD95" s="11" t="e">
        <f t="shared" si="21"/>
        <v>#N/A</v>
      </c>
      <c r="AE95" s="22" t="e">
        <f t="shared" si="22"/>
        <v>#N/A</v>
      </c>
      <c r="AF95" s="21" t="e">
        <f t="shared" si="23"/>
        <v>#N/A</v>
      </c>
      <c r="AG95" s="21" t="e">
        <f t="shared" si="24"/>
        <v>#N/A</v>
      </c>
      <c r="AH95" s="11" t="e">
        <f t="shared" si="25"/>
        <v>#N/A</v>
      </c>
      <c r="AI95">
        <v>2.5000000000000001E-2</v>
      </c>
      <c r="AJ95">
        <v>-2.5000000000000001E-2</v>
      </c>
      <c r="AK95">
        <v>1.5E-3</v>
      </c>
      <c r="AL95">
        <v>-1.5E-3</v>
      </c>
      <c r="AM95">
        <v>1.5E-3</v>
      </c>
      <c r="AN95">
        <v>-1.5E-3</v>
      </c>
      <c r="AO95" s="16">
        <v>2.5000000000000001E-2</v>
      </c>
      <c r="AP95" s="16">
        <v>-2.5000000000000001E-2</v>
      </c>
      <c r="AQ95">
        <v>1.4999999999999999E-2</v>
      </c>
      <c r="AR95">
        <v>-1.4999999999999999E-2</v>
      </c>
      <c r="AS95">
        <v>1E-3</v>
      </c>
      <c r="AT95">
        <v>-1E-3</v>
      </c>
      <c r="AU95">
        <v>1E-3</v>
      </c>
      <c r="AV95">
        <v>-1E-3</v>
      </c>
      <c r="AW95" s="16">
        <v>1.4999999999999999E-2</v>
      </c>
      <c r="AX95" s="16">
        <v>-1.4999999999999999E-2</v>
      </c>
    </row>
    <row r="96" spans="6:50">
      <c r="F96" s="17" t="str">
        <f t="shared" si="13"/>
        <v/>
      </c>
      <c r="G96" s="4"/>
      <c r="H96" s="2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22" t="e">
        <f t="shared" si="14"/>
        <v>#N/A</v>
      </c>
      <c r="X96" s="21" t="e">
        <f t="shared" si="15"/>
        <v>#N/A</v>
      </c>
      <c r="Y96" s="21" t="e">
        <f t="shared" si="16"/>
        <v>#N/A</v>
      </c>
      <c r="Z96" s="11" t="e">
        <f t="shared" si="17"/>
        <v>#N/A</v>
      </c>
      <c r="AA96" s="22" t="e">
        <f t="shared" si="18"/>
        <v>#N/A</v>
      </c>
      <c r="AB96" s="21" t="e">
        <f t="shared" si="19"/>
        <v>#N/A</v>
      </c>
      <c r="AC96" s="21" t="e">
        <f t="shared" si="20"/>
        <v>#N/A</v>
      </c>
      <c r="AD96" s="11" t="e">
        <f t="shared" si="21"/>
        <v>#N/A</v>
      </c>
      <c r="AE96" s="22" t="e">
        <f t="shared" si="22"/>
        <v>#N/A</v>
      </c>
      <c r="AF96" s="21" t="e">
        <f t="shared" si="23"/>
        <v>#N/A</v>
      </c>
      <c r="AG96" s="21" t="e">
        <f t="shared" si="24"/>
        <v>#N/A</v>
      </c>
      <c r="AH96" s="11" t="e">
        <f t="shared" si="25"/>
        <v>#N/A</v>
      </c>
      <c r="AI96">
        <v>2.5000000000000001E-2</v>
      </c>
      <c r="AJ96">
        <v>-2.5000000000000001E-2</v>
      </c>
      <c r="AK96">
        <v>1.5E-3</v>
      </c>
      <c r="AL96">
        <v>-1.5E-3</v>
      </c>
      <c r="AM96">
        <v>1.5E-3</v>
      </c>
      <c r="AN96">
        <v>-1.5E-3</v>
      </c>
      <c r="AO96" s="16">
        <v>2.5000000000000001E-2</v>
      </c>
      <c r="AP96" s="16">
        <v>-2.5000000000000001E-2</v>
      </c>
      <c r="AQ96">
        <v>1.4999999999999999E-2</v>
      </c>
      <c r="AR96">
        <v>-1.4999999999999999E-2</v>
      </c>
      <c r="AS96">
        <v>1E-3</v>
      </c>
      <c r="AT96">
        <v>-1E-3</v>
      </c>
      <c r="AU96">
        <v>1E-3</v>
      </c>
      <c r="AV96">
        <v>-1E-3</v>
      </c>
      <c r="AW96" s="16">
        <v>1.4999999999999999E-2</v>
      </c>
      <c r="AX96" s="16">
        <v>-1.4999999999999999E-2</v>
      </c>
    </row>
    <row r="97" spans="6:50">
      <c r="F97" s="17" t="str">
        <f t="shared" si="13"/>
        <v/>
      </c>
      <c r="G97" s="4"/>
      <c r="H97" s="2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22" t="e">
        <f t="shared" si="14"/>
        <v>#N/A</v>
      </c>
      <c r="X97" s="21" t="e">
        <f t="shared" si="15"/>
        <v>#N/A</v>
      </c>
      <c r="Y97" s="21" t="e">
        <f t="shared" si="16"/>
        <v>#N/A</v>
      </c>
      <c r="Z97" s="11" t="e">
        <f t="shared" si="17"/>
        <v>#N/A</v>
      </c>
      <c r="AA97" s="22" t="e">
        <f t="shared" si="18"/>
        <v>#N/A</v>
      </c>
      <c r="AB97" s="21" t="e">
        <f t="shared" si="19"/>
        <v>#N/A</v>
      </c>
      <c r="AC97" s="21" t="e">
        <f t="shared" si="20"/>
        <v>#N/A</v>
      </c>
      <c r="AD97" s="11" t="e">
        <f t="shared" si="21"/>
        <v>#N/A</v>
      </c>
      <c r="AE97" s="22" t="e">
        <f t="shared" si="22"/>
        <v>#N/A</v>
      </c>
      <c r="AF97" s="21" t="e">
        <f t="shared" si="23"/>
        <v>#N/A</v>
      </c>
      <c r="AG97" s="21" t="e">
        <f t="shared" si="24"/>
        <v>#N/A</v>
      </c>
      <c r="AH97" s="11" t="e">
        <f t="shared" si="25"/>
        <v>#N/A</v>
      </c>
      <c r="AI97">
        <v>2.5000000000000001E-2</v>
      </c>
      <c r="AJ97">
        <v>-2.5000000000000001E-2</v>
      </c>
      <c r="AK97">
        <v>1.5E-3</v>
      </c>
      <c r="AL97">
        <v>-1.5E-3</v>
      </c>
      <c r="AM97">
        <v>1.5E-3</v>
      </c>
      <c r="AN97">
        <v>-1.5E-3</v>
      </c>
      <c r="AO97" s="16">
        <v>2.5000000000000001E-2</v>
      </c>
      <c r="AP97" s="16">
        <v>-2.5000000000000001E-2</v>
      </c>
      <c r="AQ97">
        <v>1.4999999999999999E-2</v>
      </c>
      <c r="AR97">
        <v>-1.4999999999999999E-2</v>
      </c>
      <c r="AS97">
        <v>1E-3</v>
      </c>
      <c r="AT97">
        <v>-1E-3</v>
      </c>
      <c r="AU97">
        <v>1E-3</v>
      </c>
      <c r="AV97">
        <v>-1E-3</v>
      </c>
      <c r="AW97" s="16">
        <v>1.4999999999999999E-2</v>
      </c>
      <c r="AX97" s="16">
        <v>-1.4999999999999999E-2</v>
      </c>
    </row>
    <row r="98" spans="6:50">
      <c r="F98" s="17" t="str">
        <f t="shared" si="13"/>
        <v/>
      </c>
      <c r="G98" s="4"/>
      <c r="H98" s="2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22" t="e">
        <f t="shared" si="14"/>
        <v>#N/A</v>
      </c>
      <c r="X98" s="21" t="e">
        <f t="shared" si="15"/>
        <v>#N/A</v>
      </c>
      <c r="Y98" s="21" t="e">
        <f t="shared" si="16"/>
        <v>#N/A</v>
      </c>
      <c r="Z98" s="11" t="e">
        <f t="shared" si="17"/>
        <v>#N/A</v>
      </c>
      <c r="AA98" s="22" t="e">
        <f t="shared" si="18"/>
        <v>#N/A</v>
      </c>
      <c r="AB98" s="21" t="e">
        <f t="shared" si="19"/>
        <v>#N/A</v>
      </c>
      <c r="AC98" s="21" t="e">
        <f t="shared" si="20"/>
        <v>#N/A</v>
      </c>
      <c r="AD98" s="11" t="e">
        <f t="shared" si="21"/>
        <v>#N/A</v>
      </c>
      <c r="AE98" s="22" t="e">
        <f t="shared" si="22"/>
        <v>#N/A</v>
      </c>
      <c r="AF98" s="21" t="e">
        <f t="shared" si="23"/>
        <v>#N/A</v>
      </c>
      <c r="AG98" s="21" t="e">
        <f t="shared" si="24"/>
        <v>#N/A</v>
      </c>
      <c r="AH98" s="11" t="e">
        <f t="shared" si="25"/>
        <v>#N/A</v>
      </c>
      <c r="AI98">
        <v>2.5000000000000001E-2</v>
      </c>
      <c r="AJ98">
        <v>-2.5000000000000001E-2</v>
      </c>
      <c r="AK98">
        <v>1.5E-3</v>
      </c>
      <c r="AL98">
        <v>-1.5E-3</v>
      </c>
      <c r="AM98">
        <v>1.5E-3</v>
      </c>
      <c r="AN98">
        <v>-1.5E-3</v>
      </c>
      <c r="AO98" s="16">
        <v>2.5000000000000001E-2</v>
      </c>
      <c r="AP98" s="16">
        <v>-2.5000000000000001E-2</v>
      </c>
      <c r="AQ98">
        <v>1.4999999999999999E-2</v>
      </c>
      <c r="AR98">
        <v>-1.4999999999999999E-2</v>
      </c>
      <c r="AS98">
        <v>1E-3</v>
      </c>
      <c r="AT98">
        <v>-1E-3</v>
      </c>
      <c r="AU98">
        <v>1E-3</v>
      </c>
      <c r="AV98">
        <v>-1E-3</v>
      </c>
      <c r="AW98" s="16">
        <v>1.4999999999999999E-2</v>
      </c>
      <c r="AX98" s="16">
        <v>-1.4999999999999999E-2</v>
      </c>
    </row>
    <row r="99" spans="6:50">
      <c r="F99" s="17" t="str">
        <f t="shared" si="13"/>
        <v/>
      </c>
      <c r="G99" s="4"/>
      <c r="H99" s="2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22" t="e">
        <f t="shared" si="14"/>
        <v>#N/A</v>
      </c>
      <c r="X99" s="21" t="e">
        <f t="shared" si="15"/>
        <v>#N/A</v>
      </c>
      <c r="Y99" s="21" t="e">
        <f t="shared" si="16"/>
        <v>#N/A</v>
      </c>
      <c r="Z99" s="11" t="e">
        <f t="shared" si="17"/>
        <v>#N/A</v>
      </c>
      <c r="AA99" s="22" t="e">
        <f t="shared" si="18"/>
        <v>#N/A</v>
      </c>
      <c r="AB99" s="21" t="e">
        <f t="shared" si="19"/>
        <v>#N/A</v>
      </c>
      <c r="AC99" s="21" t="e">
        <f t="shared" si="20"/>
        <v>#N/A</v>
      </c>
      <c r="AD99" s="11" t="e">
        <f t="shared" si="21"/>
        <v>#N/A</v>
      </c>
      <c r="AE99" s="22" t="e">
        <f t="shared" si="22"/>
        <v>#N/A</v>
      </c>
      <c r="AF99" s="21" t="e">
        <f t="shared" si="23"/>
        <v>#N/A</v>
      </c>
      <c r="AG99" s="21" t="e">
        <f t="shared" si="24"/>
        <v>#N/A</v>
      </c>
      <c r="AH99" s="11" t="e">
        <f t="shared" si="25"/>
        <v>#N/A</v>
      </c>
      <c r="AI99">
        <v>2.5000000000000001E-2</v>
      </c>
      <c r="AJ99">
        <v>-2.5000000000000001E-2</v>
      </c>
      <c r="AK99">
        <v>1.5E-3</v>
      </c>
      <c r="AL99">
        <v>-1.5E-3</v>
      </c>
      <c r="AM99">
        <v>1.5E-3</v>
      </c>
      <c r="AN99">
        <v>-1.5E-3</v>
      </c>
      <c r="AO99" s="16">
        <v>2.5000000000000001E-2</v>
      </c>
      <c r="AP99" s="16">
        <v>-2.5000000000000001E-2</v>
      </c>
      <c r="AQ99">
        <v>1.4999999999999999E-2</v>
      </c>
      <c r="AR99">
        <v>-1.4999999999999999E-2</v>
      </c>
      <c r="AS99">
        <v>1E-3</v>
      </c>
      <c r="AT99">
        <v>-1E-3</v>
      </c>
      <c r="AU99">
        <v>1E-3</v>
      </c>
      <c r="AV99">
        <v>-1E-3</v>
      </c>
      <c r="AW99" s="16">
        <v>1.4999999999999999E-2</v>
      </c>
      <c r="AX99" s="16">
        <v>-1.4999999999999999E-2</v>
      </c>
    </row>
    <row r="100" spans="6:50">
      <c r="F100" s="17" t="str">
        <f t="shared" si="13"/>
        <v/>
      </c>
      <c r="G100" s="4"/>
      <c r="H100" s="2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22" t="e">
        <f t="shared" si="14"/>
        <v>#N/A</v>
      </c>
      <c r="X100" s="21" t="e">
        <f t="shared" si="15"/>
        <v>#N/A</v>
      </c>
      <c r="Y100" s="21" t="e">
        <f t="shared" si="16"/>
        <v>#N/A</v>
      </c>
      <c r="Z100" s="11" t="e">
        <f t="shared" si="17"/>
        <v>#N/A</v>
      </c>
      <c r="AA100" s="22" t="e">
        <f t="shared" si="18"/>
        <v>#N/A</v>
      </c>
      <c r="AB100" s="21" t="e">
        <f t="shared" si="19"/>
        <v>#N/A</v>
      </c>
      <c r="AC100" s="21" t="e">
        <f t="shared" si="20"/>
        <v>#N/A</v>
      </c>
      <c r="AD100" s="11" t="e">
        <f t="shared" si="21"/>
        <v>#N/A</v>
      </c>
      <c r="AE100" s="22" t="e">
        <f t="shared" si="22"/>
        <v>#N/A</v>
      </c>
      <c r="AF100" s="21" t="e">
        <f t="shared" si="23"/>
        <v>#N/A</v>
      </c>
      <c r="AG100" s="21" t="e">
        <f t="shared" si="24"/>
        <v>#N/A</v>
      </c>
      <c r="AH100" s="11" t="e">
        <f t="shared" si="25"/>
        <v>#N/A</v>
      </c>
      <c r="AI100">
        <v>2.5000000000000001E-2</v>
      </c>
      <c r="AJ100">
        <v>-2.5000000000000001E-2</v>
      </c>
      <c r="AK100">
        <v>1.5E-3</v>
      </c>
      <c r="AL100">
        <v>-1.5E-3</v>
      </c>
      <c r="AM100">
        <v>1.5E-3</v>
      </c>
      <c r="AN100">
        <v>-1.5E-3</v>
      </c>
      <c r="AO100" s="16">
        <v>2.5000000000000001E-2</v>
      </c>
      <c r="AP100" s="16">
        <v>-2.5000000000000001E-2</v>
      </c>
      <c r="AQ100">
        <v>1.4999999999999999E-2</v>
      </c>
      <c r="AR100">
        <v>-1.4999999999999999E-2</v>
      </c>
      <c r="AS100">
        <v>1E-3</v>
      </c>
      <c r="AT100">
        <v>-1E-3</v>
      </c>
      <c r="AU100">
        <v>1E-3</v>
      </c>
      <c r="AV100">
        <v>-1E-3</v>
      </c>
      <c r="AW100" s="16">
        <v>1.4999999999999999E-2</v>
      </c>
      <c r="AX100" s="16">
        <v>-1.4999999999999999E-2</v>
      </c>
    </row>
  </sheetData>
  <mergeCells count="6">
    <mergeCell ref="AE4:AH4"/>
    <mergeCell ref="H4:L4"/>
    <mergeCell ref="M4:Q4"/>
    <mergeCell ref="R4:V4"/>
    <mergeCell ref="W4:Z4"/>
    <mergeCell ref="AA4:AD4"/>
  </mergeCells>
  <phoneticPr fontId="1"/>
  <conditionalFormatting sqref="W6:AH100">
    <cfRule type="containsErrors" dxfId="3" priority="1">
      <formula>ISERROR(W6)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S100"/>
  <sheetViews>
    <sheetView showGridLines="0" topLeftCell="J1" zoomScale="70" zoomScaleNormal="70" workbookViewId="0">
      <pane ySplit="5" topLeftCell="A6" activePane="bottomLeft" state="frozen"/>
      <selection pane="bottomLeft" activeCell="AY42" sqref="AY42"/>
    </sheetView>
  </sheetViews>
  <sheetFormatPr defaultRowHeight="13.5"/>
  <cols>
    <col min="1" max="5" width="9" style="18"/>
    <col min="6" max="6" width="16.125" style="18" bestFit="1" customWidth="1"/>
    <col min="7" max="7" width="20.625" style="19" bestFit="1" customWidth="1"/>
    <col min="8" max="8" width="11.25" style="26" customWidth="1"/>
    <col min="9" max="9" width="11.25" style="20" customWidth="1"/>
    <col min="10" max="10" width="9.75" style="20" customWidth="1"/>
    <col min="11" max="11" width="9.25" style="20" customWidth="1"/>
    <col min="12" max="13" width="9.75" style="20" customWidth="1"/>
    <col min="14" max="14" width="10.125" style="20" customWidth="1"/>
    <col min="15" max="15" width="10" style="20" customWidth="1"/>
    <col min="16" max="22" width="9" style="20"/>
    <col min="23" max="16384" width="9" style="18"/>
  </cols>
  <sheetData>
    <row r="1" spans="1:279" customFormat="1">
      <c r="G1" s="7"/>
      <c r="H1" s="23"/>
      <c r="K1" s="1"/>
      <c r="L1" s="1"/>
      <c r="M1" s="27"/>
      <c r="R1" s="8"/>
    </row>
    <row r="2" spans="1:279" customFormat="1">
      <c r="G2" s="10"/>
      <c r="H2" s="24"/>
      <c r="I2" s="18"/>
      <c r="J2" s="10"/>
      <c r="K2" s="1"/>
      <c r="L2" s="1"/>
      <c r="M2" s="27"/>
      <c r="R2" s="8"/>
    </row>
    <row r="3" spans="1:279" customFormat="1">
      <c r="G3" s="10"/>
      <c r="H3" s="24"/>
      <c r="I3" s="13">
        <v>3.1103700000000001</v>
      </c>
      <c r="J3" s="13">
        <v>0.29050100000000001</v>
      </c>
      <c r="K3" s="14">
        <v>0.28018300000000002</v>
      </c>
      <c r="L3" s="14">
        <v>27.681999999999999</v>
      </c>
      <c r="M3" s="27"/>
      <c r="N3" s="13">
        <v>3.1324200000000002</v>
      </c>
      <c r="O3" s="13">
        <v>0.28729700000000002</v>
      </c>
      <c r="P3" s="14">
        <v>0.27366200000000002</v>
      </c>
      <c r="Q3" s="14">
        <v>27.869</v>
      </c>
      <c r="R3" s="27"/>
      <c r="S3" s="13">
        <v>3.1106600000000002</v>
      </c>
      <c r="T3" s="13">
        <v>0.28251900000000002</v>
      </c>
      <c r="U3" s="14">
        <v>0.26605899999999999</v>
      </c>
      <c r="V3" s="14">
        <v>27.683</v>
      </c>
    </row>
    <row r="4" spans="1:279" customFormat="1">
      <c r="A4" t="s">
        <v>15</v>
      </c>
      <c r="G4" s="3"/>
      <c r="H4" s="34" t="s">
        <v>5</v>
      </c>
      <c r="I4" s="34"/>
      <c r="J4" s="34"/>
      <c r="K4" s="34"/>
      <c r="L4" s="34"/>
      <c r="M4" s="35" t="s">
        <v>6</v>
      </c>
      <c r="N4" s="36"/>
      <c r="O4" s="36"/>
      <c r="P4" s="36"/>
      <c r="Q4" s="37"/>
      <c r="R4" s="35" t="s">
        <v>7</v>
      </c>
      <c r="S4" s="36"/>
      <c r="T4" s="36"/>
      <c r="U4" s="36"/>
      <c r="V4" s="37"/>
      <c r="W4" s="34" t="s">
        <v>5</v>
      </c>
      <c r="X4" s="34"/>
      <c r="Y4" s="34"/>
      <c r="Z4" s="34"/>
      <c r="AA4" s="34" t="s">
        <v>6</v>
      </c>
      <c r="AB4" s="34"/>
      <c r="AC4" s="34"/>
      <c r="AD4" s="34"/>
      <c r="AE4" s="34" t="s">
        <v>7</v>
      </c>
      <c r="AF4" s="34"/>
      <c r="AG4" s="34"/>
      <c r="AH4" s="34"/>
      <c r="AI4" t="s">
        <v>12</v>
      </c>
      <c r="AJ4" t="s">
        <v>12</v>
      </c>
      <c r="AK4" t="s">
        <v>12</v>
      </c>
      <c r="AL4" t="s">
        <v>12</v>
      </c>
      <c r="AM4" t="s">
        <v>12</v>
      </c>
      <c r="AN4" t="s">
        <v>12</v>
      </c>
      <c r="AO4" t="s">
        <v>12</v>
      </c>
      <c r="AP4" t="s">
        <v>12</v>
      </c>
      <c r="AQ4" t="s">
        <v>13</v>
      </c>
      <c r="AR4" t="s">
        <v>13</v>
      </c>
      <c r="AS4" t="s">
        <v>13</v>
      </c>
      <c r="AT4" t="s">
        <v>13</v>
      </c>
      <c r="AU4" t="s">
        <v>13</v>
      </c>
      <c r="AV4" t="s">
        <v>13</v>
      </c>
      <c r="AW4" t="s">
        <v>13</v>
      </c>
      <c r="AX4" t="s">
        <v>13</v>
      </c>
      <c r="BA4" t="s">
        <v>51</v>
      </c>
      <c r="BF4" t="s">
        <v>52</v>
      </c>
    </row>
    <row r="5" spans="1:279" customFormat="1">
      <c r="A5" s="2"/>
      <c r="B5" s="2" t="s">
        <v>1</v>
      </c>
      <c r="C5" s="2" t="s">
        <v>2</v>
      </c>
      <c r="D5" s="2" t="s">
        <v>3</v>
      </c>
      <c r="E5" s="2" t="s">
        <v>4</v>
      </c>
      <c r="G5" s="2" t="s">
        <v>0</v>
      </c>
      <c r="H5" s="5" t="s">
        <v>14</v>
      </c>
      <c r="I5" s="2" t="s">
        <v>1</v>
      </c>
      <c r="J5" s="2" t="s">
        <v>2</v>
      </c>
      <c r="K5" s="2" t="s">
        <v>3</v>
      </c>
      <c r="L5" s="2" t="s">
        <v>4</v>
      </c>
      <c r="M5" s="5" t="s">
        <v>14</v>
      </c>
      <c r="N5" s="2" t="s">
        <v>1</v>
      </c>
      <c r="O5" s="2" t="s">
        <v>2</v>
      </c>
      <c r="P5" s="2" t="s">
        <v>3</v>
      </c>
      <c r="Q5" s="2" t="s">
        <v>4</v>
      </c>
      <c r="R5" s="5" t="s">
        <v>14</v>
      </c>
      <c r="S5" s="2" t="s">
        <v>1</v>
      </c>
      <c r="T5" s="2" t="s">
        <v>2</v>
      </c>
      <c r="U5" s="2" t="s">
        <v>3</v>
      </c>
      <c r="V5" s="2" t="s">
        <v>4</v>
      </c>
      <c r="W5" s="2" t="s">
        <v>1</v>
      </c>
      <c r="X5" s="2" t="s">
        <v>2</v>
      </c>
      <c r="Y5" s="2" t="s">
        <v>3</v>
      </c>
      <c r="Z5" s="2" t="s">
        <v>4</v>
      </c>
      <c r="AA5" s="2" t="s">
        <v>1</v>
      </c>
      <c r="AB5" s="2" t="s">
        <v>2</v>
      </c>
      <c r="AC5" s="2" t="s">
        <v>3</v>
      </c>
      <c r="AD5" s="2" t="s">
        <v>4</v>
      </c>
      <c r="AE5" s="2" t="s">
        <v>1</v>
      </c>
      <c r="AF5" s="2" t="s">
        <v>2</v>
      </c>
      <c r="AG5" s="2" t="s">
        <v>3</v>
      </c>
      <c r="AH5" s="2" t="s">
        <v>4</v>
      </c>
      <c r="AI5" s="15" t="s">
        <v>1</v>
      </c>
      <c r="AK5" t="s">
        <v>2</v>
      </c>
      <c r="AM5" t="s">
        <v>3</v>
      </c>
      <c r="AO5" t="s">
        <v>4</v>
      </c>
      <c r="AQ5" s="15" t="s">
        <v>1</v>
      </c>
      <c r="AS5" t="s">
        <v>2</v>
      </c>
      <c r="AU5" t="s">
        <v>3</v>
      </c>
      <c r="AW5" t="s">
        <v>4</v>
      </c>
      <c r="BA5" t="s">
        <v>47</v>
      </c>
      <c r="BB5" t="s">
        <v>48</v>
      </c>
      <c r="BC5" t="s">
        <v>49</v>
      </c>
      <c r="BD5" t="s">
        <v>50</v>
      </c>
      <c r="BF5" t="s">
        <v>47</v>
      </c>
      <c r="BG5" t="s">
        <v>48</v>
      </c>
      <c r="BH5" t="s">
        <v>49</v>
      </c>
      <c r="BI5" t="s">
        <v>50</v>
      </c>
    </row>
    <row r="6" spans="1:279" customFormat="1">
      <c r="A6" s="2">
        <v>1</v>
      </c>
      <c r="B6" s="2">
        <v>2.8656600000000001</v>
      </c>
      <c r="C6" s="2">
        <v>0.34143200000000001</v>
      </c>
      <c r="D6" s="2">
        <v>0.35612100000000002</v>
      </c>
      <c r="E6" s="2">
        <v>34.524522609999998</v>
      </c>
      <c r="F6" s="17">
        <f>IF(G6="","",G6)</f>
        <v>44243.609791666669</v>
      </c>
      <c r="G6" s="9">
        <v>44243.609791666669</v>
      </c>
      <c r="H6" s="25">
        <v>1</v>
      </c>
      <c r="I6" s="12">
        <v>2.859</v>
      </c>
      <c r="J6" s="5">
        <v>0.33983000000000002</v>
      </c>
      <c r="K6" s="5">
        <v>0.35188999999999998</v>
      </c>
      <c r="L6" s="5">
        <v>34.780999999999999</v>
      </c>
      <c r="M6" s="5">
        <v>2</v>
      </c>
      <c r="N6" s="5">
        <v>2.8730000000000002</v>
      </c>
      <c r="O6" s="5">
        <v>0.33067000000000002</v>
      </c>
      <c r="P6" s="5">
        <v>0.34952</v>
      </c>
      <c r="Q6" s="5">
        <v>34.993000000000002</v>
      </c>
      <c r="R6" s="5">
        <v>3</v>
      </c>
      <c r="S6" s="5">
        <v>2.8610000000000002</v>
      </c>
      <c r="T6" s="5">
        <v>0.30780999999999997</v>
      </c>
      <c r="U6" s="5">
        <v>0.32201999999999997</v>
      </c>
      <c r="V6" s="5">
        <v>33.43</v>
      </c>
      <c r="W6" s="22">
        <f>IF(H6="",NA(),I6-VLOOKUP(H6,$A$6:$E$35,2,FALSE))</f>
        <v>-6.6600000000001103E-3</v>
      </c>
      <c r="X6" s="21">
        <f>IF(H6="",NA(),J6-VLOOKUP(H6,$A$6:$E$35,3,FALSE))</f>
        <v>-1.6019999999999923E-3</v>
      </c>
      <c r="Y6" s="21">
        <f>IF(H6="",NA(),K6-VLOOKUP(H6,$A$6:$E$35,4,FALSE))</f>
        <v>-4.2310000000000403E-3</v>
      </c>
      <c r="Z6" s="11">
        <f>IF(H6="",NA(),L6/VLOOKUP(H6,$A$6:$E$35,5,FALSE)-1)</f>
        <v>7.428846819903967E-3</v>
      </c>
      <c r="AA6" s="22">
        <f>IF(M6="",NA(),N6-VLOOKUP(M6,$A$6:$E$35,2,FALSE))</f>
        <v>-7.4299999999998256E-3</v>
      </c>
      <c r="AB6" s="21">
        <f>IF(M6="",NA(),O6-VLOOKUP(M6,$A$6:$E$35,3,FALSE))</f>
        <v>-1.0602E-2</v>
      </c>
      <c r="AC6" s="21">
        <f>IF(M6="",NA(),P6-VLOOKUP(M6,$A$6:$E$35,4,FALSE))</f>
        <v>-4.9480000000000079E-3</v>
      </c>
      <c r="AD6" s="11">
        <f>IF(M6="",NA(),Q6/VLOOKUP(M6,$A$6:$E$35,5,FALSE)-1)</f>
        <v>1.0196393174855434E-2</v>
      </c>
      <c r="AE6" s="22">
        <f>IF(R6="",NA(),S6-VLOOKUP(R6,$A$6:$E$35,2,FALSE))</f>
        <v>-2.3899999999996702E-3</v>
      </c>
      <c r="AF6" s="21">
        <f>IF(R6="",NA(),T6-VLOOKUP(R6,$A$6:$E$35,3,FALSE))</f>
        <v>-3.442400000000001E-2</v>
      </c>
      <c r="AG6" s="21">
        <f>IF(R6="",NA(),U6-VLOOKUP(R6,$A$6:$E$35,4,FALSE))</f>
        <v>-3.4262000000000015E-2</v>
      </c>
      <c r="AH6" s="11">
        <f>IF(R6="",NA(),V6/VLOOKUP(R6,$A$6:$E$35,5,FALSE)-1)</f>
        <v>-3.0514605289351127E-2</v>
      </c>
      <c r="AI6">
        <v>2.5000000000000001E-2</v>
      </c>
      <c r="AJ6">
        <v>-2.5000000000000001E-2</v>
      </c>
      <c r="AK6">
        <v>1.5E-3</v>
      </c>
      <c r="AL6">
        <v>-1.5E-3</v>
      </c>
      <c r="AM6">
        <v>1.5E-3</v>
      </c>
      <c r="AN6">
        <v>-1.5E-3</v>
      </c>
      <c r="AO6" s="16">
        <v>2.5000000000000001E-2</v>
      </c>
      <c r="AP6" s="16">
        <v>-2.5000000000000001E-2</v>
      </c>
      <c r="AQ6">
        <v>1.4999999999999999E-2</v>
      </c>
      <c r="AR6">
        <v>-1.4999999999999999E-2</v>
      </c>
      <c r="AS6">
        <v>1E-3</v>
      </c>
      <c r="AT6">
        <v>-1E-3</v>
      </c>
      <c r="AU6">
        <v>1E-3</v>
      </c>
      <c r="AV6">
        <v>-1E-3</v>
      </c>
      <c r="AW6" s="16">
        <v>1.4999999999999999E-2</v>
      </c>
      <c r="AX6" s="16">
        <v>-1.4999999999999999E-2</v>
      </c>
    </row>
    <row r="7" spans="1:279" customFormat="1">
      <c r="A7" s="2">
        <v>2</v>
      </c>
      <c r="B7" s="2">
        <v>2.88043</v>
      </c>
      <c r="C7" s="2">
        <v>0.34127200000000002</v>
      </c>
      <c r="D7" s="2">
        <v>0.35446800000000001</v>
      </c>
      <c r="E7" s="2">
        <v>34.639798990000003</v>
      </c>
      <c r="F7" s="17">
        <f t="shared" ref="F7:F70" si="0">IF(G7="","",G7)</f>
        <v>44244.599675925929</v>
      </c>
      <c r="G7" s="9">
        <v>44244.599675925929</v>
      </c>
      <c r="H7" s="25">
        <v>1</v>
      </c>
      <c r="I7" s="5">
        <v>2.8580000000000001</v>
      </c>
      <c r="J7" s="5">
        <v>0.33981</v>
      </c>
      <c r="K7" s="5">
        <v>0.35171000000000002</v>
      </c>
      <c r="L7" s="5">
        <v>34.771999999999998</v>
      </c>
      <c r="M7" s="5">
        <v>2</v>
      </c>
      <c r="N7" s="5">
        <v>2.8719999999999999</v>
      </c>
      <c r="O7" s="5">
        <v>0.3306</v>
      </c>
      <c r="P7" s="5">
        <v>0.34943999999999997</v>
      </c>
      <c r="Q7" s="5">
        <v>34.981999999999999</v>
      </c>
      <c r="R7" s="5">
        <v>3</v>
      </c>
      <c r="S7" s="5">
        <v>2.859</v>
      </c>
      <c r="T7" s="5">
        <v>0.30770999999999998</v>
      </c>
      <c r="U7" s="5">
        <v>0.32185000000000002</v>
      </c>
      <c r="V7" s="5">
        <v>33.404000000000003</v>
      </c>
      <c r="W7" s="22">
        <f t="shared" ref="W7:W70" si="1">IF(H7="",NA(),I7-VLOOKUP(H7,$A$6:$E$35,2,FALSE))</f>
        <v>-7.6600000000000001E-3</v>
      </c>
      <c r="X7" s="21">
        <f t="shared" ref="X7:X70" si="2">IF(H7="",NA(),J7-VLOOKUP(H7,$A$6:$E$35,3,FALSE))</f>
        <v>-1.6220000000000123E-3</v>
      </c>
      <c r="Y7" s="21">
        <f t="shared" ref="Y7:Y70" si="3">IF(H7="",NA(),K7-VLOOKUP(H7,$A$6:$E$35,4,FALSE))</f>
        <v>-4.4109999999999983E-3</v>
      </c>
      <c r="Z7" s="11">
        <f t="shared" ref="Z7:Z70" si="4">IF(H7="",NA(),L7/VLOOKUP(H7,$A$6:$E$35,5,FALSE)-1)</f>
        <v>7.1681625491417655E-3</v>
      </c>
      <c r="AA7" s="22">
        <f t="shared" ref="AA7:AA70" si="5">IF(M7="",NA(),N7-VLOOKUP(M7,$A$6:$E$35,2,FALSE))</f>
        <v>-8.4300000000001596E-3</v>
      </c>
      <c r="AB7" s="21">
        <f t="shared" ref="AB7:AB70" si="6">IF(M7="",NA(),O7-VLOOKUP(M7,$A$6:$E$35,3,FALSE))</f>
        <v>-1.0672000000000015E-2</v>
      </c>
      <c r="AC7" s="21">
        <f t="shared" ref="AC7:AC70" si="7">IF(M7="",NA(),P7-VLOOKUP(M7,$A$6:$E$35,4,FALSE))</f>
        <v>-5.0280000000000324E-3</v>
      </c>
      <c r="AD7" s="11">
        <f t="shared" ref="AD7:AD70" si="8">IF(M7="",NA(),Q7/VLOOKUP(M7,$A$6:$E$35,5,FALSE)-1)</f>
        <v>9.8788393690962817E-3</v>
      </c>
      <c r="AE7" s="22">
        <f t="shared" ref="AE7:AE70" si="9">IF(R7="",NA(),S7-VLOOKUP(R7,$A$6:$E$35,2,FALSE))</f>
        <v>-4.389999999999894E-3</v>
      </c>
      <c r="AF7" s="21">
        <f t="shared" ref="AF7:AF70" si="10">IF(R7="",NA(),T7-VLOOKUP(R7,$A$6:$E$35,3,FALSE))</f>
        <v>-3.4523999999999999E-2</v>
      </c>
      <c r="AG7" s="21">
        <f t="shared" ref="AG7:AG70" si="11">IF(R7="",NA(),U7-VLOOKUP(R7,$A$6:$E$35,4,FALSE))</f>
        <v>-3.4431999999999963E-2</v>
      </c>
      <c r="AH7" s="11">
        <f t="shared" ref="AH7:AH70" si="12">IF(R7="",NA(),V7/VLOOKUP(R7,$A$6:$E$35,5,FALSE)-1)</f>
        <v>-3.1268617262503184E-2</v>
      </c>
      <c r="AI7">
        <v>2.5000000000000001E-2</v>
      </c>
      <c r="AJ7">
        <v>-2.5000000000000001E-2</v>
      </c>
      <c r="AK7">
        <v>1.5E-3</v>
      </c>
      <c r="AL7">
        <v>-1.5E-3</v>
      </c>
      <c r="AM7">
        <v>1.5E-3</v>
      </c>
      <c r="AN7">
        <v>-1.5E-3</v>
      </c>
      <c r="AO7" s="16">
        <v>2.5000000000000001E-2</v>
      </c>
      <c r="AP7" s="16">
        <v>-2.5000000000000001E-2</v>
      </c>
      <c r="AQ7">
        <v>1.4999999999999999E-2</v>
      </c>
      <c r="AR7">
        <v>-1.4999999999999999E-2</v>
      </c>
      <c r="AS7">
        <v>1E-3</v>
      </c>
      <c r="AT7">
        <v>-1E-3</v>
      </c>
      <c r="AU7">
        <v>1E-3</v>
      </c>
      <c r="AV7">
        <v>-1E-3</v>
      </c>
      <c r="AW7" s="16">
        <v>1.4999999999999999E-2</v>
      </c>
      <c r="AX7" s="16">
        <v>-1.4999999999999999E-2</v>
      </c>
    </row>
    <row r="8" spans="1:279" customFormat="1">
      <c r="A8" s="2">
        <v>3</v>
      </c>
      <c r="B8" s="2">
        <v>2.8633899999999999</v>
      </c>
      <c r="C8" s="2">
        <v>0.34223399999999998</v>
      </c>
      <c r="D8" s="2">
        <v>0.35628199999999999</v>
      </c>
      <c r="E8" s="2">
        <v>34.482211059999997</v>
      </c>
      <c r="F8" s="17">
        <f t="shared" si="0"/>
        <v>44245.601863425924</v>
      </c>
      <c r="G8" s="9">
        <v>44245.601863425924</v>
      </c>
      <c r="H8" s="25">
        <v>1</v>
      </c>
      <c r="I8" s="5">
        <v>2.8610000000000002</v>
      </c>
      <c r="J8" s="5">
        <v>0.33986</v>
      </c>
      <c r="K8" s="5">
        <v>0.35186000000000001</v>
      </c>
      <c r="L8" s="5">
        <v>34.734999999999999</v>
      </c>
      <c r="M8" s="5">
        <v>2</v>
      </c>
      <c r="N8" s="5">
        <v>2.875</v>
      </c>
      <c r="O8" s="5">
        <v>0.33073999999999998</v>
      </c>
      <c r="P8" s="5">
        <v>0.34960000000000002</v>
      </c>
      <c r="Q8" s="5">
        <v>34.929000000000002</v>
      </c>
      <c r="R8" s="5">
        <v>3</v>
      </c>
      <c r="S8" s="5">
        <v>2.863</v>
      </c>
      <c r="T8" s="5">
        <v>0.30786999999999998</v>
      </c>
      <c r="U8" s="5">
        <v>0.32201000000000002</v>
      </c>
      <c r="V8" s="5">
        <v>33.36</v>
      </c>
      <c r="W8" s="22">
        <f t="shared" si="1"/>
        <v>-4.6599999999998865E-3</v>
      </c>
      <c r="X8" s="21">
        <f t="shared" si="2"/>
        <v>-1.5720000000000178E-3</v>
      </c>
      <c r="Y8" s="21">
        <f t="shared" si="3"/>
        <v>-4.2610000000000148E-3</v>
      </c>
      <c r="Z8" s="11">
        <f t="shared" si="4"/>
        <v>6.0964605471194311E-3</v>
      </c>
      <c r="AA8" s="22">
        <f t="shared" si="5"/>
        <v>-5.4300000000000459E-3</v>
      </c>
      <c r="AB8" s="21">
        <f t="shared" si="6"/>
        <v>-1.0532000000000041E-2</v>
      </c>
      <c r="AC8" s="21">
        <f t="shared" si="7"/>
        <v>-4.8679999999999835E-3</v>
      </c>
      <c r="AD8" s="11">
        <f t="shared" si="8"/>
        <v>8.3488073958941644E-3</v>
      </c>
      <c r="AE8" s="22">
        <f t="shared" si="9"/>
        <v>-3.8999999999989043E-4</v>
      </c>
      <c r="AF8" s="21">
        <f t="shared" si="10"/>
        <v>-3.4364000000000006E-2</v>
      </c>
      <c r="AG8" s="21">
        <f t="shared" si="11"/>
        <v>-3.4271999999999969E-2</v>
      </c>
      <c r="AH8" s="11">
        <f t="shared" si="12"/>
        <v>-3.2544637524760778E-2</v>
      </c>
      <c r="AI8">
        <v>2.5000000000000001E-2</v>
      </c>
      <c r="AJ8">
        <v>-2.5000000000000001E-2</v>
      </c>
      <c r="AK8">
        <v>1.5E-3</v>
      </c>
      <c r="AL8">
        <v>-1.5E-3</v>
      </c>
      <c r="AM8">
        <v>1.5E-3</v>
      </c>
      <c r="AN8">
        <v>-1.5E-3</v>
      </c>
      <c r="AO8" s="16">
        <v>2.5000000000000001E-2</v>
      </c>
      <c r="AP8" s="16">
        <v>-2.5000000000000001E-2</v>
      </c>
      <c r="AQ8">
        <v>1.4999999999999999E-2</v>
      </c>
      <c r="AR8">
        <v>-1.4999999999999999E-2</v>
      </c>
      <c r="AS8">
        <v>1E-3</v>
      </c>
      <c r="AT8">
        <v>-1E-3</v>
      </c>
      <c r="AU8">
        <v>1E-3</v>
      </c>
      <c r="AV8">
        <v>-1E-3</v>
      </c>
      <c r="AW8" s="16">
        <v>1.4999999999999999E-2</v>
      </c>
      <c r="AX8" s="16">
        <v>-1.4999999999999999E-2</v>
      </c>
      <c r="JS8">
        <v>12.849506578947368</v>
      </c>
    </row>
    <row r="9" spans="1:279" customFormat="1">
      <c r="A9" s="2">
        <v>4</v>
      </c>
      <c r="B9" s="2">
        <v>2.8756900000000001</v>
      </c>
      <c r="C9" s="2">
        <v>0.34077499999999999</v>
      </c>
      <c r="D9" s="2">
        <v>0.35486400000000001</v>
      </c>
      <c r="E9" s="2">
        <v>34.295376879999999</v>
      </c>
      <c r="F9" s="17">
        <f t="shared" si="0"/>
        <v>44246.772569444445</v>
      </c>
      <c r="G9" s="9">
        <v>44246.772569444445</v>
      </c>
      <c r="H9" s="25">
        <v>1</v>
      </c>
      <c r="I9" s="5">
        <v>2.859</v>
      </c>
      <c r="J9" s="5">
        <v>0.33978000000000003</v>
      </c>
      <c r="K9" s="5">
        <v>0.35186000000000001</v>
      </c>
      <c r="L9" s="5">
        <v>34.784999999999997</v>
      </c>
      <c r="M9" s="5">
        <v>2</v>
      </c>
      <c r="N9" s="5">
        <v>2.8730000000000002</v>
      </c>
      <c r="O9" s="5">
        <v>0.33055000000000001</v>
      </c>
      <c r="P9" s="5">
        <v>0.34944999999999998</v>
      </c>
      <c r="Q9" s="5">
        <v>34.994999999999997</v>
      </c>
      <c r="R9" s="5">
        <v>3</v>
      </c>
      <c r="S9" s="5">
        <v>2.8620000000000001</v>
      </c>
      <c r="T9" s="5">
        <v>0.30771999999999999</v>
      </c>
      <c r="U9" s="5">
        <v>0.32197999999999999</v>
      </c>
      <c r="V9" s="5">
        <v>33.405999999999999</v>
      </c>
      <c r="W9" s="22">
        <f t="shared" si="1"/>
        <v>-6.6600000000001103E-3</v>
      </c>
      <c r="X9" s="21">
        <f t="shared" si="2"/>
        <v>-1.6519999999999868E-3</v>
      </c>
      <c r="Y9" s="21">
        <f t="shared" si="3"/>
        <v>-4.2610000000000148E-3</v>
      </c>
      <c r="Z9" s="11">
        <f t="shared" si="4"/>
        <v>7.5447064957980814E-3</v>
      </c>
      <c r="AA9" s="22">
        <f t="shared" si="5"/>
        <v>-7.4299999999998256E-3</v>
      </c>
      <c r="AB9" s="21">
        <f t="shared" si="6"/>
        <v>-1.0722000000000009E-2</v>
      </c>
      <c r="AC9" s="21">
        <f t="shared" si="7"/>
        <v>-5.0180000000000224E-3</v>
      </c>
      <c r="AD9" s="11">
        <f t="shared" si="8"/>
        <v>1.0254130230447744E-2</v>
      </c>
      <c r="AE9" s="22">
        <f t="shared" si="9"/>
        <v>-1.3899999999997803E-3</v>
      </c>
      <c r="AF9" s="21">
        <f t="shared" si="10"/>
        <v>-3.4513999999999989E-2</v>
      </c>
      <c r="AG9" s="21">
        <f t="shared" si="11"/>
        <v>-3.4301999999999999E-2</v>
      </c>
      <c r="AH9" s="11">
        <f t="shared" si="12"/>
        <v>-3.1210616341491582E-2</v>
      </c>
      <c r="AI9">
        <v>2.5000000000000001E-2</v>
      </c>
      <c r="AJ9">
        <v>-2.5000000000000001E-2</v>
      </c>
      <c r="AK9">
        <v>1.5E-3</v>
      </c>
      <c r="AL9">
        <v>-1.5E-3</v>
      </c>
      <c r="AM9">
        <v>1.5E-3</v>
      </c>
      <c r="AN9">
        <v>-1.5E-3</v>
      </c>
      <c r="AO9" s="16">
        <v>2.5000000000000001E-2</v>
      </c>
      <c r="AP9" s="16">
        <v>-2.5000000000000001E-2</v>
      </c>
      <c r="AQ9">
        <v>1.4999999999999999E-2</v>
      </c>
      <c r="AR9">
        <v>-1.4999999999999999E-2</v>
      </c>
      <c r="AS9">
        <v>1E-3</v>
      </c>
      <c r="AT9">
        <v>-1E-3</v>
      </c>
      <c r="AU9">
        <v>1E-3</v>
      </c>
      <c r="AV9">
        <v>-1E-3</v>
      </c>
      <c r="AW9" s="16">
        <v>1.4999999999999999E-2</v>
      </c>
      <c r="AX9" s="16">
        <v>-1.4999999999999999E-2</v>
      </c>
    </row>
    <row r="10" spans="1:279" customFormat="1">
      <c r="A10" s="2">
        <v>5</v>
      </c>
      <c r="B10" s="2">
        <v>2.8791000000000002</v>
      </c>
      <c r="C10" s="2">
        <v>0.34157199999999999</v>
      </c>
      <c r="D10" s="2">
        <v>0.35594300000000001</v>
      </c>
      <c r="E10" s="2">
        <v>34.485326630000003</v>
      </c>
      <c r="F10" s="17">
        <f t="shared" si="0"/>
        <v>44247.547789351855</v>
      </c>
      <c r="G10" s="9">
        <v>44247.547789351855</v>
      </c>
      <c r="H10" s="25">
        <v>1</v>
      </c>
      <c r="I10" s="5">
        <v>2.859</v>
      </c>
      <c r="J10" s="5">
        <v>0.33973999999999999</v>
      </c>
      <c r="K10" s="5">
        <v>0.35178999999999999</v>
      </c>
      <c r="L10" s="5">
        <v>34.731000000000002</v>
      </c>
      <c r="M10" s="5">
        <v>2</v>
      </c>
      <c r="N10" s="5">
        <v>2.8730000000000002</v>
      </c>
      <c r="O10" s="5">
        <v>0.33054</v>
      </c>
      <c r="P10" s="5">
        <v>0.34942000000000001</v>
      </c>
      <c r="Q10" s="5">
        <v>34.948</v>
      </c>
      <c r="R10" s="5">
        <v>3</v>
      </c>
      <c r="S10" s="5">
        <v>2.8610000000000002</v>
      </c>
      <c r="T10" s="5">
        <v>0.30769999999999997</v>
      </c>
      <c r="U10" s="5">
        <v>0.32195000000000001</v>
      </c>
      <c r="V10" s="5">
        <v>33.396999999999998</v>
      </c>
      <c r="W10" s="22">
        <f t="shared" si="1"/>
        <v>-6.6600000000001103E-3</v>
      </c>
      <c r="X10" s="21">
        <f t="shared" si="2"/>
        <v>-1.6920000000000268E-3</v>
      </c>
      <c r="Y10" s="21">
        <f t="shared" si="3"/>
        <v>-4.3310000000000293E-3</v>
      </c>
      <c r="Z10" s="11">
        <f t="shared" si="4"/>
        <v>5.9806008712253167E-3</v>
      </c>
      <c r="AA10" s="22">
        <f t="shared" si="5"/>
        <v>-7.4299999999998256E-3</v>
      </c>
      <c r="AB10" s="21">
        <f t="shared" si="6"/>
        <v>-1.0732000000000019E-2</v>
      </c>
      <c r="AC10" s="21">
        <f t="shared" si="7"/>
        <v>-5.0479999999999969E-3</v>
      </c>
      <c r="AD10" s="11">
        <f t="shared" si="8"/>
        <v>8.8973094240232253E-3</v>
      </c>
      <c r="AE10" s="22">
        <f t="shared" si="9"/>
        <v>-2.3899999999996702E-3</v>
      </c>
      <c r="AF10" s="21">
        <f t="shared" si="10"/>
        <v>-3.4534000000000009E-2</v>
      </c>
      <c r="AG10" s="21">
        <f t="shared" si="11"/>
        <v>-3.4331999999999974E-2</v>
      </c>
      <c r="AH10" s="11">
        <f t="shared" si="12"/>
        <v>-3.1471620486044238E-2</v>
      </c>
      <c r="AI10">
        <v>2.5000000000000001E-2</v>
      </c>
      <c r="AJ10">
        <v>-2.5000000000000001E-2</v>
      </c>
      <c r="AK10">
        <v>1.5E-3</v>
      </c>
      <c r="AL10">
        <v>-1.5E-3</v>
      </c>
      <c r="AM10">
        <v>1.5E-3</v>
      </c>
      <c r="AN10">
        <v>-1.5E-3</v>
      </c>
      <c r="AO10" s="16">
        <v>2.5000000000000001E-2</v>
      </c>
      <c r="AP10" s="16">
        <v>-2.5000000000000001E-2</v>
      </c>
      <c r="AQ10">
        <v>1.4999999999999999E-2</v>
      </c>
      <c r="AR10">
        <v>-1.4999999999999999E-2</v>
      </c>
      <c r="AS10">
        <v>1E-3</v>
      </c>
      <c r="AT10">
        <v>-1E-3</v>
      </c>
      <c r="AU10">
        <v>1E-3</v>
      </c>
      <c r="AV10">
        <v>-1E-3</v>
      </c>
      <c r="AW10" s="16">
        <v>1.4999999999999999E-2</v>
      </c>
      <c r="AX10" s="16">
        <v>-1.4999999999999999E-2</v>
      </c>
      <c r="JQ10">
        <v>28.935185185185187</v>
      </c>
    </row>
    <row r="11" spans="1:279" customFormat="1">
      <c r="A11" s="2">
        <v>6</v>
      </c>
      <c r="B11" s="2">
        <v>2.8495699999999999</v>
      </c>
      <c r="C11" s="2">
        <v>0.43757000000000001</v>
      </c>
      <c r="D11" s="2">
        <v>0.39878799999999998</v>
      </c>
      <c r="E11" s="2">
        <v>30.145527640000001</v>
      </c>
      <c r="F11" s="17">
        <f t="shared" si="0"/>
        <v>44248.364074074074</v>
      </c>
      <c r="G11" s="9">
        <v>44248.364074074074</v>
      </c>
      <c r="H11" s="25">
        <v>1</v>
      </c>
      <c r="I11" s="5">
        <v>2.8610000000000002</v>
      </c>
      <c r="J11" s="5">
        <v>0</v>
      </c>
      <c r="K11" s="5">
        <v>0</v>
      </c>
      <c r="L11" s="5">
        <v>0</v>
      </c>
      <c r="M11" s="5">
        <v>2</v>
      </c>
      <c r="N11" s="5">
        <v>2.875</v>
      </c>
      <c r="O11" s="5">
        <v>0.33063999999999999</v>
      </c>
      <c r="P11" s="5">
        <v>0.34933999999999998</v>
      </c>
      <c r="Q11" s="5">
        <v>34.956000000000003</v>
      </c>
      <c r="R11" s="5">
        <v>3</v>
      </c>
      <c r="S11" s="5">
        <v>2.863</v>
      </c>
      <c r="T11" s="5">
        <v>0</v>
      </c>
      <c r="U11" s="5">
        <v>0</v>
      </c>
      <c r="V11" s="5">
        <v>0</v>
      </c>
      <c r="W11" s="22">
        <f t="shared" si="1"/>
        <v>-4.6599999999998865E-3</v>
      </c>
      <c r="X11" s="21">
        <f t="shared" si="2"/>
        <v>-0.34143200000000001</v>
      </c>
      <c r="Y11" s="21">
        <f t="shared" si="3"/>
        <v>-0.35612100000000002</v>
      </c>
      <c r="Z11" s="11">
        <f t="shared" si="4"/>
        <v>-1</v>
      </c>
      <c r="AA11" s="22">
        <f t="shared" si="5"/>
        <v>-5.4300000000000459E-3</v>
      </c>
      <c r="AB11" s="21">
        <f t="shared" si="6"/>
        <v>-1.063200000000003E-2</v>
      </c>
      <c r="AC11" s="21">
        <f t="shared" si="7"/>
        <v>-5.1280000000000214E-3</v>
      </c>
      <c r="AD11" s="11">
        <f t="shared" si="8"/>
        <v>9.1282576463935783E-3</v>
      </c>
      <c r="AE11" s="22">
        <f t="shared" si="9"/>
        <v>-3.8999999999989043E-4</v>
      </c>
      <c r="AF11" s="21">
        <f t="shared" si="10"/>
        <v>-0.34223399999999998</v>
      </c>
      <c r="AG11" s="21">
        <f t="shared" si="11"/>
        <v>-0.35628199999999999</v>
      </c>
      <c r="AH11" s="11">
        <f t="shared" si="12"/>
        <v>-1</v>
      </c>
      <c r="AI11">
        <v>2.5000000000000001E-2</v>
      </c>
      <c r="AJ11">
        <v>-2.5000000000000001E-2</v>
      </c>
      <c r="AK11">
        <v>1.5E-3</v>
      </c>
      <c r="AL11">
        <v>-1.5E-3</v>
      </c>
      <c r="AM11">
        <v>1.5E-3</v>
      </c>
      <c r="AN11">
        <v>-1.5E-3</v>
      </c>
      <c r="AO11" s="16">
        <v>2.5000000000000001E-2</v>
      </c>
      <c r="AP11" s="16">
        <v>-2.5000000000000001E-2</v>
      </c>
      <c r="AQ11">
        <v>1.4999999999999999E-2</v>
      </c>
      <c r="AR11">
        <v>-1.4999999999999999E-2</v>
      </c>
      <c r="AS11">
        <v>1E-3</v>
      </c>
      <c r="AT11">
        <v>-1E-3</v>
      </c>
      <c r="AU11">
        <v>1E-3</v>
      </c>
      <c r="AV11">
        <v>-1E-3</v>
      </c>
      <c r="AW11" s="16">
        <v>1.4999999999999999E-2</v>
      </c>
      <c r="AX11" s="16">
        <v>-1.4999999999999999E-2</v>
      </c>
      <c r="JR11">
        <v>25.699013157894736</v>
      </c>
    </row>
    <row r="12" spans="1:279" customFormat="1">
      <c r="A12" s="2">
        <v>7</v>
      </c>
      <c r="B12" s="2">
        <v>2.8578999999999999</v>
      </c>
      <c r="C12" s="2">
        <v>0.43651600000000002</v>
      </c>
      <c r="D12" s="2">
        <v>0.39835399999999999</v>
      </c>
      <c r="E12" s="2">
        <v>30.257185929999999</v>
      </c>
      <c r="F12" s="17">
        <f t="shared" si="0"/>
        <v>44249.44599537037</v>
      </c>
      <c r="G12" s="9">
        <v>44249.44599537037</v>
      </c>
      <c r="H12" s="25">
        <v>1</v>
      </c>
      <c r="I12" s="5">
        <v>2.8639999999999999</v>
      </c>
      <c r="J12" s="5">
        <v>0.33983999999999998</v>
      </c>
      <c r="K12" s="5">
        <v>0.35188000000000003</v>
      </c>
      <c r="L12" s="5">
        <v>34.877000000000002</v>
      </c>
      <c r="M12" s="5">
        <v>2</v>
      </c>
      <c r="N12" s="5">
        <v>2.8769999999999998</v>
      </c>
      <c r="O12" s="5">
        <v>0.33050000000000002</v>
      </c>
      <c r="P12" s="5">
        <v>0.34938000000000002</v>
      </c>
      <c r="Q12" s="5">
        <v>35.101999999999997</v>
      </c>
      <c r="R12" s="5">
        <v>3</v>
      </c>
      <c r="S12" s="5">
        <v>2.8660000000000001</v>
      </c>
      <c r="T12" s="5">
        <v>0.30787999999999999</v>
      </c>
      <c r="U12" s="5">
        <v>0.32196000000000002</v>
      </c>
      <c r="V12" s="5">
        <v>33.527999999999999</v>
      </c>
      <c r="W12" s="22">
        <f t="shared" si="1"/>
        <v>-1.6600000000002169E-3</v>
      </c>
      <c r="X12" s="21">
        <f t="shared" si="2"/>
        <v>-1.5920000000000378E-3</v>
      </c>
      <c r="Y12" s="21">
        <f t="shared" si="3"/>
        <v>-4.2409999999999948E-3</v>
      </c>
      <c r="Z12" s="11">
        <f t="shared" si="4"/>
        <v>1.0209479041367153E-2</v>
      </c>
      <c r="AA12" s="22">
        <f t="shared" si="5"/>
        <v>-3.4300000000002662E-3</v>
      </c>
      <c r="AB12" s="21">
        <f t="shared" si="6"/>
        <v>-1.0772000000000004E-2</v>
      </c>
      <c r="AC12" s="21">
        <f t="shared" si="7"/>
        <v>-5.0879999999999814E-3</v>
      </c>
      <c r="AD12" s="11">
        <f t="shared" si="8"/>
        <v>1.3343062704648689E-2</v>
      </c>
      <c r="AE12" s="22">
        <f t="shared" si="9"/>
        <v>2.6100000000002233E-3</v>
      </c>
      <c r="AF12" s="21">
        <f t="shared" si="10"/>
        <v>-3.4353999999999996E-2</v>
      </c>
      <c r="AG12" s="21">
        <f t="shared" si="11"/>
        <v>-3.4321999999999964E-2</v>
      </c>
      <c r="AH12" s="11">
        <f t="shared" si="12"/>
        <v>-2.7672560159777593E-2</v>
      </c>
      <c r="AI12">
        <v>2.5000000000000001E-2</v>
      </c>
      <c r="AJ12">
        <v>-2.5000000000000001E-2</v>
      </c>
      <c r="AK12">
        <v>1.5E-3</v>
      </c>
      <c r="AL12">
        <v>-1.5E-3</v>
      </c>
      <c r="AM12">
        <v>1.5E-3</v>
      </c>
      <c r="AN12">
        <v>-1.5E-3</v>
      </c>
      <c r="AO12" s="16">
        <v>2.5000000000000001E-2</v>
      </c>
      <c r="AP12" s="16">
        <v>-2.5000000000000001E-2</v>
      </c>
      <c r="AQ12">
        <v>1.4999999999999999E-2</v>
      </c>
      <c r="AR12">
        <v>-1.4999999999999999E-2</v>
      </c>
      <c r="AS12">
        <v>1E-3</v>
      </c>
      <c r="AT12">
        <v>-1E-3</v>
      </c>
      <c r="AU12">
        <v>1E-3</v>
      </c>
      <c r="AV12">
        <v>-1E-3</v>
      </c>
      <c r="AW12" s="16">
        <v>1.4999999999999999E-2</v>
      </c>
      <c r="AX12" s="16">
        <v>-1.4999999999999999E-2</v>
      </c>
      <c r="BA12">
        <v>2.8610000000000002</v>
      </c>
      <c r="BB12">
        <v>0.33975</v>
      </c>
      <c r="BC12">
        <v>0.35189999999999999</v>
      </c>
      <c r="BD12">
        <v>34.749000000000002</v>
      </c>
      <c r="BF12">
        <v>2.863</v>
      </c>
      <c r="BG12">
        <v>0.30778</v>
      </c>
      <c r="BH12">
        <v>0.32189000000000001</v>
      </c>
      <c r="BI12">
        <v>33.402999999999999</v>
      </c>
      <c r="JP12">
        <v>25.699013157894736</v>
      </c>
      <c r="JR12">
        <v>12.849506578947368</v>
      </c>
      <c r="JS12">
        <v>12.849506578947368</v>
      </c>
    </row>
    <row r="13" spans="1:279" customFormat="1">
      <c r="A13" s="2">
        <v>8</v>
      </c>
      <c r="B13" s="2">
        <v>2.8474900000000001</v>
      </c>
      <c r="C13" s="2">
        <v>0.43568400000000002</v>
      </c>
      <c r="D13" s="2">
        <v>0.39815600000000001</v>
      </c>
      <c r="E13" s="2">
        <v>30.234673369999999</v>
      </c>
      <c r="F13" s="17">
        <f t="shared" si="0"/>
        <v>44249.581192129626</v>
      </c>
      <c r="G13" s="9">
        <v>44249.581192129626</v>
      </c>
      <c r="H13" s="25">
        <v>1</v>
      </c>
      <c r="I13" s="5">
        <v>2.86</v>
      </c>
      <c r="J13" s="2">
        <v>0.33981</v>
      </c>
      <c r="K13" s="5">
        <v>0.35185</v>
      </c>
      <c r="L13" s="5">
        <v>34.831000000000003</v>
      </c>
      <c r="M13" s="5">
        <v>2</v>
      </c>
      <c r="N13" s="5">
        <v>2.8740000000000001</v>
      </c>
      <c r="O13" s="2">
        <v>0.33054</v>
      </c>
      <c r="P13" s="5">
        <v>0.34934999999999999</v>
      </c>
      <c r="Q13" s="5">
        <v>35.031999999999996</v>
      </c>
      <c r="R13" s="5">
        <v>3</v>
      </c>
      <c r="S13" s="5">
        <v>2.8620000000000001</v>
      </c>
      <c r="T13" s="2">
        <v>0.30787999999999999</v>
      </c>
      <c r="U13" s="5">
        <v>0.3221</v>
      </c>
      <c r="V13" s="5">
        <v>33.5</v>
      </c>
      <c r="W13" s="22">
        <f t="shared" si="1"/>
        <v>-5.6600000000002204E-3</v>
      </c>
      <c r="X13" s="21">
        <f t="shared" si="2"/>
        <v>-1.6220000000000123E-3</v>
      </c>
      <c r="Y13" s="21">
        <f t="shared" si="3"/>
        <v>-4.2710000000000248E-3</v>
      </c>
      <c r="Z13" s="11">
        <f t="shared" si="4"/>
        <v>8.8770927685828394E-3</v>
      </c>
      <c r="AA13" s="22">
        <f t="shared" si="5"/>
        <v>-6.4299999999999358E-3</v>
      </c>
      <c r="AB13" s="21">
        <f t="shared" si="6"/>
        <v>-1.0732000000000019E-2</v>
      </c>
      <c r="AC13" s="21">
        <f t="shared" si="7"/>
        <v>-5.1180000000000114E-3</v>
      </c>
      <c r="AD13" s="11">
        <f t="shared" si="8"/>
        <v>1.1322265758909822E-2</v>
      </c>
      <c r="AE13" s="22">
        <f t="shared" si="9"/>
        <v>-1.3899999999997803E-3</v>
      </c>
      <c r="AF13" s="21">
        <f t="shared" si="10"/>
        <v>-3.4353999999999996E-2</v>
      </c>
      <c r="AG13" s="21">
        <f t="shared" si="11"/>
        <v>-3.418199999999999E-2</v>
      </c>
      <c r="AH13" s="11">
        <f t="shared" si="12"/>
        <v>-2.8484573053941475E-2</v>
      </c>
      <c r="AI13">
        <v>2.5000000000000001E-2</v>
      </c>
      <c r="AJ13">
        <v>-2.5000000000000001E-2</v>
      </c>
      <c r="AK13">
        <v>1.5E-3</v>
      </c>
      <c r="AL13">
        <v>-1.5E-3</v>
      </c>
      <c r="AM13">
        <v>1.5E-3</v>
      </c>
      <c r="AN13">
        <v>-1.5E-3</v>
      </c>
      <c r="AO13" s="16">
        <v>2.5000000000000001E-2</v>
      </c>
      <c r="AP13" s="16">
        <v>-2.5000000000000001E-2</v>
      </c>
      <c r="AQ13">
        <v>1.4999999999999999E-2</v>
      </c>
      <c r="AR13">
        <v>-1.4999999999999999E-2</v>
      </c>
      <c r="AS13">
        <v>1E-3</v>
      </c>
      <c r="AT13">
        <v>-1E-3</v>
      </c>
      <c r="AU13">
        <v>1E-3</v>
      </c>
      <c r="AV13">
        <v>-1E-3</v>
      </c>
      <c r="AW13" s="16">
        <v>1.4999999999999999E-2</v>
      </c>
      <c r="AX13" s="16">
        <v>-1.4999999999999999E-2</v>
      </c>
    </row>
    <row r="14" spans="1:279" customFormat="1">
      <c r="A14" s="2">
        <v>9</v>
      </c>
      <c r="B14" s="2">
        <v>2.8495699999999999</v>
      </c>
      <c r="C14" s="2">
        <v>0.43288599999999999</v>
      </c>
      <c r="D14" s="2">
        <v>0.39555699999999999</v>
      </c>
      <c r="E14" s="2">
        <v>29.911658289999998</v>
      </c>
      <c r="F14" s="17">
        <f t="shared" si="0"/>
        <v>44250.566203703704</v>
      </c>
      <c r="G14" s="9">
        <v>44250.566203703704</v>
      </c>
      <c r="H14" s="25">
        <v>1</v>
      </c>
      <c r="I14" s="5">
        <v>2.8610000000000002</v>
      </c>
      <c r="J14" s="5">
        <v>0.33986</v>
      </c>
      <c r="K14" s="5">
        <v>0.35186000000000001</v>
      </c>
      <c r="L14" s="5">
        <v>34.832000000000001</v>
      </c>
      <c r="M14" s="5">
        <v>2</v>
      </c>
      <c r="N14" s="5">
        <v>2.875</v>
      </c>
      <c r="O14" s="5">
        <v>0.33056999999999997</v>
      </c>
      <c r="P14" s="5">
        <v>0.34942000000000001</v>
      </c>
      <c r="Q14" s="5">
        <v>35.03</v>
      </c>
      <c r="R14" s="5">
        <v>3</v>
      </c>
      <c r="S14" s="5">
        <v>2.863</v>
      </c>
      <c r="T14" s="5">
        <v>0.30780000000000002</v>
      </c>
      <c r="U14" s="5">
        <v>0.32195000000000001</v>
      </c>
      <c r="V14" s="5">
        <v>33.476999999999997</v>
      </c>
      <c r="W14" s="22">
        <f t="shared" si="1"/>
        <v>-4.6599999999998865E-3</v>
      </c>
      <c r="X14" s="21">
        <f t="shared" si="2"/>
        <v>-1.5720000000000178E-3</v>
      </c>
      <c r="Y14" s="21">
        <f t="shared" si="3"/>
        <v>-4.2610000000000148E-3</v>
      </c>
      <c r="Z14" s="11">
        <f t="shared" si="4"/>
        <v>8.906057687556368E-3</v>
      </c>
      <c r="AA14" s="22">
        <f t="shared" si="5"/>
        <v>-5.4300000000000459E-3</v>
      </c>
      <c r="AB14" s="21">
        <f t="shared" si="6"/>
        <v>-1.0702000000000045E-2</v>
      </c>
      <c r="AC14" s="21">
        <f t="shared" si="7"/>
        <v>-5.0479999999999969E-3</v>
      </c>
      <c r="AD14" s="11">
        <f t="shared" si="8"/>
        <v>1.1264528703317289E-2</v>
      </c>
      <c r="AE14" s="22">
        <f t="shared" si="9"/>
        <v>-3.8999999999989043E-4</v>
      </c>
      <c r="AF14" s="21">
        <f t="shared" si="10"/>
        <v>-3.4433999999999965E-2</v>
      </c>
      <c r="AG14" s="21">
        <f t="shared" si="11"/>
        <v>-3.4331999999999974E-2</v>
      </c>
      <c r="AH14" s="11">
        <f t="shared" si="12"/>
        <v>-2.9151583645576129E-2</v>
      </c>
      <c r="AI14">
        <v>2.5000000000000001E-2</v>
      </c>
      <c r="AJ14">
        <v>-2.5000000000000001E-2</v>
      </c>
      <c r="AK14">
        <v>1.5E-3</v>
      </c>
      <c r="AL14">
        <v>-1.5E-3</v>
      </c>
      <c r="AM14">
        <v>1.5E-3</v>
      </c>
      <c r="AN14">
        <v>-1.5E-3</v>
      </c>
      <c r="AO14" s="16">
        <v>2.5000000000000001E-2</v>
      </c>
      <c r="AP14" s="16">
        <v>-2.5000000000000001E-2</v>
      </c>
      <c r="AQ14">
        <v>1.4999999999999999E-2</v>
      </c>
      <c r="AR14">
        <v>-1.4999999999999999E-2</v>
      </c>
      <c r="AS14">
        <v>1E-3</v>
      </c>
      <c r="AT14">
        <v>-1E-3</v>
      </c>
      <c r="AU14">
        <v>1E-3</v>
      </c>
      <c r="AV14">
        <v>-1E-3</v>
      </c>
      <c r="AW14" s="16">
        <v>1.4999999999999999E-2</v>
      </c>
      <c r="AX14" s="16">
        <v>-1.4999999999999999E-2</v>
      </c>
    </row>
    <row r="15" spans="1:279" customFormat="1">
      <c r="A15" s="2">
        <v>10</v>
      </c>
      <c r="B15" s="2">
        <v>2.8513700000000002</v>
      </c>
      <c r="C15" s="2">
        <v>0.43475000000000003</v>
      </c>
      <c r="D15" s="2">
        <v>0.39747399999999999</v>
      </c>
      <c r="E15" s="2">
        <v>30.287638189999999</v>
      </c>
      <c r="F15" s="17">
        <f t="shared" si="0"/>
        <v>44251.565196759257</v>
      </c>
      <c r="G15" s="9">
        <v>44251.565196759257</v>
      </c>
      <c r="H15" s="25">
        <v>1</v>
      </c>
      <c r="I15" s="5">
        <v>2.8580000000000001</v>
      </c>
      <c r="J15" s="5">
        <v>0.33956999999999998</v>
      </c>
      <c r="K15" s="5">
        <v>0.35165999999999997</v>
      </c>
      <c r="L15" s="5">
        <v>34.667000000000002</v>
      </c>
      <c r="M15" s="5">
        <v>2</v>
      </c>
      <c r="N15" s="5">
        <v>2.871</v>
      </c>
      <c r="O15" s="5">
        <v>0.33063999999999999</v>
      </c>
      <c r="P15" s="5">
        <v>0.34936</v>
      </c>
      <c r="Q15" s="5">
        <v>34.902999999999999</v>
      </c>
      <c r="R15" s="5">
        <v>3</v>
      </c>
      <c r="S15" s="5">
        <v>2.859</v>
      </c>
      <c r="T15" s="5">
        <v>0.30769000000000002</v>
      </c>
      <c r="U15" s="5">
        <v>0.32196999999999998</v>
      </c>
      <c r="V15" s="5">
        <v>33.347999999999999</v>
      </c>
      <c r="W15" s="22">
        <f t="shared" si="1"/>
        <v>-7.6600000000000001E-3</v>
      </c>
      <c r="X15" s="21">
        <f t="shared" si="2"/>
        <v>-1.8620000000000303E-3</v>
      </c>
      <c r="Y15" s="21">
        <f t="shared" si="3"/>
        <v>-4.4610000000000483E-3</v>
      </c>
      <c r="Z15" s="11">
        <f t="shared" si="4"/>
        <v>4.1268460569165999E-3</v>
      </c>
      <c r="AA15" s="22">
        <f t="shared" si="5"/>
        <v>-9.4300000000000495E-3</v>
      </c>
      <c r="AB15" s="21">
        <f t="shared" si="6"/>
        <v>-1.063200000000003E-2</v>
      </c>
      <c r="AC15" s="21">
        <f t="shared" si="7"/>
        <v>-5.1080000000000014E-3</v>
      </c>
      <c r="AD15" s="11">
        <f t="shared" si="8"/>
        <v>7.5982256731910169E-3</v>
      </c>
      <c r="AE15" s="22">
        <f t="shared" si="9"/>
        <v>-4.389999999999894E-3</v>
      </c>
      <c r="AF15" s="21">
        <f t="shared" si="10"/>
        <v>-3.4543999999999964E-2</v>
      </c>
      <c r="AG15" s="21">
        <f t="shared" si="11"/>
        <v>-3.4312000000000009E-2</v>
      </c>
      <c r="AH15" s="11">
        <f t="shared" si="12"/>
        <v>-3.2892643050831061E-2</v>
      </c>
      <c r="AI15">
        <v>2.5000000000000001E-2</v>
      </c>
      <c r="AJ15">
        <v>-2.5000000000000001E-2</v>
      </c>
      <c r="AK15">
        <v>1.5E-3</v>
      </c>
      <c r="AL15">
        <v>-1.5E-3</v>
      </c>
      <c r="AM15">
        <v>1.5E-3</v>
      </c>
      <c r="AN15">
        <v>-1.5E-3</v>
      </c>
      <c r="AO15" s="16">
        <v>2.5000000000000001E-2</v>
      </c>
      <c r="AP15" s="16">
        <v>-2.5000000000000001E-2</v>
      </c>
      <c r="AQ15">
        <v>1.4999999999999999E-2</v>
      </c>
      <c r="AR15">
        <v>-1.4999999999999999E-2</v>
      </c>
      <c r="AS15">
        <v>1E-3</v>
      </c>
      <c r="AT15">
        <v>-1E-3</v>
      </c>
      <c r="AU15">
        <v>1E-3</v>
      </c>
      <c r="AV15">
        <v>-1E-3</v>
      </c>
      <c r="AW15" s="16">
        <v>1.4999999999999999E-2</v>
      </c>
      <c r="AX15" s="16">
        <v>-1.4999999999999999E-2</v>
      </c>
      <c r="JS15">
        <v>30.502684236212787</v>
      </c>
    </row>
    <row r="16" spans="1:279" customFormat="1">
      <c r="A16" s="2">
        <v>11</v>
      </c>
      <c r="B16" s="2">
        <v>2.8651</v>
      </c>
      <c r="C16" s="2">
        <v>0.33063100000000001</v>
      </c>
      <c r="D16" s="2">
        <v>0.34810999999999998</v>
      </c>
      <c r="E16" s="2">
        <v>34.687437189999997</v>
      </c>
      <c r="F16" s="17">
        <f t="shared" si="0"/>
        <v>44252.688587962963</v>
      </c>
      <c r="G16" s="9">
        <v>44252.688587962963</v>
      </c>
      <c r="H16" s="25">
        <v>1</v>
      </c>
      <c r="I16" s="5">
        <v>2.8580000000000001</v>
      </c>
      <c r="J16" s="5">
        <v>0.33965000000000001</v>
      </c>
      <c r="K16" s="5">
        <v>0.35178999999999999</v>
      </c>
      <c r="L16" s="5">
        <v>34.695999999999998</v>
      </c>
      <c r="M16" s="5">
        <v>2</v>
      </c>
      <c r="N16" s="5">
        <v>2.8719999999999999</v>
      </c>
      <c r="O16" s="5">
        <v>0.33055000000000001</v>
      </c>
      <c r="P16" s="5">
        <v>0.34933999999999998</v>
      </c>
      <c r="Q16" s="5">
        <v>34.902999999999999</v>
      </c>
      <c r="R16" s="5">
        <v>3</v>
      </c>
      <c r="S16" s="5">
        <v>2.86</v>
      </c>
      <c r="T16" s="5">
        <v>0.30776999999999999</v>
      </c>
      <c r="U16" s="5">
        <v>0.32179999999999997</v>
      </c>
      <c r="V16" s="5">
        <v>33.344000000000001</v>
      </c>
      <c r="W16" s="22">
        <f t="shared" si="1"/>
        <v>-7.6600000000000001E-3</v>
      </c>
      <c r="X16" s="21">
        <f t="shared" si="2"/>
        <v>-1.7820000000000058E-3</v>
      </c>
      <c r="Y16" s="21">
        <f t="shared" si="3"/>
        <v>-4.3310000000000293E-3</v>
      </c>
      <c r="Z16" s="11">
        <f t="shared" si="4"/>
        <v>4.9668287071500394E-3</v>
      </c>
      <c r="AA16" s="22">
        <f t="shared" si="5"/>
        <v>-8.4300000000001596E-3</v>
      </c>
      <c r="AB16" s="21">
        <f t="shared" si="6"/>
        <v>-1.0722000000000009E-2</v>
      </c>
      <c r="AC16" s="21">
        <f t="shared" si="7"/>
        <v>-5.1280000000000214E-3</v>
      </c>
      <c r="AD16" s="11">
        <f t="shared" si="8"/>
        <v>7.5982256731910169E-3</v>
      </c>
      <c r="AE16" s="22">
        <f t="shared" si="9"/>
        <v>-3.3900000000000041E-3</v>
      </c>
      <c r="AF16" s="21">
        <f t="shared" si="10"/>
        <v>-3.4463999999999995E-2</v>
      </c>
      <c r="AG16" s="21">
        <f t="shared" si="11"/>
        <v>-3.4482000000000013E-2</v>
      </c>
      <c r="AH16" s="11">
        <f t="shared" si="12"/>
        <v>-3.3008644892854377E-2</v>
      </c>
      <c r="AI16">
        <v>2.5000000000000001E-2</v>
      </c>
      <c r="AJ16">
        <v>-2.5000000000000001E-2</v>
      </c>
      <c r="AK16">
        <v>1.5E-3</v>
      </c>
      <c r="AL16">
        <v>-1.5E-3</v>
      </c>
      <c r="AM16">
        <v>1.5E-3</v>
      </c>
      <c r="AN16">
        <v>-1.5E-3</v>
      </c>
      <c r="AO16" s="16">
        <v>2.5000000000000001E-2</v>
      </c>
      <c r="AP16" s="16">
        <v>-2.5000000000000001E-2</v>
      </c>
      <c r="AQ16">
        <v>1.4999999999999999E-2</v>
      </c>
      <c r="AR16">
        <v>-1.4999999999999999E-2</v>
      </c>
      <c r="AS16">
        <v>1E-3</v>
      </c>
      <c r="AT16">
        <v>-1E-3</v>
      </c>
      <c r="AU16">
        <v>1E-3</v>
      </c>
      <c r="AV16">
        <v>-1E-3</v>
      </c>
      <c r="AW16" s="16">
        <v>1.4999999999999999E-2</v>
      </c>
      <c r="AX16" s="16">
        <v>-1.4999999999999999E-2</v>
      </c>
      <c r="JP16">
        <v>30.502684236212787</v>
      </c>
      <c r="JQ16">
        <v>28.935185185185187</v>
      </c>
    </row>
    <row r="17" spans="1:279" customFormat="1">
      <c r="A17" s="2">
        <v>12</v>
      </c>
      <c r="B17" s="2">
        <v>2.86273</v>
      </c>
      <c r="C17" s="2">
        <v>0.32705099999999998</v>
      </c>
      <c r="D17" s="2">
        <v>0.34508299999999997</v>
      </c>
      <c r="E17" s="2">
        <v>34.585226130000002</v>
      </c>
      <c r="F17" s="17">
        <f t="shared" si="0"/>
        <v>44253.207407407404</v>
      </c>
      <c r="G17" s="9">
        <v>44253.207407407404</v>
      </c>
      <c r="H17" s="25">
        <v>1</v>
      </c>
      <c r="I17" s="5">
        <v>2.859</v>
      </c>
      <c r="J17" s="5">
        <v>0.33977000000000002</v>
      </c>
      <c r="K17" s="5">
        <v>0.35178999999999999</v>
      </c>
      <c r="L17" s="5">
        <v>34.673000000000002</v>
      </c>
      <c r="M17" s="5">
        <v>2</v>
      </c>
      <c r="N17" s="5">
        <v>2.8730000000000002</v>
      </c>
      <c r="O17" s="5">
        <v>0.33054</v>
      </c>
      <c r="P17" s="5">
        <v>0.34954000000000002</v>
      </c>
      <c r="Q17" s="5">
        <v>34.921999999999997</v>
      </c>
      <c r="R17" s="5">
        <v>3</v>
      </c>
      <c r="S17" s="5">
        <v>2.8620000000000001</v>
      </c>
      <c r="T17" s="5">
        <v>0.30782999999999999</v>
      </c>
      <c r="U17" s="5">
        <v>0.32191999999999998</v>
      </c>
      <c r="V17" s="5">
        <v>33.325000000000003</v>
      </c>
      <c r="W17" s="22">
        <f t="shared" si="1"/>
        <v>-6.6600000000001103E-3</v>
      </c>
      <c r="X17" s="21">
        <f t="shared" si="2"/>
        <v>-1.6619999999999968E-3</v>
      </c>
      <c r="Y17" s="21">
        <f t="shared" si="3"/>
        <v>-4.3310000000000293E-3</v>
      </c>
      <c r="Z17" s="11">
        <f t="shared" si="4"/>
        <v>4.3006355707579935E-3</v>
      </c>
      <c r="AA17" s="22">
        <f t="shared" si="5"/>
        <v>-7.4299999999998256E-3</v>
      </c>
      <c r="AB17" s="21">
        <f t="shared" si="6"/>
        <v>-1.0732000000000019E-2</v>
      </c>
      <c r="AC17" s="21">
        <f t="shared" si="7"/>
        <v>-4.9279999999999879E-3</v>
      </c>
      <c r="AD17" s="11">
        <f t="shared" si="8"/>
        <v>8.1467277013200778E-3</v>
      </c>
      <c r="AE17" s="22">
        <f t="shared" si="9"/>
        <v>-1.3899999999997803E-3</v>
      </c>
      <c r="AF17" s="21">
        <f t="shared" si="10"/>
        <v>-3.440399999999999E-2</v>
      </c>
      <c r="AG17" s="21">
        <f t="shared" si="11"/>
        <v>-3.4362000000000004E-2</v>
      </c>
      <c r="AH17" s="11">
        <f t="shared" si="12"/>
        <v>-3.3559653642465492E-2</v>
      </c>
      <c r="AI17">
        <v>2.5000000000000001E-2</v>
      </c>
      <c r="AJ17">
        <v>-2.5000000000000001E-2</v>
      </c>
      <c r="AK17">
        <v>1.5E-3</v>
      </c>
      <c r="AL17">
        <v>-1.5E-3</v>
      </c>
      <c r="AM17">
        <v>1.5E-3</v>
      </c>
      <c r="AN17">
        <v>-1.5E-3</v>
      </c>
      <c r="AO17" s="16">
        <v>2.5000000000000001E-2</v>
      </c>
      <c r="AP17" s="16">
        <v>-2.5000000000000001E-2</v>
      </c>
      <c r="AQ17">
        <v>1.4999999999999999E-2</v>
      </c>
      <c r="AR17">
        <v>-1.4999999999999999E-2</v>
      </c>
      <c r="AS17">
        <v>1E-3</v>
      </c>
      <c r="AT17">
        <v>-1E-3</v>
      </c>
      <c r="AU17">
        <v>1E-3</v>
      </c>
      <c r="AV17">
        <v>-1E-3</v>
      </c>
      <c r="AW17" s="16">
        <v>1.4999999999999999E-2</v>
      </c>
      <c r="AX17" s="16">
        <v>-1.4999999999999999E-2</v>
      </c>
    </row>
    <row r="18" spans="1:279" customFormat="1">
      <c r="A18" s="2">
        <v>13</v>
      </c>
      <c r="B18" s="2">
        <v>2.8628200000000001</v>
      </c>
      <c r="C18" s="2">
        <v>0.32861699999999999</v>
      </c>
      <c r="D18" s="2">
        <v>0.34723500000000002</v>
      </c>
      <c r="E18" s="2">
        <v>34.643718589999999</v>
      </c>
      <c r="F18" s="17">
        <f t="shared" si="0"/>
        <v>44253.536481481482</v>
      </c>
      <c r="G18" s="9">
        <v>44253.536481481482</v>
      </c>
      <c r="H18" s="25">
        <v>1</v>
      </c>
      <c r="I18" s="5">
        <v>2.8620000000000001</v>
      </c>
      <c r="J18" s="5">
        <v>0.33996999999999999</v>
      </c>
      <c r="K18" s="5">
        <v>0.35193000000000002</v>
      </c>
      <c r="L18" s="5">
        <v>34.750999999999998</v>
      </c>
      <c r="M18" s="5">
        <v>2</v>
      </c>
      <c r="N18" s="5">
        <v>2.8759999999999999</v>
      </c>
      <c r="O18" s="5">
        <v>0.33065</v>
      </c>
      <c r="P18" s="5">
        <v>0.34949999999999998</v>
      </c>
      <c r="Q18" s="5">
        <v>34.968000000000004</v>
      </c>
      <c r="R18" s="5">
        <v>3</v>
      </c>
      <c r="S18" s="5">
        <v>2.8639999999999999</v>
      </c>
      <c r="T18" s="5">
        <v>0.30786999999999998</v>
      </c>
      <c r="U18" s="5">
        <v>0.32205</v>
      </c>
      <c r="V18" s="5">
        <v>33.405999999999999</v>
      </c>
      <c r="W18" s="22">
        <f t="shared" si="1"/>
        <v>-3.6599999999999966E-3</v>
      </c>
      <c r="X18" s="21">
        <f t="shared" si="2"/>
        <v>-1.4620000000000188E-3</v>
      </c>
      <c r="Y18" s="21">
        <f t="shared" si="3"/>
        <v>-4.1910000000000003E-3</v>
      </c>
      <c r="Z18" s="11">
        <f t="shared" si="4"/>
        <v>6.5598992506967768E-3</v>
      </c>
      <c r="AA18" s="22">
        <f t="shared" si="5"/>
        <v>-4.430000000000156E-3</v>
      </c>
      <c r="AB18" s="21">
        <f t="shared" si="6"/>
        <v>-1.062200000000002E-2</v>
      </c>
      <c r="AC18" s="21">
        <f t="shared" si="7"/>
        <v>-4.9680000000000279E-3</v>
      </c>
      <c r="AD18" s="11">
        <f t="shared" si="8"/>
        <v>9.4746799799487746E-3</v>
      </c>
      <c r="AE18" s="22">
        <f t="shared" si="9"/>
        <v>6.0999999999999943E-4</v>
      </c>
      <c r="AF18" s="21">
        <f t="shared" si="10"/>
        <v>-3.4364000000000006E-2</v>
      </c>
      <c r="AG18" s="21">
        <f t="shared" si="11"/>
        <v>-3.4231999999999985E-2</v>
      </c>
      <c r="AH18" s="11">
        <f t="shared" si="12"/>
        <v>-3.1210616341491582E-2</v>
      </c>
      <c r="AI18">
        <v>2.5000000000000001E-2</v>
      </c>
      <c r="AJ18">
        <v>-2.5000000000000001E-2</v>
      </c>
      <c r="AK18">
        <v>1.5E-3</v>
      </c>
      <c r="AL18">
        <v>-1.5E-3</v>
      </c>
      <c r="AM18">
        <v>1.5E-3</v>
      </c>
      <c r="AN18">
        <v>-1.5E-3</v>
      </c>
      <c r="AO18" s="16">
        <v>2.5000000000000001E-2</v>
      </c>
      <c r="AP18" s="16">
        <v>-2.5000000000000001E-2</v>
      </c>
      <c r="AQ18">
        <v>1.4999999999999999E-2</v>
      </c>
      <c r="AR18">
        <v>-1.4999999999999999E-2</v>
      </c>
      <c r="AS18">
        <v>1E-3</v>
      </c>
      <c r="AT18">
        <v>-1E-3</v>
      </c>
      <c r="AU18">
        <v>1E-3</v>
      </c>
      <c r="AV18">
        <v>-1E-3</v>
      </c>
      <c r="AW18" s="16">
        <v>1.4999999999999999E-2</v>
      </c>
      <c r="AX18" s="16">
        <v>-1.4999999999999999E-2</v>
      </c>
      <c r="JQ18">
        <v>24.187306501547987</v>
      </c>
      <c r="JR18">
        <v>27.64263600176913</v>
      </c>
      <c r="JS18">
        <v>24.187306501547987</v>
      </c>
    </row>
    <row r="19" spans="1:279" customFormat="1">
      <c r="A19" s="2">
        <v>14</v>
      </c>
      <c r="B19" s="2">
        <v>2.8972699999999998</v>
      </c>
      <c r="C19" s="2">
        <v>0.32983699999999999</v>
      </c>
      <c r="D19" s="2">
        <v>0.346854</v>
      </c>
      <c r="E19" s="2">
        <v>34.551557789999997</v>
      </c>
      <c r="F19" s="17">
        <f t="shared" si="0"/>
        <v>44253.673518518517</v>
      </c>
      <c r="G19" s="9">
        <v>44253.673518518517</v>
      </c>
      <c r="H19" s="25">
        <v>1</v>
      </c>
      <c r="I19" s="5">
        <v>2.8620000000000001</v>
      </c>
      <c r="J19" s="5">
        <v>0.33978999999999998</v>
      </c>
      <c r="K19" s="5">
        <v>0.35188999999999998</v>
      </c>
      <c r="L19" s="5">
        <v>34.76</v>
      </c>
      <c r="M19" s="5">
        <v>2</v>
      </c>
      <c r="N19" s="5">
        <v>2.8759999999999999</v>
      </c>
      <c r="O19" s="5">
        <v>0.33065</v>
      </c>
      <c r="P19" s="5">
        <v>0.34950999999999999</v>
      </c>
      <c r="Q19" s="5">
        <v>34.982999999999997</v>
      </c>
      <c r="R19" s="5">
        <v>3</v>
      </c>
      <c r="S19" s="5">
        <v>2.8639999999999999</v>
      </c>
      <c r="T19" s="5">
        <v>0.30797000000000002</v>
      </c>
      <c r="U19" s="5">
        <v>0.32218999999999998</v>
      </c>
      <c r="V19" s="5">
        <v>33.430999999999997</v>
      </c>
      <c r="W19" s="22">
        <f t="shared" si="1"/>
        <v>-3.6599999999999966E-3</v>
      </c>
      <c r="X19" s="21">
        <f t="shared" si="2"/>
        <v>-1.6420000000000323E-3</v>
      </c>
      <c r="Y19" s="21">
        <f t="shared" si="3"/>
        <v>-4.2310000000000403E-3</v>
      </c>
      <c r="Z19" s="11">
        <f t="shared" si="4"/>
        <v>6.8205835214587562E-3</v>
      </c>
      <c r="AA19" s="22">
        <f t="shared" si="5"/>
        <v>-4.430000000000156E-3</v>
      </c>
      <c r="AB19" s="21">
        <f t="shared" si="6"/>
        <v>-1.062200000000002E-2</v>
      </c>
      <c r="AC19" s="21">
        <f t="shared" si="7"/>
        <v>-4.9580000000000179E-3</v>
      </c>
      <c r="AD19" s="11">
        <f t="shared" si="8"/>
        <v>9.907707896892548E-3</v>
      </c>
      <c r="AE19" s="22">
        <f t="shared" si="9"/>
        <v>6.0999999999999943E-4</v>
      </c>
      <c r="AF19" s="21">
        <f t="shared" si="10"/>
        <v>-3.4263999999999961E-2</v>
      </c>
      <c r="AG19" s="21">
        <f t="shared" si="11"/>
        <v>-3.4092000000000011E-2</v>
      </c>
      <c r="AH19" s="11">
        <f t="shared" si="12"/>
        <v>-3.0485604828845325E-2</v>
      </c>
      <c r="AI19">
        <v>2.5000000000000001E-2</v>
      </c>
      <c r="AJ19">
        <v>-2.5000000000000001E-2</v>
      </c>
      <c r="AK19">
        <v>1.5E-3</v>
      </c>
      <c r="AL19">
        <v>-1.5E-3</v>
      </c>
      <c r="AM19">
        <v>1.5E-3</v>
      </c>
      <c r="AN19">
        <v>-1.5E-3</v>
      </c>
      <c r="AO19" s="16">
        <v>2.5000000000000001E-2</v>
      </c>
      <c r="AP19" s="16">
        <v>-2.5000000000000001E-2</v>
      </c>
      <c r="AQ19">
        <v>1.4999999999999999E-2</v>
      </c>
      <c r="AR19">
        <v>-1.4999999999999999E-2</v>
      </c>
      <c r="AS19">
        <v>1E-3</v>
      </c>
      <c r="AT19">
        <v>-1E-3</v>
      </c>
      <c r="AU19">
        <v>1E-3</v>
      </c>
      <c r="AV19">
        <v>-1E-3</v>
      </c>
      <c r="AW19" s="16">
        <v>1.4999999999999999E-2</v>
      </c>
      <c r="AX19" s="16">
        <v>-1.4999999999999999E-2</v>
      </c>
    </row>
    <row r="20" spans="1:279" customFormat="1">
      <c r="A20" s="2">
        <v>15</v>
      </c>
      <c r="B20" s="2">
        <v>2.89954</v>
      </c>
      <c r="C20" s="2">
        <v>0.32939600000000002</v>
      </c>
      <c r="D20" s="2">
        <v>0.34756399999999998</v>
      </c>
      <c r="E20" s="2">
        <v>34.616180900000003</v>
      </c>
      <c r="F20" s="17" t="str">
        <f t="shared" si="0"/>
        <v/>
      </c>
      <c r="G20" s="9"/>
      <c r="H20" s="25">
        <v>1</v>
      </c>
      <c r="I20" s="5"/>
      <c r="J20" s="5"/>
      <c r="K20" s="5"/>
      <c r="L20" s="5"/>
      <c r="M20" s="5">
        <v>2</v>
      </c>
      <c r="N20" s="5"/>
      <c r="O20" s="5"/>
      <c r="P20" s="5"/>
      <c r="Q20" s="5"/>
      <c r="R20" s="5">
        <v>3</v>
      </c>
      <c r="S20" s="5"/>
      <c r="T20" s="5"/>
      <c r="U20" s="5"/>
      <c r="V20" s="5"/>
      <c r="W20" s="22">
        <f t="shared" si="1"/>
        <v>-2.8656600000000001</v>
      </c>
      <c r="X20" s="21">
        <f t="shared" si="2"/>
        <v>-0.34143200000000001</v>
      </c>
      <c r="Y20" s="21">
        <f t="shared" si="3"/>
        <v>-0.35612100000000002</v>
      </c>
      <c r="Z20" s="11">
        <f t="shared" si="4"/>
        <v>-1</v>
      </c>
      <c r="AA20" s="22">
        <f t="shared" si="5"/>
        <v>-2.88043</v>
      </c>
      <c r="AB20" s="21">
        <f t="shared" si="6"/>
        <v>-0.34127200000000002</v>
      </c>
      <c r="AC20" s="21">
        <f t="shared" si="7"/>
        <v>-0.35446800000000001</v>
      </c>
      <c r="AD20" s="11">
        <f t="shared" si="8"/>
        <v>-1</v>
      </c>
      <c r="AE20" s="22">
        <f t="shared" si="9"/>
        <v>-2.8633899999999999</v>
      </c>
      <c r="AF20" s="21">
        <f t="shared" si="10"/>
        <v>-0.34223399999999998</v>
      </c>
      <c r="AG20" s="21">
        <f t="shared" si="11"/>
        <v>-0.35628199999999999</v>
      </c>
      <c r="AH20" s="11">
        <f t="shared" si="12"/>
        <v>-1</v>
      </c>
      <c r="AI20">
        <v>2.5000000000000001E-2</v>
      </c>
      <c r="AJ20">
        <v>-2.5000000000000001E-2</v>
      </c>
      <c r="AK20">
        <v>1.5E-3</v>
      </c>
      <c r="AL20">
        <v>-1.5E-3</v>
      </c>
      <c r="AM20">
        <v>1.5E-3</v>
      </c>
      <c r="AN20">
        <v>-1.5E-3</v>
      </c>
      <c r="AO20" s="16">
        <v>2.5000000000000001E-2</v>
      </c>
      <c r="AP20" s="16">
        <v>-2.5000000000000001E-2</v>
      </c>
      <c r="AQ20">
        <v>1.4999999999999999E-2</v>
      </c>
      <c r="AR20">
        <v>-1.4999999999999999E-2</v>
      </c>
      <c r="AS20">
        <v>1E-3</v>
      </c>
      <c r="AT20">
        <v>-1E-3</v>
      </c>
      <c r="AU20">
        <v>1E-3</v>
      </c>
      <c r="AV20">
        <v>-1E-3</v>
      </c>
      <c r="AW20" s="16">
        <v>1.4999999999999999E-2</v>
      </c>
      <c r="AX20" s="16">
        <v>-1.4999999999999999E-2</v>
      </c>
      <c r="JP20">
        <v>27.64263600176913</v>
      </c>
      <c r="JQ20">
        <v>26.386152547143258</v>
      </c>
    </row>
    <row r="21" spans="1:279" customFormat="1">
      <c r="A21" s="2">
        <v>16</v>
      </c>
      <c r="B21" s="2">
        <v>2.8766400000000001</v>
      </c>
      <c r="C21" s="2">
        <v>0.40086899999999998</v>
      </c>
      <c r="D21" s="2">
        <v>0.38636300000000001</v>
      </c>
      <c r="E21" s="2">
        <v>32.620904520000003</v>
      </c>
      <c r="F21" s="17" t="str">
        <f t="shared" si="0"/>
        <v/>
      </c>
      <c r="G21" s="9"/>
      <c r="H21" s="25">
        <v>1</v>
      </c>
      <c r="I21" s="5"/>
      <c r="J21" s="5"/>
      <c r="K21" s="5"/>
      <c r="L21" s="5"/>
      <c r="M21" s="5">
        <v>2</v>
      </c>
      <c r="N21" s="5"/>
      <c r="O21" s="5"/>
      <c r="P21" s="5"/>
      <c r="Q21" s="5"/>
      <c r="R21" s="5">
        <v>3</v>
      </c>
      <c r="S21" s="5"/>
      <c r="T21" s="5"/>
      <c r="U21" s="5"/>
      <c r="V21" s="5"/>
      <c r="W21" s="22">
        <f t="shared" si="1"/>
        <v>-2.8656600000000001</v>
      </c>
      <c r="X21" s="21">
        <f t="shared" si="2"/>
        <v>-0.34143200000000001</v>
      </c>
      <c r="Y21" s="21">
        <f t="shared" si="3"/>
        <v>-0.35612100000000002</v>
      </c>
      <c r="Z21" s="11">
        <f t="shared" si="4"/>
        <v>-1</v>
      </c>
      <c r="AA21" s="22">
        <f t="shared" si="5"/>
        <v>-2.88043</v>
      </c>
      <c r="AB21" s="21">
        <f t="shared" si="6"/>
        <v>-0.34127200000000002</v>
      </c>
      <c r="AC21" s="21">
        <f t="shared" si="7"/>
        <v>-0.35446800000000001</v>
      </c>
      <c r="AD21" s="11">
        <f t="shared" si="8"/>
        <v>-1</v>
      </c>
      <c r="AE21" s="22">
        <f t="shared" si="9"/>
        <v>-2.8633899999999999</v>
      </c>
      <c r="AF21" s="21">
        <f t="shared" si="10"/>
        <v>-0.34223399999999998</v>
      </c>
      <c r="AG21" s="21">
        <f t="shared" si="11"/>
        <v>-0.35628199999999999</v>
      </c>
      <c r="AH21" s="11">
        <f t="shared" si="12"/>
        <v>-1</v>
      </c>
      <c r="AI21">
        <v>2.5000000000000001E-2</v>
      </c>
      <c r="AJ21">
        <v>-2.5000000000000001E-2</v>
      </c>
      <c r="AK21">
        <v>1.5E-3</v>
      </c>
      <c r="AL21">
        <v>-1.5E-3</v>
      </c>
      <c r="AM21">
        <v>1.5E-3</v>
      </c>
      <c r="AN21">
        <v>-1.5E-3</v>
      </c>
      <c r="AO21" s="16">
        <v>2.5000000000000001E-2</v>
      </c>
      <c r="AP21" s="16">
        <v>-2.5000000000000001E-2</v>
      </c>
      <c r="AQ21">
        <v>1.4999999999999999E-2</v>
      </c>
      <c r="AR21">
        <v>-1.4999999999999999E-2</v>
      </c>
      <c r="AS21">
        <v>1E-3</v>
      </c>
      <c r="AT21">
        <v>-1E-3</v>
      </c>
      <c r="AU21">
        <v>1E-3</v>
      </c>
      <c r="AV21">
        <v>-1E-3</v>
      </c>
      <c r="AW21" s="16">
        <v>1.4999999999999999E-2</v>
      </c>
      <c r="AX21" s="16">
        <v>-1.4999999999999999E-2</v>
      </c>
      <c r="JP21">
        <v>28.935185185185187</v>
      </c>
      <c r="JQ21">
        <v>28.935185185185187</v>
      </c>
    </row>
    <row r="22" spans="1:279" customFormat="1">
      <c r="A22" s="2">
        <v>17</v>
      </c>
      <c r="B22" s="2">
        <v>2.8833600000000001</v>
      </c>
      <c r="C22" s="2">
        <v>0.40114100000000003</v>
      </c>
      <c r="D22" s="2">
        <v>0.38645400000000002</v>
      </c>
      <c r="E22" s="2">
        <v>32.616683420000001</v>
      </c>
      <c r="F22" s="17" t="str">
        <f t="shared" si="0"/>
        <v/>
      </c>
      <c r="G22" s="9"/>
      <c r="H22" s="25">
        <v>1</v>
      </c>
      <c r="I22" s="5"/>
      <c r="J22" s="5"/>
      <c r="K22" s="5"/>
      <c r="L22" s="5"/>
      <c r="M22" s="5">
        <v>2</v>
      </c>
      <c r="N22" s="5"/>
      <c r="O22" s="5"/>
      <c r="P22" s="5"/>
      <c r="Q22" s="5"/>
      <c r="R22" s="5">
        <v>3</v>
      </c>
      <c r="S22" s="5"/>
      <c r="T22" s="5"/>
      <c r="U22" s="5"/>
      <c r="V22" s="5"/>
      <c r="W22" s="22">
        <f t="shared" si="1"/>
        <v>-2.8656600000000001</v>
      </c>
      <c r="X22" s="21">
        <f t="shared" si="2"/>
        <v>-0.34143200000000001</v>
      </c>
      <c r="Y22" s="21">
        <f t="shared" si="3"/>
        <v>-0.35612100000000002</v>
      </c>
      <c r="Z22" s="11">
        <f t="shared" si="4"/>
        <v>-1</v>
      </c>
      <c r="AA22" s="22">
        <f t="shared" si="5"/>
        <v>-2.88043</v>
      </c>
      <c r="AB22" s="21">
        <f t="shared" si="6"/>
        <v>-0.34127200000000002</v>
      </c>
      <c r="AC22" s="21">
        <f t="shared" si="7"/>
        <v>-0.35446800000000001</v>
      </c>
      <c r="AD22" s="11">
        <f t="shared" si="8"/>
        <v>-1</v>
      </c>
      <c r="AE22" s="22">
        <f t="shared" si="9"/>
        <v>-2.8633899999999999</v>
      </c>
      <c r="AF22" s="21">
        <f t="shared" si="10"/>
        <v>-0.34223399999999998</v>
      </c>
      <c r="AG22" s="21">
        <f t="shared" si="11"/>
        <v>-0.35628199999999999</v>
      </c>
      <c r="AH22" s="11">
        <f t="shared" si="12"/>
        <v>-1</v>
      </c>
      <c r="AI22">
        <v>2.5000000000000001E-2</v>
      </c>
      <c r="AJ22">
        <v>-2.5000000000000001E-2</v>
      </c>
      <c r="AK22">
        <v>1.5E-3</v>
      </c>
      <c r="AL22">
        <v>-1.5E-3</v>
      </c>
      <c r="AM22">
        <v>1.5E-3</v>
      </c>
      <c r="AN22">
        <v>-1.5E-3</v>
      </c>
      <c r="AO22" s="16">
        <v>2.5000000000000001E-2</v>
      </c>
      <c r="AP22" s="16">
        <v>-2.5000000000000001E-2</v>
      </c>
      <c r="AQ22">
        <v>1.4999999999999999E-2</v>
      </c>
      <c r="AR22">
        <v>-1.4999999999999999E-2</v>
      </c>
      <c r="AS22">
        <v>1E-3</v>
      </c>
      <c r="AT22">
        <v>-1E-3</v>
      </c>
      <c r="AU22">
        <v>1E-3</v>
      </c>
      <c r="AV22">
        <v>-1E-3</v>
      </c>
      <c r="AW22" s="16">
        <v>1.4999999999999999E-2</v>
      </c>
      <c r="AX22" s="16">
        <v>-1.4999999999999999E-2</v>
      </c>
    </row>
    <row r="23" spans="1:279" customFormat="1">
      <c r="A23" s="2">
        <v>18</v>
      </c>
      <c r="B23" s="2">
        <v>2.8842099999999999</v>
      </c>
      <c r="C23" s="2">
        <v>0.40173999999999999</v>
      </c>
      <c r="D23" s="2">
        <v>0.38745200000000002</v>
      </c>
      <c r="E23" s="2">
        <v>32.576683420000002</v>
      </c>
      <c r="F23" s="17" t="str">
        <f t="shared" si="0"/>
        <v/>
      </c>
      <c r="G23" s="9"/>
      <c r="H23" s="25">
        <v>1</v>
      </c>
      <c r="I23" s="5"/>
      <c r="J23" s="5"/>
      <c r="K23" s="5"/>
      <c r="L23" s="5"/>
      <c r="M23" s="5">
        <v>2</v>
      </c>
      <c r="N23" s="5"/>
      <c r="O23" s="5"/>
      <c r="P23" s="5"/>
      <c r="Q23" s="5"/>
      <c r="R23" s="5">
        <v>3</v>
      </c>
      <c r="S23" s="5"/>
      <c r="T23" s="5"/>
      <c r="U23" s="5"/>
      <c r="V23" s="5"/>
      <c r="W23" s="22">
        <f t="shared" si="1"/>
        <v>-2.8656600000000001</v>
      </c>
      <c r="X23" s="21">
        <f t="shared" si="2"/>
        <v>-0.34143200000000001</v>
      </c>
      <c r="Y23" s="21">
        <f t="shared" si="3"/>
        <v>-0.35612100000000002</v>
      </c>
      <c r="Z23" s="11">
        <f t="shared" si="4"/>
        <v>-1</v>
      </c>
      <c r="AA23" s="22">
        <f t="shared" si="5"/>
        <v>-2.88043</v>
      </c>
      <c r="AB23" s="21">
        <f t="shared" si="6"/>
        <v>-0.34127200000000002</v>
      </c>
      <c r="AC23" s="21">
        <f t="shared" si="7"/>
        <v>-0.35446800000000001</v>
      </c>
      <c r="AD23" s="11">
        <f t="shared" si="8"/>
        <v>-1</v>
      </c>
      <c r="AE23" s="22">
        <f t="shared" si="9"/>
        <v>-2.8633899999999999</v>
      </c>
      <c r="AF23" s="21">
        <f t="shared" si="10"/>
        <v>-0.34223399999999998</v>
      </c>
      <c r="AG23" s="21">
        <f t="shared" si="11"/>
        <v>-0.35628199999999999</v>
      </c>
      <c r="AH23" s="11">
        <f t="shared" si="12"/>
        <v>-1</v>
      </c>
      <c r="AI23">
        <v>2.5000000000000001E-2</v>
      </c>
      <c r="AJ23">
        <v>-2.5000000000000001E-2</v>
      </c>
      <c r="AK23">
        <v>1.5E-3</v>
      </c>
      <c r="AL23">
        <v>-1.5E-3</v>
      </c>
      <c r="AM23">
        <v>1.5E-3</v>
      </c>
      <c r="AN23">
        <v>-1.5E-3</v>
      </c>
      <c r="AO23" s="16">
        <v>2.5000000000000001E-2</v>
      </c>
      <c r="AP23" s="16">
        <v>-2.5000000000000001E-2</v>
      </c>
      <c r="AQ23">
        <v>1.4999999999999999E-2</v>
      </c>
      <c r="AR23">
        <v>-1.4999999999999999E-2</v>
      </c>
      <c r="AS23">
        <v>1E-3</v>
      </c>
      <c r="AT23">
        <v>-1E-3</v>
      </c>
      <c r="AU23">
        <v>1E-3</v>
      </c>
      <c r="AV23">
        <v>-1E-3</v>
      </c>
      <c r="AW23" s="16">
        <v>1.4999999999999999E-2</v>
      </c>
      <c r="AX23" s="16">
        <v>-1.4999999999999999E-2</v>
      </c>
    </row>
    <row r="24" spans="1:279" customFormat="1">
      <c r="A24" s="2">
        <v>19</v>
      </c>
      <c r="B24" s="2">
        <v>2.8944299999999998</v>
      </c>
      <c r="C24" s="2">
        <v>0.40179199999999998</v>
      </c>
      <c r="D24" s="2">
        <v>0.38720700000000002</v>
      </c>
      <c r="E24" s="2">
        <v>32.528944719999998</v>
      </c>
      <c r="F24" s="17" t="str">
        <f t="shared" si="0"/>
        <v/>
      </c>
      <c r="G24" s="9"/>
      <c r="H24" s="25">
        <v>1</v>
      </c>
      <c r="I24" s="5"/>
      <c r="J24" s="5"/>
      <c r="K24" s="5"/>
      <c r="L24" s="5"/>
      <c r="M24" s="5">
        <v>2</v>
      </c>
      <c r="N24" s="5"/>
      <c r="O24" s="5"/>
      <c r="P24" s="5"/>
      <c r="Q24" s="5"/>
      <c r="R24" s="5">
        <v>3</v>
      </c>
      <c r="S24" s="5"/>
      <c r="T24" s="5"/>
      <c r="U24" s="5"/>
      <c r="V24" s="5"/>
      <c r="W24" s="22">
        <f t="shared" si="1"/>
        <v>-2.8656600000000001</v>
      </c>
      <c r="X24" s="21">
        <f t="shared" si="2"/>
        <v>-0.34143200000000001</v>
      </c>
      <c r="Y24" s="21">
        <f t="shared" si="3"/>
        <v>-0.35612100000000002</v>
      </c>
      <c r="Z24" s="11">
        <f t="shared" si="4"/>
        <v>-1</v>
      </c>
      <c r="AA24" s="22">
        <f t="shared" si="5"/>
        <v>-2.88043</v>
      </c>
      <c r="AB24" s="21">
        <f t="shared" si="6"/>
        <v>-0.34127200000000002</v>
      </c>
      <c r="AC24" s="21">
        <f t="shared" si="7"/>
        <v>-0.35446800000000001</v>
      </c>
      <c r="AD24" s="11">
        <f t="shared" si="8"/>
        <v>-1</v>
      </c>
      <c r="AE24" s="22">
        <f t="shared" si="9"/>
        <v>-2.8633899999999999</v>
      </c>
      <c r="AF24" s="21">
        <f t="shared" si="10"/>
        <v>-0.34223399999999998</v>
      </c>
      <c r="AG24" s="21">
        <f t="shared" si="11"/>
        <v>-0.35628199999999999</v>
      </c>
      <c r="AH24" s="11">
        <f t="shared" si="12"/>
        <v>-1</v>
      </c>
      <c r="AI24">
        <v>2.5000000000000001E-2</v>
      </c>
      <c r="AJ24">
        <v>-2.5000000000000001E-2</v>
      </c>
      <c r="AK24">
        <v>1.5E-3</v>
      </c>
      <c r="AL24">
        <v>-1.5E-3</v>
      </c>
      <c r="AM24">
        <v>1.5E-3</v>
      </c>
      <c r="AN24">
        <v>-1.5E-3</v>
      </c>
      <c r="AO24" s="16">
        <v>2.5000000000000001E-2</v>
      </c>
      <c r="AP24" s="16">
        <v>-2.5000000000000001E-2</v>
      </c>
      <c r="AQ24">
        <v>1.4999999999999999E-2</v>
      </c>
      <c r="AR24">
        <v>-1.4999999999999999E-2</v>
      </c>
      <c r="AS24">
        <v>1E-3</v>
      </c>
      <c r="AT24">
        <v>-1E-3</v>
      </c>
      <c r="AU24">
        <v>1E-3</v>
      </c>
      <c r="AV24">
        <v>-1E-3</v>
      </c>
      <c r="AW24" s="16">
        <v>1.4999999999999999E-2</v>
      </c>
      <c r="AX24" s="16">
        <v>-1.4999999999999999E-2</v>
      </c>
    </row>
    <row r="25" spans="1:279" customFormat="1">
      <c r="A25" s="2">
        <v>20</v>
      </c>
      <c r="B25" s="2">
        <v>2.87276</v>
      </c>
      <c r="C25" s="2">
        <v>0.40204600000000001</v>
      </c>
      <c r="D25" s="2">
        <v>0.38777</v>
      </c>
      <c r="E25" s="2">
        <v>32.605829149999998</v>
      </c>
      <c r="F25" s="17" t="str">
        <f t="shared" si="0"/>
        <v/>
      </c>
      <c r="G25" s="9"/>
      <c r="H25" s="25">
        <v>1</v>
      </c>
      <c r="I25" s="5"/>
      <c r="J25" s="5"/>
      <c r="K25" s="5"/>
      <c r="L25" s="5"/>
      <c r="M25" s="5">
        <v>2</v>
      </c>
      <c r="N25" s="5"/>
      <c r="O25" s="5"/>
      <c r="P25" s="5"/>
      <c r="Q25" s="5"/>
      <c r="R25" s="5">
        <v>3</v>
      </c>
      <c r="S25" s="5"/>
      <c r="T25" s="5"/>
      <c r="U25" s="5"/>
      <c r="V25" s="5"/>
      <c r="W25" s="22">
        <f t="shared" si="1"/>
        <v>-2.8656600000000001</v>
      </c>
      <c r="X25" s="21">
        <f t="shared" si="2"/>
        <v>-0.34143200000000001</v>
      </c>
      <c r="Y25" s="21">
        <f t="shared" si="3"/>
        <v>-0.35612100000000002</v>
      </c>
      <c r="Z25" s="11">
        <f t="shared" si="4"/>
        <v>-1</v>
      </c>
      <c r="AA25" s="22">
        <f t="shared" si="5"/>
        <v>-2.88043</v>
      </c>
      <c r="AB25" s="21">
        <f t="shared" si="6"/>
        <v>-0.34127200000000002</v>
      </c>
      <c r="AC25" s="21">
        <f t="shared" si="7"/>
        <v>-0.35446800000000001</v>
      </c>
      <c r="AD25" s="11">
        <f t="shared" si="8"/>
        <v>-1</v>
      </c>
      <c r="AE25" s="22">
        <f t="shared" si="9"/>
        <v>-2.8633899999999999</v>
      </c>
      <c r="AF25" s="21">
        <f t="shared" si="10"/>
        <v>-0.34223399999999998</v>
      </c>
      <c r="AG25" s="21">
        <f t="shared" si="11"/>
        <v>-0.35628199999999999</v>
      </c>
      <c r="AH25" s="11">
        <f t="shared" si="12"/>
        <v>-1</v>
      </c>
      <c r="AI25">
        <v>2.5000000000000001E-2</v>
      </c>
      <c r="AJ25">
        <v>-2.5000000000000001E-2</v>
      </c>
      <c r="AK25">
        <v>1.5E-3</v>
      </c>
      <c r="AL25">
        <v>-1.5E-3</v>
      </c>
      <c r="AM25">
        <v>1.5E-3</v>
      </c>
      <c r="AN25">
        <v>-1.5E-3</v>
      </c>
      <c r="AO25" s="16">
        <v>2.5000000000000001E-2</v>
      </c>
      <c r="AP25" s="16">
        <v>-2.5000000000000001E-2</v>
      </c>
      <c r="AQ25">
        <v>1.4999999999999999E-2</v>
      </c>
      <c r="AR25">
        <v>-1.4999999999999999E-2</v>
      </c>
      <c r="AS25">
        <v>1E-3</v>
      </c>
      <c r="AT25">
        <v>-1E-3</v>
      </c>
      <c r="AU25">
        <v>1E-3</v>
      </c>
      <c r="AV25">
        <v>-1E-3</v>
      </c>
      <c r="AW25" s="16">
        <v>1.4999999999999999E-2</v>
      </c>
      <c r="AX25" s="16">
        <v>-1.4999999999999999E-2</v>
      </c>
    </row>
    <row r="26" spans="1:279" customFormat="1">
      <c r="A26" s="2">
        <v>21</v>
      </c>
      <c r="B26" s="2">
        <v>2.87087</v>
      </c>
      <c r="C26" s="2">
        <v>0.30699799999999999</v>
      </c>
      <c r="D26" s="2">
        <v>0.32103399999999999</v>
      </c>
      <c r="E26" s="2">
        <v>33.132964819999998</v>
      </c>
      <c r="F26" s="17" t="str">
        <f t="shared" si="0"/>
        <v/>
      </c>
      <c r="G26" s="9"/>
      <c r="H26" s="25">
        <v>1</v>
      </c>
      <c r="I26" s="5"/>
      <c r="J26" s="5"/>
      <c r="K26" s="5"/>
      <c r="L26" s="5"/>
      <c r="M26" s="5">
        <v>2</v>
      </c>
      <c r="N26" s="5"/>
      <c r="O26" s="5"/>
      <c r="P26" s="5"/>
      <c r="Q26" s="5"/>
      <c r="R26" s="5">
        <v>3</v>
      </c>
      <c r="S26" s="5"/>
      <c r="T26" s="5"/>
      <c r="U26" s="5"/>
      <c r="V26" s="5"/>
      <c r="W26" s="22">
        <f t="shared" si="1"/>
        <v>-2.8656600000000001</v>
      </c>
      <c r="X26" s="21">
        <f t="shared" si="2"/>
        <v>-0.34143200000000001</v>
      </c>
      <c r="Y26" s="21">
        <f t="shared" si="3"/>
        <v>-0.35612100000000002</v>
      </c>
      <c r="Z26" s="11">
        <f t="shared" si="4"/>
        <v>-1</v>
      </c>
      <c r="AA26" s="22">
        <f t="shared" si="5"/>
        <v>-2.88043</v>
      </c>
      <c r="AB26" s="21">
        <f t="shared" si="6"/>
        <v>-0.34127200000000002</v>
      </c>
      <c r="AC26" s="21">
        <f t="shared" si="7"/>
        <v>-0.35446800000000001</v>
      </c>
      <c r="AD26" s="11">
        <f t="shared" si="8"/>
        <v>-1</v>
      </c>
      <c r="AE26" s="22">
        <f t="shared" si="9"/>
        <v>-2.8633899999999999</v>
      </c>
      <c r="AF26" s="21">
        <f t="shared" si="10"/>
        <v>-0.34223399999999998</v>
      </c>
      <c r="AG26" s="21">
        <f t="shared" si="11"/>
        <v>-0.35628199999999999</v>
      </c>
      <c r="AH26" s="11">
        <f t="shared" si="12"/>
        <v>-1</v>
      </c>
      <c r="AI26">
        <v>2.5000000000000001E-2</v>
      </c>
      <c r="AJ26">
        <v>-2.5000000000000001E-2</v>
      </c>
      <c r="AK26">
        <v>1.5E-3</v>
      </c>
      <c r="AL26">
        <v>-1.5E-3</v>
      </c>
      <c r="AM26">
        <v>1.5E-3</v>
      </c>
      <c r="AN26">
        <v>-1.5E-3</v>
      </c>
      <c r="AO26" s="16">
        <v>2.5000000000000001E-2</v>
      </c>
      <c r="AP26" s="16">
        <v>-2.5000000000000001E-2</v>
      </c>
      <c r="AQ26">
        <v>1.4999999999999999E-2</v>
      </c>
      <c r="AR26">
        <v>-1.4999999999999999E-2</v>
      </c>
      <c r="AS26">
        <v>1E-3</v>
      </c>
      <c r="AT26">
        <v>-1E-3</v>
      </c>
      <c r="AU26">
        <v>1E-3</v>
      </c>
      <c r="AV26">
        <v>-1E-3</v>
      </c>
      <c r="AW26" s="16">
        <v>1.4999999999999999E-2</v>
      </c>
      <c r="AX26" s="16">
        <v>-1.4999999999999999E-2</v>
      </c>
    </row>
    <row r="27" spans="1:279" customFormat="1">
      <c r="A27" s="2">
        <v>22</v>
      </c>
      <c r="B27" s="2">
        <v>2.8593199999999999</v>
      </c>
      <c r="C27" s="2">
        <v>0.30785600000000002</v>
      </c>
      <c r="D27" s="2">
        <v>0.32359399999999999</v>
      </c>
      <c r="E27" s="2">
        <v>33.075175880000003</v>
      </c>
      <c r="F27" s="17" t="str">
        <f t="shared" si="0"/>
        <v/>
      </c>
      <c r="G27" s="9"/>
      <c r="H27" s="25">
        <v>1</v>
      </c>
      <c r="I27" s="5"/>
      <c r="J27" s="5"/>
      <c r="K27" s="5"/>
      <c r="L27" s="5"/>
      <c r="M27" s="5">
        <v>2</v>
      </c>
      <c r="N27" s="5"/>
      <c r="O27" s="5"/>
      <c r="P27" s="5"/>
      <c r="Q27" s="5"/>
      <c r="R27" s="5">
        <v>3</v>
      </c>
      <c r="S27" s="5"/>
      <c r="T27" s="5"/>
      <c r="U27" s="5"/>
      <c r="V27" s="5"/>
      <c r="W27" s="22">
        <f t="shared" si="1"/>
        <v>-2.8656600000000001</v>
      </c>
      <c r="X27" s="21">
        <f t="shared" si="2"/>
        <v>-0.34143200000000001</v>
      </c>
      <c r="Y27" s="21">
        <f t="shared" si="3"/>
        <v>-0.35612100000000002</v>
      </c>
      <c r="Z27" s="11">
        <f t="shared" si="4"/>
        <v>-1</v>
      </c>
      <c r="AA27" s="22">
        <f t="shared" si="5"/>
        <v>-2.88043</v>
      </c>
      <c r="AB27" s="21">
        <f t="shared" si="6"/>
        <v>-0.34127200000000002</v>
      </c>
      <c r="AC27" s="21">
        <f t="shared" si="7"/>
        <v>-0.35446800000000001</v>
      </c>
      <c r="AD27" s="11">
        <f t="shared" si="8"/>
        <v>-1</v>
      </c>
      <c r="AE27" s="22">
        <f t="shared" si="9"/>
        <v>-2.8633899999999999</v>
      </c>
      <c r="AF27" s="21">
        <f t="shared" si="10"/>
        <v>-0.34223399999999998</v>
      </c>
      <c r="AG27" s="21">
        <f t="shared" si="11"/>
        <v>-0.35628199999999999</v>
      </c>
      <c r="AH27" s="11">
        <f t="shared" si="12"/>
        <v>-1</v>
      </c>
      <c r="AI27">
        <v>2.5000000000000001E-2</v>
      </c>
      <c r="AJ27">
        <v>-2.5000000000000001E-2</v>
      </c>
      <c r="AK27">
        <v>1.5E-3</v>
      </c>
      <c r="AL27">
        <v>-1.5E-3</v>
      </c>
      <c r="AM27">
        <v>1.5E-3</v>
      </c>
      <c r="AN27">
        <v>-1.5E-3</v>
      </c>
      <c r="AO27" s="16">
        <v>2.5000000000000001E-2</v>
      </c>
      <c r="AP27" s="16">
        <v>-2.5000000000000001E-2</v>
      </c>
      <c r="AQ27">
        <v>1.4999999999999999E-2</v>
      </c>
      <c r="AR27">
        <v>-1.4999999999999999E-2</v>
      </c>
      <c r="AS27">
        <v>1E-3</v>
      </c>
      <c r="AT27">
        <v>-1E-3</v>
      </c>
      <c r="AU27">
        <v>1E-3</v>
      </c>
      <c r="AV27">
        <v>-1E-3</v>
      </c>
      <c r="AW27" s="16">
        <v>1.4999999999999999E-2</v>
      </c>
      <c r="AX27" s="16">
        <v>-1.4999999999999999E-2</v>
      </c>
    </row>
    <row r="28" spans="1:279" customFormat="1">
      <c r="A28" s="2">
        <v>23</v>
      </c>
      <c r="B28" s="2">
        <v>2.8943300000000001</v>
      </c>
      <c r="C28" s="2">
        <v>0.30978899999999998</v>
      </c>
      <c r="D28" s="2">
        <v>0.32158500000000001</v>
      </c>
      <c r="E28" s="2">
        <v>33.257487439999998</v>
      </c>
      <c r="F28" s="17" t="str">
        <f t="shared" si="0"/>
        <v/>
      </c>
      <c r="G28" s="9"/>
      <c r="H28" s="25">
        <v>1</v>
      </c>
      <c r="I28" s="5"/>
      <c r="J28" s="5"/>
      <c r="K28" s="5"/>
      <c r="L28" s="5"/>
      <c r="M28" s="5">
        <v>2</v>
      </c>
      <c r="N28" s="5"/>
      <c r="O28" s="5"/>
      <c r="P28" s="5"/>
      <c r="Q28" s="5"/>
      <c r="R28" s="5">
        <v>3</v>
      </c>
      <c r="S28" s="5"/>
      <c r="T28" s="5"/>
      <c r="U28" s="5"/>
      <c r="V28" s="5"/>
      <c r="W28" s="22">
        <f t="shared" si="1"/>
        <v>-2.8656600000000001</v>
      </c>
      <c r="X28" s="21">
        <f t="shared" si="2"/>
        <v>-0.34143200000000001</v>
      </c>
      <c r="Y28" s="21">
        <f t="shared" si="3"/>
        <v>-0.35612100000000002</v>
      </c>
      <c r="Z28" s="11">
        <f t="shared" si="4"/>
        <v>-1</v>
      </c>
      <c r="AA28" s="22">
        <f t="shared" si="5"/>
        <v>-2.88043</v>
      </c>
      <c r="AB28" s="21">
        <f t="shared" si="6"/>
        <v>-0.34127200000000002</v>
      </c>
      <c r="AC28" s="21">
        <f t="shared" si="7"/>
        <v>-0.35446800000000001</v>
      </c>
      <c r="AD28" s="11">
        <f t="shared" si="8"/>
        <v>-1</v>
      </c>
      <c r="AE28" s="22">
        <f t="shared" si="9"/>
        <v>-2.8633899999999999</v>
      </c>
      <c r="AF28" s="21">
        <f t="shared" si="10"/>
        <v>-0.34223399999999998</v>
      </c>
      <c r="AG28" s="21">
        <f t="shared" si="11"/>
        <v>-0.35628199999999999</v>
      </c>
      <c r="AH28" s="11">
        <f t="shared" si="12"/>
        <v>-1</v>
      </c>
      <c r="AI28">
        <v>2.5000000000000001E-2</v>
      </c>
      <c r="AJ28">
        <v>-2.5000000000000001E-2</v>
      </c>
      <c r="AK28">
        <v>1.5E-3</v>
      </c>
      <c r="AL28">
        <v>-1.5E-3</v>
      </c>
      <c r="AM28">
        <v>1.5E-3</v>
      </c>
      <c r="AN28">
        <v>-1.5E-3</v>
      </c>
      <c r="AO28" s="16">
        <v>2.5000000000000001E-2</v>
      </c>
      <c r="AP28" s="16">
        <v>-2.5000000000000001E-2</v>
      </c>
      <c r="AQ28">
        <v>1.4999999999999999E-2</v>
      </c>
      <c r="AR28">
        <v>-1.4999999999999999E-2</v>
      </c>
      <c r="AS28">
        <v>1E-3</v>
      </c>
      <c r="AT28">
        <v>-1E-3</v>
      </c>
      <c r="AU28">
        <v>1E-3</v>
      </c>
      <c r="AV28">
        <v>-1E-3</v>
      </c>
      <c r="AW28" s="16">
        <v>1.4999999999999999E-2</v>
      </c>
      <c r="AX28" s="16">
        <v>-1.4999999999999999E-2</v>
      </c>
    </row>
    <row r="29" spans="1:279" customFormat="1">
      <c r="A29" s="2">
        <v>24</v>
      </c>
      <c r="B29" s="2">
        <v>2.8707699999999998</v>
      </c>
      <c r="C29" s="2">
        <v>0.30773</v>
      </c>
      <c r="D29" s="2">
        <v>0.32111800000000001</v>
      </c>
      <c r="E29" s="2">
        <v>33.261306529999999</v>
      </c>
      <c r="F29" s="17" t="str">
        <f t="shared" si="0"/>
        <v/>
      </c>
      <c r="G29" s="9"/>
      <c r="H29" s="25">
        <v>1</v>
      </c>
      <c r="I29" s="5"/>
      <c r="J29" s="5"/>
      <c r="K29" s="5"/>
      <c r="L29" s="5"/>
      <c r="M29" s="5">
        <v>2</v>
      </c>
      <c r="N29" s="5"/>
      <c r="O29" s="5"/>
      <c r="P29" s="5"/>
      <c r="Q29" s="5"/>
      <c r="R29" s="5">
        <v>3</v>
      </c>
      <c r="S29" s="5"/>
      <c r="T29" s="5"/>
      <c r="U29" s="5"/>
      <c r="V29" s="5"/>
      <c r="W29" s="22">
        <f t="shared" si="1"/>
        <v>-2.8656600000000001</v>
      </c>
      <c r="X29" s="21">
        <f t="shared" si="2"/>
        <v>-0.34143200000000001</v>
      </c>
      <c r="Y29" s="21">
        <f t="shared" si="3"/>
        <v>-0.35612100000000002</v>
      </c>
      <c r="Z29" s="11">
        <f t="shared" si="4"/>
        <v>-1</v>
      </c>
      <c r="AA29" s="22">
        <f t="shared" si="5"/>
        <v>-2.88043</v>
      </c>
      <c r="AB29" s="21">
        <f t="shared" si="6"/>
        <v>-0.34127200000000002</v>
      </c>
      <c r="AC29" s="21">
        <f t="shared" si="7"/>
        <v>-0.35446800000000001</v>
      </c>
      <c r="AD29" s="11">
        <f t="shared" si="8"/>
        <v>-1</v>
      </c>
      <c r="AE29" s="22">
        <f t="shared" si="9"/>
        <v>-2.8633899999999999</v>
      </c>
      <c r="AF29" s="21">
        <f t="shared" si="10"/>
        <v>-0.34223399999999998</v>
      </c>
      <c r="AG29" s="21">
        <f t="shared" si="11"/>
        <v>-0.35628199999999999</v>
      </c>
      <c r="AH29" s="11">
        <f t="shared" si="12"/>
        <v>-1</v>
      </c>
      <c r="AI29">
        <v>2.5000000000000001E-2</v>
      </c>
      <c r="AJ29">
        <v>-2.5000000000000001E-2</v>
      </c>
      <c r="AK29">
        <v>1.5E-3</v>
      </c>
      <c r="AL29">
        <v>-1.5E-3</v>
      </c>
      <c r="AM29">
        <v>1.5E-3</v>
      </c>
      <c r="AN29">
        <v>-1.5E-3</v>
      </c>
      <c r="AO29" s="16">
        <v>2.5000000000000001E-2</v>
      </c>
      <c r="AP29" s="16">
        <v>-2.5000000000000001E-2</v>
      </c>
      <c r="AQ29">
        <v>1.4999999999999999E-2</v>
      </c>
      <c r="AR29">
        <v>-1.4999999999999999E-2</v>
      </c>
      <c r="AS29">
        <v>1E-3</v>
      </c>
      <c r="AT29">
        <v>-1E-3</v>
      </c>
      <c r="AU29">
        <v>1E-3</v>
      </c>
      <c r="AV29">
        <v>-1E-3</v>
      </c>
      <c r="AW29" s="16">
        <v>1.4999999999999999E-2</v>
      </c>
      <c r="AX29" s="16">
        <v>-1.4999999999999999E-2</v>
      </c>
    </row>
    <row r="30" spans="1:279" customFormat="1">
      <c r="A30" s="2">
        <v>25</v>
      </c>
      <c r="B30" s="2">
        <v>2.8726699999999998</v>
      </c>
      <c r="C30" s="2">
        <v>0.30882199999999999</v>
      </c>
      <c r="D30" s="2">
        <v>0.3211</v>
      </c>
      <c r="E30" s="2">
        <v>33.256683420000002</v>
      </c>
      <c r="F30" s="17" t="str">
        <f t="shared" si="0"/>
        <v/>
      </c>
      <c r="G30" s="9"/>
      <c r="H30" s="25">
        <v>1</v>
      </c>
      <c r="I30" s="5"/>
      <c r="J30" s="5"/>
      <c r="K30" s="5"/>
      <c r="L30" s="5"/>
      <c r="M30" s="5">
        <v>2</v>
      </c>
      <c r="N30" s="5"/>
      <c r="O30" s="5"/>
      <c r="P30" s="5"/>
      <c r="Q30" s="5"/>
      <c r="R30" s="5">
        <v>3</v>
      </c>
      <c r="S30" s="5"/>
      <c r="T30" s="5"/>
      <c r="U30" s="5"/>
      <c r="V30" s="5"/>
      <c r="W30" s="22">
        <f t="shared" si="1"/>
        <v>-2.8656600000000001</v>
      </c>
      <c r="X30" s="21">
        <f t="shared" si="2"/>
        <v>-0.34143200000000001</v>
      </c>
      <c r="Y30" s="21">
        <f t="shared" si="3"/>
        <v>-0.35612100000000002</v>
      </c>
      <c r="Z30" s="11">
        <f t="shared" si="4"/>
        <v>-1</v>
      </c>
      <c r="AA30" s="22">
        <f t="shared" si="5"/>
        <v>-2.88043</v>
      </c>
      <c r="AB30" s="21">
        <f t="shared" si="6"/>
        <v>-0.34127200000000002</v>
      </c>
      <c r="AC30" s="21">
        <f t="shared" si="7"/>
        <v>-0.35446800000000001</v>
      </c>
      <c r="AD30" s="11">
        <f t="shared" si="8"/>
        <v>-1</v>
      </c>
      <c r="AE30" s="22">
        <f t="shared" si="9"/>
        <v>-2.8633899999999999</v>
      </c>
      <c r="AF30" s="21">
        <f t="shared" si="10"/>
        <v>-0.34223399999999998</v>
      </c>
      <c r="AG30" s="21">
        <f t="shared" si="11"/>
        <v>-0.35628199999999999</v>
      </c>
      <c r="AH30" s="11">
        <f t="shared" si="12"/>
        <v>-1</v>
      </c>
      <c r="AI30">
        <v>2.5000000000000001E-2</v>
      </c>
      <c r="AJ30">
        <v>-2.5000000000000001E-2</v>
      </c>
      <c r="AK30">
        <v>1.5E-3</v>
      </c>
      <c r="AL30">
        <v>-1.5E-3</v>
      </c>
      <c r="AM30">
        <v>1.5E-3</v>
      </c>
      <c r="AN30">
        <v>-1.5E-3</v>
      </c>
      <c r="AO30" s="16">
        <v>2.5000000000000001E-2</v>
      </c>
      <c r="AP30" s="16">
        <v>-2.5000000000000001E-2</v>
      </c>
      <c r="AQ30">
        <v>1.4999999999999999E-2</v>
      </c>
      <c r="AR30">
        <v>-1.4999999999999999E-2</v>
      </c>
      <c r="AS30">
        <v>1E-3</v>
      </c>
      <c r="AT30">
        <v>-1E-3</v>
      </c>
      <c r="AU30">
        <v>1E-3</v>
      </c>
      <c r="AV30">
        <v>-1E-3</v>
      </c>
      <c r="AW30" s="16">
        <v>1.4999999999999999E-2</v>
      </c>
      <c r="AX30" s="16">
        <v>-1.4999999999999999E-2</v>
      </c>
    </row>
    <row r="31" spans="1:279" customFormat="1">
      <c r="A31" s="2">
        <v>26</v>
      </c>
      <c r="B31" s="2">
        <v>2.8632900000000001</v>
      </c>
      <c r="C31" s="2">
        <v>0.38947799999999999</v>
      </c>
      <c r="D31" s="2">
        <v>0.38470100000000002</v>
      </c>
      <c r="E31" s="2">
        <v>32.623216079999999</v>
      </c>
      <c r="F31" s="17" t="str">
        <f t="shared" si="0"/>
        <v/>
      </c>
      <c r="G31" s="9"/>
      <c r="H31" s="25">
        <v>1</v>
      </c>
      <c r="I31" s="5"/>
      <c r="J31" s="5"/>
      <c r="K31" s="5"/>
      <c r="L31" s="5"/>
      <c r="M31" s="5">
        <v>2</v>
      </c>
      <c r="N31" s="5"/>
      <c r="O31" s="5"/>
      <c r="P31" s="5"/>
      <c r="Q31" s="5"/>
      <c r="R31" s="5">
        <v>3</v>
      </c>
      <c r="S31" s="5"/>
      <c r="T31" s="5"/>
      <c r="U31" s="5"/>
      <c r="V31" s="5"/>
      <c r="W31" s="22">
        <f t="shared" si="1"/>
        <v>-2.8656600000000001</v>
      </c>
      <c r="X31" s="21">
        <f t="shared" si="2"/>
        <v>-0.34143200000000001</v>
      </c>
      <c r="Y31" s="21">
        <f t="shared" si="3"/>
        <v>-0.35612100000000002</v>
      </c>
      <c r="Z31" s="11">
        <f t="shared" si="4"/>
        <v>-1</v>
      </c>
      <c r="AA31" s="22">
        <f t="shared" si="5"/>
        <v>-2.88043</v>
      </c>
      <c r="AB31" s="21">
        <f t="shared" si="6"/>
        <v>-0.34127200000000002</v>
      </c>
      <c r="AC31" s="21">
        <f t="shared" si="7"/>
        <v>-0.35446800000000001</v>
      </c>
      <c r="AD31" s="11">
        <f t="shared" si="8"/>
        <v>-1</v>
      </c>
      <c r="AE31" s="22">
        <f t="shared" si="9"/>
        <v>-2.8633899999999999</v>
      </c>
      <c r="AF31" s="21">
        <f t="shared" si="10"/>
        <v>-0.34223399999999998</v>
      </c>
      <c r="AG31" s="21">
        <f t="shared" si="11"/>
        <v>-0.35628199999999999</v>
      </c>
      <c r="AH31" s="11">
        <f t="shared" si="12"/>
        <v>-1</v>
      </c>
      <c r="AI31">
        <v>2.5000000000000001E-2</v>
      </c>
      <c r="AJ31">
        <v>-2.5000000000000001E-2</v>
      </c>
      <c r="AK31">
        <v>1.5E-3</v>
      </c>
      <c r="AL31">
        <v>-1.5E-3</v>
      </c>
      <c r="AM31">
        <v>1.5E-3</v>
      </c>
      <c r="AN31">
        <v>-1.5E-3</v>
      </c>
      <c r="AO31" s="16">
        <v>2.5000000000000001E-2</v>
      </c>
      <c r="AP31" s="16">
        <v>-2.5000000000000001E-2</v>
      </c>
      <c r="AQ31">
        <v>1.4999999999999999E-2</v>
      </c>
      <c r="AR31">
        <v>-1.4999999999999999E-2</v>
      </c>
      <c r="AS31">
        <v>1E-3</v>
      </c>
      <c r="AT31">
        <v>-1E-3</v>
      </c>
      <c r="AU31">
        <v>1E-3</v>
      </c>
      <c r="AV31">
        <v>-1E-3</v>
      </c>
      <c r="AW31" s="16">
        <v>1.4999999999999999E-2</v>
      </c>
      <c r="AX31" s="16">
        <v>-1.4999999999999999E-2</v>
      </c>
    </row>
    <row r="32" spans="1:279" customFormat="1">
      <c r="A32" s="2">
        <v>27</v>
      </c>
      <c r="B32" s="2">
        <v>2.8901699999999999</v>
      </c>
      <c r="C32" s="2">
        <v>0.38877099999999998</v>
      </c>
      <c r="D32" s="2">
        <v>0.38335799999999998</v>
      </c>
      <c r="E32" s="2">
        <v>32.519497489999999</v>
      </c>
      <c r="F32" s="17" t="str">
        <f t="shared" si="0"/>
        <v/>
      </c>
      <c r="G32" s="9"/>
      <c r="H32" s="25">
        <v>1</v>
      </c>
      <c r="I32" s="5"/>
      <c r="J32" s="5"/>
      <c r="K32" s="5"/>
      <c r="L32" s="5"/>
      <c r="M32" s="5">
        <v>2</v>
      </c>
      <c r="N32" s="5"/>
      <c r="O32" s="5"/>
      <c r="P32" s="5"/>
      <c r="Q32" s="5"/>
      <c r="R32" s="5">
        <v>3</v>
      </c>
      <c r="S32" s="5"/>
      <c r="T32" s="5"/>
      <c r="U32" s="5"/>
      <c r="V32" s="5"/>
      <c r="W32" s="22">
        <f t="shared" si="1"/>
        <v>-2.8656600000000001</v>
      </c>
      <c r="X32" s="21">
        <f t="shared" si="2"/>
        <v>-0.34143200000000001</v>
      </c>
      <c r="Y32" s="21">
        <f t="shared" si="3"/>
        <v>-0.35612100000000002</v>
      </c>
      <c r="Z32" s="11">
        <f t="shared" si="4"/>
        <v>-1</v>
      </c>
      <c r="AA32" s="22">
        <f t="shared" si="5"/>
        <v>-2.88043</v>
      </c>
      <c r="AB32" s="21">
        <f t="shared" si="6"/>
        <v>-0.34127200000000002</v>
      </c>
      <c r="AC32" s="21">
        <f t="shared" si="7"/>
        <v>-0.35446800000000001</v>
      </c>
      <c r="AD32" s="11">
        <f t="shared" si="8"/>
        <v>-1</v>
      </c>
      <c r="AE32" s="22">
        <f t="shared" si="9"/>
        <v>-2.8633899999999999</v>
      </c>
      <c r="AF32" s="21">
        <f t="shared" si="10"/>
        <v>-0.34223399999999998</v>
      </c>
      <c r="AG32" s="21">
        <f t="shared" si="11"/>
        <v>-0.35628199999999999</v>
      </c>
      <c r="AH32" s="11">
        <f t="shared" si="12"/>
        <v>-1</v>
      </c>
      <c r="AI32">
        <v>2.5000000000000001E-2</v>
      </c>
      <c r="AJ32">
        <v>-2.5000000000000001E-2</v>
      </c>
      <c r="AK32">
        <v>1.5E-3</v>
      </c>
      <c r="AL32">
        <v>-1.5E-3</v>
      </c>
      <c r="AM32">
        <v>1.5E-3</v>
      </c>
      <c r="AN32">
        <v>-1.5E-3</v>
      </c>
      <c r="AO32" s="16">
        <v>2.5000000000000001E-2</v>
      </c>
      <c r="AP32" s="16">
        <v>-2.5000000000000001E-2</v>
      </c>
      <c r="AQ32">
        <v>1.4999999999999999E-2</v>
      </c>
      <c r="AR32">
        <v>-1.4999999999999999E-2</v>
      </c>
      <c r="AS32">
        <v>1E-3</v>
      </c>
      <c r="AT32">
        <v>-1E-3</v>
      </c>
      <c r="AU32">
        <v>1E-3</v>
      </c>
      <c r="AV32">
        <v>-1E-3</v>
      </c>
      <c r="AW32" s="16">
        <v>1.4999999999999999E-2</v>
      </c>
      <c r="AX32" s="16">
        <v>-1.4999999999999999E-2</v>
      </c>
    </row>
    <row r="33" spans="1:279" customFormat="1">
      <c r="A33" s="2">
        <v>28</v>
      </c>
      <c r="B33" s="2">
        <v>2.8911199999999999</v>
      </c>
      <c r="C33" s="2">
        <v>0.388208</v>
      </c>
      <c r="D33" s="2">
        <v>0.38263399999999997</v>
      </c>
      <c r="E33" s="2">
        <v>33.09678392</v>
      </c>
      <c r="F33" s="17" t="str">
        <f t="shared" si="0"/>
        <v/>
      </c>
      <c r="G33" s="9"/>
      <c r="H33" s="25">
        <v>1</v>
      </c>
      <c r="I33" s="5"/>
      <c r="J33" s="5"/>
      <c r="K33" s="5"/>
      <c r="L33" s="5"/>
      <c r="M33" s="5">
        <v>2</v>
      </c>
      <c r="N33" s="5"/>
      <c r="O33" s="5"/>
      <c r="P33" s="5"/>
      <c r="Q33" s="5"/>
      <c r="R33" s="5">
        <v>3</v>
      </c>
      <c r="S33" s="5"/>
      <c r="T33" s="5"/>
      <c r="U33" s="5"/>
      <c r="V33" s="5"/>
      <c r="W33" s="22">
        <f t="shared" si="1"/>
        <v>-2.8656600000000001</v>
      </c>
      <c r="X33" s="21">
        <f t="shared" si="2"/>
        <v>-0.34143200000000001</v>
      </c>
      <c r="Y33" s="21">
        <f t="shared" si="3"/>
        <v>-0.35612100000000002</v>
      </c>
      <c r="Z33" s="11">
        <f t="shared" si="4"/>
        <v>-1</v>
      </c>
      <c r="AA33" s="22">
        <f t="shared" si="5"/>
        <v>-2.88043</v>
      </c>
      <c r="AB33" s="21">
        <f t="shared" si="6"/>
        <v>-0.34127200000000002</v>
      </c>
      <c r="AC33" s="21">
        <f t="shared" si="7"/>
        <v>-0.35446800000000001</v>
      </c>
      <c r="AD33" s="11">
        <f t="shared" si="8"/>
        <v>-1</v>
      </c>
      <c r="AE33" s="22">
        <f t="shared" si="9"/>
        <v>-2.8633899999999999</v>
      </c>
      <c r="AF33" s="21">
        <f t="shared" si="10"/>
        <v>-0.34223399999999998</v>
      </c>
      <c r="AG33" s="21">
        <f t="shared" si="11"/>
        <v>-0.35628199999999999</v>
      </c>
      <c r="AH33" s="11">
        <f t="shared" si="12"/>
        <v>-1</v>
      </c>
      <c r="AI33">
        <v>2.5000000000000001E-2</v>
      </c>
      <c r="AJ33">
        <v>-2.5000000000000001E-2</v>
      </c>
      <c r="AK33">
        <v>1.5E-3</v>
      </c>
      <c r="AL33">
        <v>-1.5E-3</v>
      </c>
      <c r="AM33">
        <v>1.5E-3</v>
      </c>
      <c r="AN33">
        <v>-1.5E-3</v>
      </c>
      <c r="AO33" s="16">
        <v>2.5000000000000001E-2</v>
      </c>
      <c r="AP33" s="16">
        <v>-2.5000000000000001E-2</v>
      </c>
      <c r="AQ33">
        <v>1.4999999999999999E-2</v>
      </c>
      <c r="AR33">
        <v>-1.4999999999999999E-2</v>
      </c>
      <c r="AS33">
        <v>1E-3</v>
      </c>
      <c r="AT33">
        <v>-1E-3</v>
      </c>
      <c r="AU33">
        <v>1E-3</v>
      </c>
      <c r="AV33">
        <v>-1E-3</v>
      </c>
      <c r="AW33" s="16">
        <v>1.4999999999999999E-2</v>
      </c>
      <c r="AX33" s="16">
        <v>-1.4999999999999999E-2</v>
      </c>
      <c r="JR33">
        <v>12.849506578947368</v>
      </c>
    </row>
    <row r="34" spans="1:279" customFormat="1">
      <c r="A34" s="2">
        <v>29</v>
      </c>
      <c r="B34" s="2">
        <v>2.8591299999999999</v>
      </c>
      <c r="C34" s="2">
        <v>0.38989299999999999</v>
      </c>
      <c r="D34" s="2">
        <v>0.38503100000000001</v>
      </c>
      <c r="E34" s="2">
        <v>32.969045229999999</v>
      </c>
      <c r="F34" s="17" t="str">
        <f t="shared" si="0"/>
        <v/>
      </c>
      <c r="G34" s="9"/>
      <c r="H34" s="25">
        <v>1</v>
      </c>
      <c r="I34" s="5"/>
      <c r="J34" s="5"/>
      <c r="K34" s="5"/>
      <c r="L34" s="5"/>
      <c r="M34" s="5">
        <v>2</v>
      </c>
      <c r="N34" s="5"/>
      <c r="O34" s="5"/>
      <c r="P34" s="5"/>
      <c r="Q34" s="5"/>
      <c r="R34" s="5">
        <v>3</v>
      </c>
      <c r="S34" s="5"/>
      <c r="T34" s="5"/>
      <c r="U34" s="5"/>
      <c r="V34" s="5"/>
      <c r="W34" s="22">
        <f t="shared" si="1"/>
        <v>-2.8656600000000001</v>
      </c>
      <c r="X34" s="21">
        <f t="shared" si="2"/>
        <v>-0.34143200000000001</v>
      </c>
      <c r="Y34" s="21">
        <f t="shared" si="3"/>
        <v>-0.35612100000000002</v>
      </c>
      <c r="Z34" s="11">
        <f t="shared" si="4"/>
        <v>-1</v>
      </c>
      <c r="AA34" s="22">
        <f t="shared" si="5"/>
        <v>-2.88043</v>
      </c>
      <c r="AB34" s="21">
        <f t="shared" si="6"/>
        <v>-0.34127200000000002</v>
      </c>
      <c r="AC34" s="21">
        <f t="shared" si="7"/>
        <v>-0.35446800000000001</v>
      </c>
      <c r="AD34" s="11">
        <f t="shared" si="8"/>
        <v>-1</v>
      </c>
      <c r="AE34" s="22">
        <f t="shared" si="9"/>
        <v>-2.8633899999999999</v>
      </c>
      <c r="AF34" s="21">
        <f t="shared" si="10"/>
        <v>-0.34223399999999998</v>
      </c>
      <c r="AG34" s="21">
        <f t="shared" si="11"/>
        <v>-0.35628199999999999</v>
      </c>
      <c r="AH34" s="11">
        <f t="shared" si="12"/>
        <v>-1</v>
      </c>
      <c r="AI34">
        <v>2.5000000000000001E-2</v>
      </c>
      <c r="AJ34">
        <v>-2.5000000000000001E-2</v>
      </c>
      <c r="AK34">
        <v>1.5E-3</v>
      </c>
      <c r="AL34">
        <v>-1.5E-3</v>
      </c>
      <c r="AM34">
        <v>1.5E-3</v>
      </c>
      <c r="AN34">
        <v>-1.5E-3</v>
      </c>
      <c r="AO34" s="16">
        <v>2.5000000000000001E-2</v>
      </c>
      <c r="AP34" s="16">
        <v>-2.5000000000000001E-2</v>
      </c>
      <c r="AQ34">
        <v>1.4999999999999999E-2</v>
      </c>
      <c r="AR34">
        <v>-1.4999999999999999E-2</v>
      </c>
      <c r="AS34">
        <v>1E-3</v>
      </c>
      <c r="AT34">
        <v>-1E-3</v>
      </c>
      <c r="AU34">
        <v>1E-3</v>
      </c>
      <c r="AV34">
        <v>-1E-3</v>
      </c>
      <c r="AW34" s="16">
        <v>1.4999999999999999E-2</v>
      </c>
      <c r="AX34" s="16">
        <v>-1.4999999999999999E-2</v>
      </c>
      <c r="JR34">
        <v>12.849506578947368</v>
      </c>
      <c r="JS34">
        <v>12.849506578947368</v>
      </c>
    </row>
    <row r="35" spans="1:279" customFormat="1">
      <c r="A35" s="2">
        <v>30</v>
      </c>
      <c r="B35" s="2">
        <v>2.8651</v>
      </c>
      <c r="C35" s="2">
        <v>0.389681</v>
      </c>
      <c r="D35" s="2">
        <v>0.38570900000000002</v>
      </c>
      <c r="E35" s="2">
        <v>32.970954769999999</v>
      </c>
      <c r="F35" s="17" t="str">
        <f t="shared" si="0"/>
        <v/>
      </c>
      <c r="G35" s="9"/>
      <c r="H35" s="25">
        <v>1</v>
      </c>
      <c r="I35" s="5"/>
      <c r="J35" s="5"/>
      <c r="K35" s="5"/>
      <c r="L35" s="5"/>
      <c r="M35" s="5">
        <v>2</v>
      </c>
      <c r="N35" s="5"/>
      <c r="O35" s="5"/>
      <c r="P35" s="5"/>
      <c r="Q35" s="5"/>
      <c r="R35" s="5">
        <v>3</v>
      </c>
      <c r="S35" s="5"/>
      <c r="T35" s="5"/>
      <c r="U35" s="5"/>
      <c r="V35" s="5"/>
      <c r="W35" s="22">
        <f t="shared" si="1"/>
        <v>-2.8656600000000001</v>
      </c>
      <c r="X35" s="21">
        <f t="shared" si="2"/>
        <v>-0.34143200000000001</v>
      </c>
      <c r="Y35" s="21">
        <f t="shared" si="3"/>
        <v>-0.35612100000000002</v>
      </c>
      <c r="Z35" s="11">
        <f t="shared" si="4"/>
        <v>-1</v>
      </c>
      <c r="AA35" s="22">
        <f t="shared" si="5"/>
        <v>-2.88043</v>
      </c>
      <c r="AB35" s="21">
        <f t="shared" si="6"/>
        <v>-0.34127200000000002</v>
      </c>
      <c r="AC35" s="21">
        <f t="shared" si="7"/>
        <v>-0.35446800000000001</v>
      </c>
      <c r="AD35" s="11">
        <f t="shared" si="8"/>
        <v>-1</v>
      </c>
      <c r="AE35" s="22">
        <f t="shared" si="9"/>
        <v>-2.8633899999999999</v>
      </c>
      <c r="AF35" s="21">
        <f t="shared" si="10"/>
        <v>-0.34223399999999998</v>
      </c>
      <c r="AG35" s="21">
        <f t="shared" si="11"/>
        <v>-0.35628199999999999</v>
      </c>
      <c r="AH35" s="11">
        <f t="shared" si="12"/>
        <v>-1</v>
      </c>
      <c r="AI35">
        <v>2.5000000000000001E-2</v>
      </c>
      <c r="AJ35">
        <v>-2.5000000000000001E-2</v>
      </c>
      <c r="AK35">
        <v>1.5E-3</v>
      </c>
      <c r="AL35">
        <v>-1.5E-3</v>
      </c>
      <c r="AM35">
        <v>1.5E-3</v>
      </c>
      <c r="AN35">
        <v>-1.5E-3</v>
      </c>
      <c r="AO35" s="16">
        <v>2.5000000000000001E-2</v>
      </c>
      <c r="AP35" s="16">
        <v>-2.5000000000000001E-2</v>
      </c>
      <c r="AQ35">
        <v>1.4999999999999999E-2</v>
      </c>
      <c r="AR35">
        <v>-1.4999999999999999E-2</v>
      </c>
      <c r="AS35">
        <v>1E-3</v>
      </c>
      <c r="AT35">
        <v>-1E-3</v>
      </c>
      <c r="AU35">
        <v>1E-3</v>
      </c>
      <c r="AV35">
        <v>-1E-3</v>
      </c>
      <c r="AW35" s="16">
        <v>1.4999999999999999E-2</v>
      </c>
      <c r="AX35" s="16">
        <v>-1.4999999999999999E-2</v>
      </c>
    </row>
    <row r="36" spans="1:279" customFormat="1">
      <c r="F36" s="17" t="str">
        <f t="shared" si="0"/>
        <v/>
      </c>
      <c r="G36" s="9"/>
      <c r="H36" s="25">
        <v>1</v>
      </c>
      <c r="I36" s="5"/>
      <c r="J36" s="5"/>
      <c r="K36" s="5"/>
      <c r="L36" s="5"/>
      <c r="M36" s="5">
        <v>2</v>
      </c>
      <c r="N36" s="5"/>
      <c r="O36" s="5"/>
      <c r="P36" s="5"/>
      <c r="Q36" s="5"/>
      <c r="R36" s="5">
        <v>3</v>
      </c>
      <c r="S36" s="5"/>
      <c r="T36" s="5"/>
      <c r="U36" s="5"/>
      <c r="V36" s="5"/>
      <c r="W36" s="22">
        <f t="shared" si="1"/>
        <v>-2.8656600000000001</v>
      </c>
      <c r="X36" s="21">
        <f t="shared" si="2"/>
        <v>-0.34143200000000001</v>
      </c>
      <c r="Y36" s="21">
        <f t="shared" si="3"/>
        <v>-0.35612100000000002</v>
      </c>
      <c r="Z36" s="11">
        <f t="shared" si="4"/>
        <v>-1</v>
      </c>
      <c r="AA36" s="22">
        <f t="shared" si="5"/>
        <v>-2.88043</v>
      </c>
      <c r="AB36" s="21">
        <f t="shared" si="6"/>
        <v>-0.34127200000000002</v>
      </c>
      <c r="AC36" s="21">
        <f t="shared" si="7"/>
        <v>-0.35446800000000001</v>
      </c>
      <c r="AD36" s="11">
        <f t="shared" si="8"/>
        <v>-1</v>
      </c>
      <c r="AE36" s="22">
        <f t="shared" si="9"/>
        <v>-2.8633899999999999</v>
      </c>
      <c r="AF36" s="21">
        <f t="shared" si="10"/>
        <v>-0.34223399999999998</v>
      </c>
      <c r="AG36" s="21">
        <f t="shared" si="11"/>
        <v>-0.35628199999999999</v>
      </c>
      <c r="AH36" s="11">
        <f t="shared" si="12"/>
        <v>-1</v>
      </c>
      <c r="AI36">
        <v>2.5000000000000001E-2</v>
      </c>
      <c r="AJ36">
        <v>-2.5000000000000001E-2</v>
      </c>
      <c r="AK36">
        <v>1.5E-3</v>
      </c>
      <c r="AL36">
        <v>-1.5E-3</v>
      </c>
      <c r="AM36">
        <v>1.5E-3</v>
      </c>
      <c r="AN36">
        <v>-1.5E-3</v>
      </c>
      <c r="AO36" s="16">
        <v>2.5000000000000001E-2</v>
      </c>
      <c r="AP36" s="16">
        <v>-2.5000000000000001E-2</v>
      </c>
      <c r="AQ36">
        <v>1.4999999999999999E-2</v>
      </c>
      <c r="AR36">
        <v>-1.4999999999999999E-2</v>
      </c>
      <c r="AS36">
        <v>1E-3</v>
      </c>
      <c r="AT36">
        <v>-1E-3</v>
      </c>
      <c r="AU36">
        <v>1E-3</v>
      </c>
      <c r="AV36">
        <v>-1E-3</v>
      </c>
      <c r="AW36" s="16">
        <v>1.4999999999999999E-2</v>
      </c>
      <c r="AX36" s="16">
        <v>-1.4999999999999999E-2</v>
      </c>
    </row>
    <row r="37" spans="1:279" customFormat="1">
      <c r="F37" s="17" t="str">
        <f t="shared" si="0"/>
        <v/>
      </c>
      <c r="G37" s="9"/>
      <c r="H37" s="25">
        <v>1</v>
      </c>
      <c r="I37" s="5"/>
      <c r="J37" s="5"/>
      <c r="K37" s="5"/>
      <c r="L37" s="5"/>
      <c r="M37" s="5">
        <v>2</v>
      </c>
      <c r="N37" s="5"/>
      <c r="O37" s="5"/>
      <c r="P37" s="5"/>
      <c r="Q37" s="5"/>
      <c r="R37" s="5">
        <v>3</v>
      </c>
      <c r="S37" s="5"/>
      <c r="T37" s="5"/>
      <c r="U37" s="5"/>
      <c r="V37" s="5"/>
      <c r="W37" s="22">
        <f t="shared" si="1"/>
        <v>-2.8656600000000001</v>
      </c>
      <c r="X37" s="21">
        <f t="shared" si="2"/>
        <v>-0.34143200000000001</v>
      </c>
      <c r="Y37" s="21">
        <f t="shared" si="3"/>
        <v>-0.35612100000000002</v>
      </c>
      <c r="Z37" s="11">
        <f t="shared" si="4"/>
        <v>-1</v>
      </c>
      <c r="AA37" s="22">
        <f t="shared" si="5"/>
        <v>-2.88043</v>
      </c>
      <c r="AB37" s="21">
        <f t="shared" si="6"/>
        <v>-0.34127200000000002</v>
      </c>
      <c r="AC37" s="21">
        <f t="shared" si="7"/>
        <v>-0.35446800000000001</v>
      </c>
      <c r="AD37" s="11">
        <f t="shared" si="8"/>
        <v>-1</v>
      </c>
      <c r="AE37" s="22">
        <f t="shared" si="9"/>
        <v>-2.8633899999999999</v>
      </c>
      <c r="AF37" s="21">
        <f t="shared" si="10"/>
        <v>-0.34223399999999998</v>
      </c>
      <c r="AG37" s="21">
        <f t="shared" si="11"/>
        <v>-0.35628199999999999</v>
      </c>
      <c r="AH37" s="11">
        <f t="shared" si="12"/>
        <v>-1</v>
      </c>
      <c r="AI37">
        <v>2.5000000000000001E-2</v>
      </c>
      <c r="AJ37">
        <v>-2.5000000000000001E-2</v>
      </c>
      <c r="AK37">
        <v>1.5E-3</v>
      </c>
      <c r="AL37">
        <v>-1.5E-3</v>
      </c>
      <c r="AM37">
        <v>1.5E-3</v>
      </c>
      <c r="AN37">
        <v>-1.5E-3</v>
      </c>
      <c r="AO37" s="16">
        <v>2.5000000000000001E-2</v>
      </c>
      <c r="AP37" s="16">
        <v>-2.5000000000000001E-2</v>
      </c>
      <c r="AQ37">
        <v>1.4999999999999999E-2</v>
      </c>
      <c r="AR37">
        <v>-1.4999999999999999E-2</v>
      </c>
      <c r="AS37">
        <v>1E-3</v>
      </c>
      <c r="AT37">
        <v>-1E-3</v>
      </c>
      <c r="AU37">
        <v>1E-3</v>
      </c>
      <c r="AV37">
        <v>-1E-3</v>
      </c>
      <c r="AW37" s="16">
        <v>1.4999999999999999E-2</v>
      </c>
      <c r="AX37" s="16">
        <v>-1.4999999999999999E-2</v>
      </c>
    </row>
    <row r="38" spans="1:279" customFormat="1">
      <c r="F38" s="17" t="str">
        <f t="shared" si="0"/>
        <v/>
      </c>
      <c r="G38" s="9"/>
      <c r="H38" s="25">
        <v>1</v>
      </c>
      <c r="I38" s="5"/>
      <c r="J38" s="5"/>
      <c r="K38" s="5"/>
      <c r="L38" s="5"/>
      <c r="M38" s="5">
        <v>2</v>
      </c>
      <c r="N38" s="5"/>
      <c r="O38" s="5"/>
      <c r="P38" s="5"/>
      <c r="Q38" s="5"/>
      <c r="R38" s="5">
        <v>3</v>
      </c>
      <c r="S38" s="5"/>
      <c r="T38" s="5"/>
      <c r="U38" s="5"/>
      <c r="V38" s="5"/>
      <c r="W38" s="22">
        <f t="shared" si="1"/>
        <v>-2.8656600000000001</v>
      </c>
      <c r="X38" s="21">
        <f t="shared" si="2"/>
        <v>-0.34143200000000001</v>
      </c>
      <c r="Y38" s="21">
        <f t="shared" si="3"/>
        <v>-0.35612100000000002</v>
      </c>
      <c r="Z38" s="11">
        <f t="shared" si="4"/>
        <v>-1</v>
      </c>
      <c r="AA38" s="22">
        <f t="shared" si="5"/>
        <v>-2.88043</v>
      </c>
      <c r="AB38" s="21">
        <f t="shared" si="6"/>
        <v>-0.34127200000000002</v>
      </c>
      <c r="AC38" s="21">
        <f t="shared" si="7"/>
        <v>-0.35446800000000001</v>
      </c>
      <c r="AD38" s="11">
        <f t="shared" si="8"/>
        <v>-1</v>
      </c>
      <c r="AE38" s="22">
        <f t="shared" si="9"/>
        <v>-2.8633899999999999</v>
      </c>
      <c r="AF38" s="21">
        <f t="shared" si="10"/>
        <v>-0.34223399999999998</v>
      </c>
      <c r="AG38" s="21">
        <f t="shared" si="11"/>
        <v>-0.35628199999999999</v>
      </c>
      <c r="AH38" s="11">
        <f t="shared" si="12"/>
        <v>-1</v>
      </c>
      <c r="AI38">
        <v>2.5000000000000001E-2</v>
      </c>
      <c r="AJ38">
        <v>-2.5000000000000001E-2</v>
      </c>
      <c r="AK38">
        <v>1.5E-3</v>
      </c>
      <c r="AL38">
        <v>-1.5E-3</v>
      </c>
      <c r="AM38">
        <v>1.5E-3</v>
      </c>
      <c r="AN38">
        <v>-1.5E-3</v>
      </c>
      <c r="AO38" s="16">
        <v>2.5000000000000001E-2</v>
      </c>
      <c r="AP38" s="16">
        <v>-2.5000000000000001E-2</v>
      </c>
      <c r="AQ38">
        <v>1.4999999999999999E-2</v>
      </c>
      <c r="AR38">
        <v>-1.4999999999999999E-2</v>
      </c>
      <c r="AS38">
        <v>1E-3</v>
      </c>
      <c r="AT38">
        <v>-1E-3</v>
      </c>
      <c r="AU38">
        <v>1E-3</v>
      </c>
      <c r="AV38">
        <v>-1E-3</v>
      </c>
      <c r="AW38" s="16">
        <v>1.4999999999999999E-2</v>
      </c>
      <c r="AX38" s="16">
        <v>-1.4999999999999999E-2</v>
      </c>
    </row>
    <row r="39" spans="1:279" customFormat="1">
      <c r="F39" s="17" t="str">
        <f t="shared" si="0"/>
        <v/>
      </c>
      <c r="G39" s="9"/>
      <c r="H39" s="25">
        <v>1</v>
      </c>
      <c r="I39" s="5"/>
      <c r="J39" s="5"/>
      <c r="K39" s="5"/>
      <c r="L39" s="5"/>
      <c r="M39" s="5">
        <v>2</v>
      </c>
      <c r="N39" s="5"/>
      <c r="O39" s="5"/>
      <c r="P39" s="5"/>
      <c r="Q39" s="5"/>
      <c r="R39" s="5">
        <v>3</v>
      </c>
      <c r="S39" s="5"/>
      <c r="T39" s="5"/>
      <c r="U39" s="5"/>
      <c r="V39" s="5"/>
      <c r="W39" s="22">
        <f t="shared" si="1"/>
        <v>-2.8656600000000001</v>
      </c>
      <c r="X39" s="21">
        <f t="shared" si="2"/>
        <v>-0.34143200000000001</v>
      </c>
      <c r="Y39" s="21">
        <f t="shared" si="3"/>
        <v>-0.35612100000000002</v>
      </c>
      <c r="Z39" s="11">
        <f t="shared" si="4"/>
        <v>-1</v>
      </c>
      <c r="AA39" s="22">
        <f t="shared" si="5"/>
        <v>-2.88043</v>
      </c>
      <c r="AB39" s="21">
        <f t="shared" si="6"/>
        <v>-0.34127200000000002</v>
      </c>
      <c r="AC39" s="21">
        <f t="shared" si="7"/>
        <v>-0.35446800000000001</v>
      </c>
      <c r="AD39" s="11">
        <f t="shared" si="8"/>
        <v>-1</v>
      </c>
      <c r="AE39" s="22">
        <f t="shared" si="9"/>
        <v>-2.8633899999999999</v>
      </c>
      <c r="AF39" s="21">
        <f t="shared" si="10"/>
        <v>-0.34223399999999998</v>
      </c>
      <c r="AG39" s="21">
        <f t="shared" si="11"/>
        <v>-0.35628199999999999</v>
      </c>
      <c r="AH39" s="11">
        <f t="shared" si="12"/>
        <v>-1</v>
      </c>
      <c r="AI39">
        <v>2.5000000000000001E-2</v>
      </c>
      <c r="AJ39">
        <v>-2.5000000000000001E-2</v>
      </c>
      <c r="AK39">
        <v>1.5E-3</v>
      </c>
      <c r="AL39">
        <v>-1.5E-3</v>
      </c>
      <c r="AM39">
        <v>1.5E-3</v>
      </c>
      <c r="AN39">
        <v>-1.5E-3</v>
      </c>
      <c r="AO39" s="16">
        <v>2.5000000000000001E-2</v>
      </c>
      <c r="AP39" s="16">
        <v>-2.5000000000000001E-2</v>
      </c>
      <c r="AQ39">
        <v>1.4999999999999999E-2</v>
      </c>
      <c r="AR39">
        <v>-1.4999999999999999E-2</v>
      </c>
      <c r="AS39">
        <v>1E-3</v>
      </c>
      <c r="AT39">
        <v>-1E-3</v>
      </c>
      <c r="AU39">
        <v>1E-3</v>
      </c>
      <c r="AV39">
        <v>-1E-3</v>
      </c>
      <c r="AW39" s="16">
        <v>1.4999999999999999E-2</v>
      </c>
      <c r="AX39" s="16">
        <v>-1.4999999999999999E-2</v>
      </c>
    </row>
    <row r="40" spans="1:279" customFormat="1">
      <c r="F40" s="17" t="str">
        <f t="shared" si="0"/>
        <v/>
      </c>
      <c r="G40" s="9"/>
      <c r="H40" s="2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22" t="e">
        <f t="shared" si="1"/>
        <v>#N/A</v>
      </c>
      <c r="X40" s="21" t="e">
        <f t="shared" si="2"/>
        <v>#N/A</v>
      </c>
      <c r="Y40" s="21" t="e">
        <f t="shared" si="3"/>
        <v>#N/A</v>
      </c>
      <c r="Z40" s="11" t="e">
        <f t="shared" si="4"/>
        <v>#N/A</v>
      </c>
      <c r="AA40" s="22" t="e">
        <f t="shared" si="5"/>
        <v>#N/A</v>
      </c>
      <c r="AB40" s="21" t="e">
        <f t="shared" si="6"/>
        <v>#N/A</v>
      </c>
      <c r="AC40" s="21" t="e">
        <f t="shared" si="7"/>
        <v>#N/A</v>
      </c>
      <c r="AD40" s="11" t="e">
        <f t="shared" si="8"/>
        <v>#N/A</v>
      </c>
      <c r="AE40" s="22" t="e">
        <f t="shared" si="9"/>
        <v>#N/A</v>
      </c>
      <c r="AF40" s="21" t="e">
        <f t="shared" si="10"/>
        <v>#N/A</v>
      </c>
      <c r="AG40" s="21" t="e">
        <f t="shared" si="11"/>
        <v>#N/A</v>
      </c>
      <c r="AH40" s="11" t="e">
        <f t="shared" si="12"/>
        <v>#N/A</v>
      </c>
      <c r="AI40">
        <v>2.5000000000000001E-2</v>
      </c>
      <c r="AJ40">
        <v>-2.5000000000000001E-2</v>
      </c>
      <c r="AK40">
        <v>1.5E-3</v>
      </c>
      <c r="AL40">
        <v>-1.5E-3</v>
      </c>
      <c r="AM40">
        <v>1.5E-3</v>
      </c>
      <c r="AN40">
        <v>-1.5E-3</v>
      </c>
      <c r="AO40" s="16">
        <v>2.5000000000000001E-2</v>
      </c>
      <c r="AP40" s="16">
        <v>-2.5000000000000001E-2</v>
      </c>
      <c r="AQ40">
        <v>1.4999999999999999E-2</v>
      </c>
      <c r="AR40">
        <v>-1.4999999999999999E-2</v>
      </c>
      <c r="AS40">
        <v>1E-3</v>
      </c>
      <c r="AT40">
        <v>-1E-3</v>
      </c>
      <c r="AU40">
        <v>1E-3</v>
      </c>
      <c r="AV40">
        <v>-1E-3</v>
      </c>
      <c r="AW40" s="16">
        <v>1.4999999999999999E-2</v>
      </c>
      <c r="AX40" s="16">
        <v>-1.4999999999999999E-2</v>
      </c>
    </row>
    <row r="41" spans="1:279" customFormat="1">
      <c r="F41" s="17" t="str">
        <f t="shared" si="0"/>
        <v/>
      </c>
      <c r="G41" s="9"/>
      <c r="H41" s="2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22" t="e">
        <f t="shared" si="1"/>
        <v>#N/A</v>
      </c>
      <c r="X41" s="21" t="e">
        <f t="shared" si="2"/>
        <v>#N/A</v>
      </c>
      <c r="Y41" s="21" t="e">
        <f t="shared" si="3"/>
        <v>#N/A</v>
      </c>
      <c r="Z41" s="11" t="e">
        <f t="shared" si="4"/>
        <v>#N/A</v>
      </c>
      <c r="AA41" s="22" t="e">
        <f t="shared" si="5"/>
        <v>#N/A</v>
      </c>
      <c r="AB41" s="21" t="e">
        <f t="shared" si="6"/>
        <v>#N/A</v>
      </c>
      <c r="AC41" s="21" t="e">
        <f t="shared" si="7"/>
        <v>#N/A</v>
      </c>
      <c r="AD41" s="11" t="e">
        <f t="shared" si="8"/>
        <v>#N/A</v>
      </c>
      <c r="AE41" s="22" t="e">
        <f t="shared" si="9"/>
        <v>#N/A</v>
      </c>
      <c r="AF41" s="21" t="e">
        <f t="shared" si="10"/>
        <v>#N/A</v>
      </c>
      <c r="AG41" s="21" t="e">
        <f t="shared" si="11"/>
        <v>#N/A</v>
      </c>
      <c r="AH41" s="11" t="e">
        <f t="shared" si="12"/>
        <v>#N/A</v>
      </c>
      <c r="AI41">
        <v>2.5000000000000001E-2</v>
      </c>
      <c r="AJ41">
        <v>-2.5000000000000001E-2</v>
      </c>
      <c r="AK41">
        <v>1.5E-3</v>
      </c>
      <c r="AL41">
        <v>-1.5E-3</v>
      </c>
      <c r="AM41">
        <v>1.5E-3</v>
      </c>
      <c r="AN41">
        <v>-1.5E-3</v>
      </c>
      <c r="AO41" s="16">
        <v>2.5000000000000001E-2</v>
      </c>
      <c r="AP41" s="16">
        <v>-2.5000000000000001E-2</v>
      </c>
      <c r="AQ41">
        <v>1.4999999999999999E-2</v>
      </c>
      <c r="AR41">
        <v>-1.4999999999999999E-2</v>
      </c>
      <c r="AS41">
        <v>1E-3</v>
      </c>
      <c r="AT41">
        <v>-1E-3</v>
      </c>
      <c r="AU41">
        <v>1E-3</v>
      </c>
      <c r="AV41">
        <v>-1E-3</v>
      </c>
      <c r="AW41" s="16">
        <v>1.4999999999999999E-2</v>
      </c>
      <c r="AX41" s="16">
        <v>-1.4999999999999999E-2</v>
      </c>
    </row>
    <row r="42" spans="1:279" customFormat="1">
      <c r="F42" s="17" t="str">
        <f t="shared" si="0"/>
        <v/>
      </c>
      <c r="G42" s="9"/>
      <c r="H42" s="2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22" t="e">
        <f t="shared" si="1"/>
        <v>#N/A</v>
      </c>
      <c r="X42" s="21" t="e">
        <f t="shared" si="2"/>
        <v>#N/A</v>
      </c>
      <c r="Y42" s="21" t="e">
        <f t="shared" si="3"/>
        <v>#N/A</v>
      </c>
      <c r="Z42" s="11" t="e">
        <f t="shared" si="4"/>
        <v>#N/A</v>
      </c>
      <c r="AA42" s="22" t="e">
        <f t="shared" si="5"/>
        <v>#N/A</v>
      </c>
      <c r="AB42" s="21" t="e">
        <f t="shared" si="6"/>
        <v>#N/A</v>
      </c>
      <c r="AC42" s="21" t="e">
        <f t="shared" si="7"/>
        <v>#N/A</v>
      </c>
      <c r="AD42" s="11" t="e">
        <f t="shared" si="8"/>
        <v>#N/A</v>
      </c>
      <c r="AE42" s="22" t="e">
        <f t="shared" si="9"/>
        <v>#N/A</v>
      </c>
      <c r="AF42" s="21" t="e">
        <f t="shared" si="10"/>
        <v>#N/A</v>
      </c>
      <c r="AG42" s="21" t="e">
        <f t="shared" si="11"/>
        <v>#N/A</v>
      </c>
      <c r="AH42" s="11" t="e">
        <f t="shared" si="12"/>
        <v>#N/A</v>
      </c>
      <c r="AI42">
        <v>2.5000000000000001E-2</v>
      </c>
      <c r="AJ42">
        <v>-2.5000000000000001E-2</v>
      </c>
      <c r="AK42">
        <v>1.5E-3</v>
      </c>
      <c r="AL42">
        <v>-1.5E-3</v>
      </c>
      <c r="AM42">
        <v>1.5E-3</v>
      </c>
      <c r="AN42">
        <v>-1.5E-3</v>
      </c>
      <c r="AO42" s="16">
        <v>2.5000000000000001E-2</v>
      </c>
      <c r="AP42" s="16">
        <v>-2.5000000000000001E-2</v>
      </c>
      <c r="AQ42">
        <v>1.4999999999999999E-2</v>
      </c>
      <c r="AR42">
        <v>-1.4999999999999999E-2</v>
      </c>
      <c r="AS42">
        <v>1E-3</v>
      </c>
      <c r="AT42">
        <v>-1E-3</v>
      </c>
      <c r="AU42">
        <v>1E-3</v>
      </c>
      <c r="AV42">
        <v>-1E-3</v>
      </c>
      <c r="AW42" s="16">
        <v>1.4999999999999999E-2</v>
      </c>
      <c r="AX42" s="16">
        <v>-1.4999999999999999E-2</v>
      </c>
    </row>
    <row r="43" spans="1:279" customFormat="1">
      <c r="F43" s="17" t="str">
        <f t="shared" si="0"/>
        <v/>
      </c>
      <c r="G43" s="9"/>
      <c r="H43" s="2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22" t="e">
        <f t="shared" si="1"/>
        <v>#N/A</v>
      </c>
      <c r="X43" s="21" t="e">
        <f t="shared" si="2"/>
        <v>#N/A</v>
      </c>
      <c r="Y43" s="21" t="e">
        <f t="shared" si="3"/>
        <v>#N/A</v>
      </c>
      <c r="Z43" s="11" t="e">
        <f t="shared" si="4"/>
        <v>#N/A</v>
      </c>
      <c r="AA43" s="22" t="e">
        <f t="shared" si="5"/>
        <v>#N/A</v>
      </c>
      <c r="AB43" s="21" t="e">
        <f t="shared" si="6"/>
        <v>#N/A</v>
      </c>
      <c r="AC43" s="21" t="e">
        <f t="shared" si="7"/>
        <v>#N/A</v>
      </c>
      <c r="AD43" s="11" t="e">
        <f t="shared" si="8"/>
        <v>#N/A</v>
      </c>
      <c r="AE43" s="22" t="e">
        <f t="shared" si="9"/>
        <v>#N/A</v>
      </c>
      <c r="AF43" s="21" t="e">
        <f t="shared" si="10"/>
        <v>#N/A</v>
      </c>
      <c r="AG43" s="21" t="e">
        <f t="shared" si="11"/>
        <v>#N/A</v>
      </c>
      <c r="AH43" s="11" t="e">
        <f t="shared" si="12"/>
        <v>#N/A</v>
      </c>
      <c r="AI43">
        <v>2.5000000000000001E-2</v>
      </c>
      <c r="AJ43">
        <v>-2.5000000000000001E-2</v>
      </c>
      <c r="AK43">
        <v>1.5E-3</v>
      </c>
      <c r="AL43">
        <v>-1.5E-3</v>
      </c>
      <c r="AM43">
        <v>1.5E-3</v>
      </c>
      <c r="AN43">
        <v>-1.5E-3</v>
      </c>
      <c r="AO43" s="16">
        <v>2.5000000000000001E-2</v>
      </c>
      <c r="AP43" s="16">
        <v>-2.5000000000000001E-2</v>
      </c>
      <c r="AQ43">
        <v>1.4999999999999999E-2</v>
      </c>
      <c r="AR43">
        <v>-1.4999999999999999E-2</v>
      </c>
      <c r="AS43">
        <v>1E-3</v>
      </c>
      <c r="AT43">
        <v>-1E-3</v>
      </c>
      <c r="AU43">
        <v>1E-3</v>
      </c>
      <c r="AV43">
        <v>-1E-3</v>
      </c>
      <c r="AW43" s="16">
        <v>1.4999999999999999E-2</v>
      </c>
      <c r="AX43" s="16">
        <v>-1.4999999999999999E-2</v>
      </c>
    </row>
    <row r="44" spans="1:279" customFormat="1">
      <c r="F44" s="17" t="str">
        <f t="shared" si="0"/>
        <v/>
      </c>
      <c r="G44" s="9"/>
      <c r="H44" s="2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22" t="e">
        <f t="shared" si="1"/>
        <v>#N/A</v>
      </c>
      <c r="X44" s="21" t="e">
        <f t="shared" si="2"/>
        <v>#N/A</v>
      </c>
      <c r="Y44" s="21" t="e">
        <f t="shared" si="3"/>
        <v>#N/A</v>
      </c>
      <c r="Z44" s="11" t="e">
        <f t="shared" si="4"/>
        <v>#N/A</v>
      </c>
      <c r="AA44" s="22" t="e">
        <f t="shared" si="5"/>
        <v>#N/A</v>
      </c>
      <c r="AB44" s="21" t="e">
        <f t="shared" si="6"/>
        <v>#N/A</v>
      </c>
      <c r="AC44" s="21" t="e">
        <f t="shared" si="7"/>
        <v>#N/A</v>
      </c>
      <c r="AD44" s="11" t="e">
        <f t="shared" si="8"/>
        <v>#N/A</v>
      </c>
      <c r="AE44" s="22" t="e">
        <f t="shared" si="9"/>
        <v>#N/A</v>
      </c>
      <c r="AF44" s="21" t="e">
        <f t="shared" si="10"/>
        <v>#N/A</v>
      </c>
      <c r="AG44" s="21" t="e">
        <f t="shared" si="11"/>
        <v>#N/A</v>
      </c>
      <c r="AH44" s="11" t="e">
        <f t="shared" si="12"/>
        <v>#N/A</v>
      </c>
      <c r="AI44">
        <v>2.5000000000000001E-2</v>
      </c>
      <c r="AJ44">
        <v>-2.5000000000000001E-2</v>
      </c>
      <c r="AK44">
        <v>1.5E-3</v>
      </c>
      <c r="AL44">
        <v>-1.5E-3</v>
      </c>
      <c r="AM44">
        <v>1.5E-3</v>
      </c>
      <c r="AN44">
        <v>-1.5E-3</v>
      </c>
      <c r="AO44" s="16">
        <v>2.5000000000000001E-2</v>
      </c>
      <c r="AP44" s="16">
        <v>-2.5000000000000001E-2</v>
      </c>
      <c r="AQ44">
        <v>1.4999999999999999E-2</v>
      </c>
      <c r="AR44">
        <v>-1.4999999999999999E-2</v>
      </c>
      <c r="AS44">
        <v>1E-3</v>
      </c>
      <c r="AT44">
        <v>-1E-3</v>
      </c>
      <c r="AU44">
        <v>1E-3</v>
      </c>
      <c r="AV44">
        <v>-1E-3</v>
      </c>
      <c r="AW44" s="16">
        <v>1.4999999999999999E-2</v>
      </c>
      <c r="AX44" s="16">
        <v>-1.4999999999999999E-2</v>
      </c>
    </row>
    <row r="45" spans="1:279" customFormat="1">
      <c r="F45" s="17" t="str">
        <f t="shared" si="0"/>
        <v/>
      </c>
      <c r="G45" s="9"/>
      <c r="H45" s="2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22" t="e">
        <f t="shared" si="1"/>
        <v>#N/A</v>
      </c>
      <c r="X45" s="21" t="e">
        <f t="shared" si="2"/>
        <v>#N/A</v>
      </c>
      <c r="Y45" s="21" t="e">
        <f t="shared" si="3"/>
        <v>#N/A</v>
      </c>
      <c r="Z45" s="11" t="e">
        <f t="shared" si="4"/>
        <v>#N/A</v>
      </c>
      <c r="AA45" s="22" t="e">
        <f t="shared" si="5"/>
        <v>#N/A</v>
      </c>
      <c r="AB45" s="21" t="e">
        <f t="shared" si="6"/>
        <v>#N/A</v>
      </c>
      <c r="AC45" s="21" t="e">
        <f t="shared" si="7"/>
        <v>#N/A</v>
      </c>
      <c r="AD45" s="11" t="e">
        <f t="shared" si="8"/>
        <v>#N/A</v>
      </c>
      <c r="AE45" s="22" t="e">
        <f t="shared" si="9"/>
        <v>#N/A</v>
      </c>
      <c r="AF45" s="21" t="e">
        <f t="shared" si="10"/>
        <v>#N/A</v>
      </c>
      <c r="AG45" s="21" t="e">
        <f t="shared" si="11"/>
        <v>#N/A</v>
      </c>
      <c r="AH45" s="11" t="e">
        <f t="shared" si="12"/>
        <v>#N/A</v>
      </c>
      <c r="AI45">
        <v>2.5000000000000001E-2</v>
      </c>
      <c r="AJ45">
        <v>-2.5000000000000001E-2</v>
      </c>
      <c r="AK45">
        <v>1.5E-3</v>
      </c>
      <c r="AL45">
        <v>-1.5E-3</v>
      </c>
      <c r="AM45">
        <v>1.5E-3</v>
      </c>
      <c r="AN45">
        <v>-1.5E-3</v>
      </c>
      <c r="AO45" s="16">
        <v>2.5000000000000001E-2</v>
      </c>
      <c r="AP45" s="16">
        <v>-2.5000000000000001E-2</v>
      </c>
      <c r="AQ45">
        <v>1.4999999999999999E-2</v>
      </c>
      <c r="AR45">
        <v>-1.4999999999999999E-2</v>
      </c>
      <c r="AS45">
        <v>1E-3</v>
      </c>
      <c r="AT45">
        <v>-1E-3</v>
      </c>
      <c r="AU45">
        <v>1E-3</v>
      </c>
      <c r="AV45">
        <v>-1E-3</v>
      </c>
      <c r="AW45" s="16">
        <v>1.4999999999999999E-2</v>
      </c>
      <c r="AX45" s="16">
        <v>-1.4999999999999999E-2</v>
      </c>
    </row>
    <row r="46" spans="1:279" customFormat="1">
      <c r="F46" s="17" t="str">
        <f t="shared" si="0"/>
        <v/>
      </c>
      <c r="G46" s="9"/>
      <c r="H46" s="2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22" t="e">
        <f t="shared" si="1"/>
        <v>#N/A</v>
      </c>
      <c r="X46" s="21" t="e">
        <f t="shared" si="2"/>
        <v>#N/A</v>
      </c>
      <c r="Y46" s="21" t="e">
        <f t="shared" si="3"/>
        <v>#N/A</v>
      </c>
      <c r="Z46" s="11" t="e">
        <f t="shared" si="4"/>
        <v>#N/A</v>
      </c>
      <c r="AA46" s="22" t="e">
        <f t="shared" si="5"/>
        <v>#N/A</v>
      </c>
      <c r="AB46" s="21" t="e">
        <f t="shared" si="6"/>
        <v>#N/A</v>
      </c>
      <c r="AC46" s="21" t="e">
        <f t="shared" si="7"/>
        <v>#N/A</v>
      </c>
      <c r="AD46" s="11" t="e">
        <f t="shared" si="8"/>
        <v>#N/A</v>
      </c>
      <c r="AE46" s="22" t="e">
        <f t="shared" si="9"/>
        <v>#N/A</v>
      </c>
      <c r="AF46" s="21" t="e">
        <f t="shared" si="10"/>
        <v>#N/A</v>
      </c>
      <c r="AG46" s="21" t="e">
        <f t="shared" si="11"/>
        <v>#N/A</v>
      </c>
      <c r="AH46" s="11" t="e">
        <f t="shared" si="12"/>
        <v>#N/A</v>
      </c>
      <c r="AI46">
        <v>2.5000000000000001E-2</v>
      </c>
      <c r="AJ46">
        <v>-2.5000000000000001E-2</v>
      </c>
      <c r="AK46">
        <v>1.5E-3</v>
      </c>
      <c r="AL46">
        <v>-1.5E-3</v>
      </c>
      <c r="AM46">
        <v>1.5E-3</v>
      </c>
      <c r="AN46">
        <v>-1.5E-3</v>
      </c>
      <c r="AO46" s="16">
        <v>2.5000000000000001E-2</v>
      </c>
      <c r="AP46" s="16">
        <v>-2.5000000000000001E-2</v>
      </c>
      <c r="AQ46">
        <v>1.4999999999999999E-2</v>
      </c>
      <c r="AR46">
        <v>-1.4999999999999999E-2</v>
      </c>
      <c r="AS46">
        <v>1E-3</v>
      </c>
      <c r="AT46">
        <v>-1E-3</v>
      </c>
      <c r="AU46">
        <v>1E-3</v>
      </c>
      <c r="AV46">
        <v>-1E-3</v>
      </c>
      <c r="AW46" s="16">
        <v>1.4999999999999999E-2</v>
      </c>
      <c r="AX46" s="16">
        <v>-1.4999999999999999E-2</v>
      </c>
      <c r="JR46">
        <v>12.849506578947368</v>
      </c>
      <c r="JS46">
        <v>25.699013157894736</v>
      </c>
    </row>
    <row r="47" spans="1:279" customFormat="1">
      <c r="F47" s="17" t="str">
        <f t="shared" si="0"/>
        <v/>
      </c>
      <c r="G47" s="9"/>
      <c r="H47" s="2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22" t="e">
        <f t="shared" si="1"/>
        <v>#N/A</v>
      </c>
      <c r="X47" s="21" t="e">
        <f t="shared" si="2"/>
        <v>#N/A</v>
      </c>
      <c r="Y47" s="21" t="e">
        <f t="shared" si="3"/>
        <v>#N/A</v>
      </c>
      <c r="Z47" s="11" t="e">
        <f t="shared" si="4"/>
        <v>#N/A</v>
      </c>
      <c r="AA47" s="22" t="e">
        <f t="shared" si="5"/>
        <v>#N/A</v>
      </c>
      <c r="AB47" s="21" t="e">
        <f t="shared" si="6"/>
        <v>#N/A</v>
      </c>
      <c r="AC47" s="21" t="e">
        <f t="shared" si="7"/>
        <v>#N/A</v>
      </c>
      <c r="AD47" s="11" t="e">
        <f t="shared" si="8"/>
        <v>#N/A</v>
      </c>
      <c r="AE47" s="22" t="e">
        <f t="shared" si="9"/>
        <v>#N/A</v>
      </c>
      <c r="AF47" s="21" t="e">
        <f t="shared" si="10"/>
        <v>#N/A</v>
      </c>
      <c r="AG47" s="21" t="e">
        <f t="shared" si="11"/>
        <v>#N/A</v>
      </c>
      <c r="AH47" s="11" t="e">
        <f t="shared" si="12"/>
        <v>#N/A</v>
      </c>
      <c r="AI47">
        <v>2.5000000000000001E-2</v>
      </c>
      <c r="AJ47">
        <v>-2.5000000000000001E-2</v>
      </c>
      <c r="AK47">
        <v>1.5E-3</v>
      </c>
      <c r="AL47">
        <v>-1.5E-3</v>
      </c>
      <c r="AM47">
        <v>1.5E-3</v>
      </c>
      <c r="AN47">
        <v>-1.5E-3</v>
      </c>
      <c r="AO47" s="16">
        <v>2.5000000000000001E-2</v>
      </c>
      <c r="AP47" s="16">
        <v>-2.5000000000000001E-2</v>
      </c>
      <c r="AQ47">
        <v>1.4999999999999999E-2</v>
      </c>
      <c r="AR47">
        <v>-1.4999999999999999E-2</v>
      </c>
      <c r="AS47">
        <v>1E-3</v>
      </c>
      <c r="AT47">
        <v>-1E-3</v>
      </c>
      <c r="AU47">
        <v>1E-3</v>
      </c>
      <c r="AV47">
        <v>-1E-3</v>
      </c>
      <c r="AW47" s="16">
        <v>1.4999999999999999E-2</v>
      </c>
      <c r="AX47" s="16">
        <v>-1.4999999999999999E-2</v>
      </c>
    </row>
    <row r="48" spans="1:279" customFormat="1">
      <c r="F48" s="17" t="str">
        <f t="shared" si="0"/>
        <v/>
      </c>
      <c r="G48" s="9"/>
      <c r="H48" s="2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22" t="e">
        <f t="shared" si="1"/>
        <v>#N/A</v>
      </c>
      <c r="X48" s="21" t="e">
        <f t="shared" si="2"/>
        <v>#N/A</v>
      </c>
      <c r="Y48" s="21" t="e">
        <f t="shared" si="3"/>
        <v>#N/A</v>
      </c>
      <c r="Z48" s="11" t="e">
        <f t="shared" si="4"/>
        <v>#N/A</v>
      </c>
      <c r="AA48" s="22" t="e">
        <f t="shared" si="5"/>
        <v>#N/A</v>
      </c>
      <c r="AB48" s="21" t="e">
        <f t="shared" si="6"/>
        <v>#N/A</v>
      </c>
      <c r="AC48" s="21" t="e">
        <f t="shared" si="7"/>
        <v>#N/A</v>
      </c>
      <c r="AD48" s="11" t="e">
        <f t="shared" si="8"/>
        <v>#N/A</v>
      </c>
      <c r="AE48" s="22" t="e">
        <f t="shared" si="9"/>
        <v>#N/A</v>
      </c>
      <c r="AF48" s="21" t="e">
        <f t="shared" si="10"/>
        <v>#N/A</v>
      </c>
      <c r="AG48" s="21" t="e">
        <f t="shared" si="11"/>
        <v>#N/A</v>
      </c>
      <c r="AH48" s="11" t="e">
        <f t="shared" si="12"/>
        <v>#N/A</v>
      </c>
      <c r="AI48">
        <v>2.5000000000000001E-2</v>
      </c>
      <c r="AJ48">
        <v>-2.5000000000000001E-2</v>
      </c>
      <c r="AK48">
        <v>1.5E-3</v>
      </c>
      <c r="AL48">
        <v>-1.5E-3</v>
      </c>
      <c r="AM48">
        <v>1.5E-3</v>
      </c>
      <c r="AN48">
        <v>-1.5E-3</v>
      </c>
      <c r="AO48" s="16">
        <v>2.5000000000000001E-2</v>
      </c>
      <c r="AP48" s="16">
        <v>-2.5000000000000001E-2</v>
      </c>
      <c r="AQ48">
        <v>1.4999999999999999E-2</v>
      </c>
      <c r="AR48">
        <v>-1.4999999999999999E-2</v>
      </c>
      <c r="AS48">
        <v>1E-3</v>
      </c>
      <c r="AT48">
        <v>-1E-3</v>
      </c>
      <c r="AU48">
        <v>1E-3</v>
      </c>
      <c r="AV48">
        <v>-1E-3</v>
      </c>
      <c r="AW48" s="16">
        <v>1.4999999999999999E-2</v>
      </c>
      <c r="AX48" s="16">
        <v>-1.4999999999999999E-2</v>
      </c>
      <c r="JQ48">
        <v>12.849506578947368</v>
      </c>
      <c r="JR48">
        <v>12.849506578947368</v>
      </c>
      <c r="JS48">
        <v>12.849506578947368</v>
      </c>
    </row>
    <row r="49" spans="6:279" customFormat="1">
      <c r="F49" s="17" t="str">
        <f t="shared" si="0"/>
        <v/>
      </c>
      <c r="G49" s="9"/>
      <c r="H49" s="2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22" t="e">
        <f t="shared" si="1"/>
        <v>#N/A</v>
      </c>
      <c r="X49" s="21" t="e">
        <f t="shared" si="2"/>
        <v>#N/A</v>
      </c>
      <c r="Y49" s="21" t="e">
        <f t="shared" si="3"/>
        <v>#N/A</v>
      </c>
      <c r="Z49" s="11" t="e">
        <f t="shared" si="4"/>
        <v>#N/A</v>
      </c>
      <c r="AA49" s="22" t="e">
        <f t="shared" si="5"/>
        <v>#N/A</v>
      </c>
      <c r="AB49" s="21" t="e">
        <f t="shared" si="6"/>
        <v>#N/A</v>
      </c>
      <c r="AC49" s="21" t="e">
        <f t="shared" si="7"/>
        <v>#N/A</v>
      </c>
      <c r="AD49" s="11" t="e">
        <f t="shared" si="8"/>
        <v>#N/A</v>
      </c>
      <c r="AE49" s="22" t="e">
        <f t="shared" si="9"/>
        <v>#N/A</v>
      </c>
      <c r="AF49" s="21" t="e">
        <f t="shared" si="10"/>
        <v>#N/A</v>
      </c>
      <c r="AG49" s="21" t="e">
        <f t="shared" si="11"/>
        <v>#N/A</v>
      </c>
      <c r="AH49" s="11" t="e">
        <f t="shared" si="12"/>
        <v>#N/A</v>
      </c>
      <c r="AI49">
        <v>2.5000000000000001E-2</v>
      </c>
      <c r="AJ49">
        <v>-2.5000000000000001E-2</v>
      </c>
      <c r="AK49">
        <v>1.5E-3</v>
      </c>
      <c r="AL49">
        <v>-1.5E-3</v>
      </c>
      <c r="AM49">
        <v>1.5E-3</v>
      </c>
      <c r="AN49">
        <v>-1.5E-3</v>
      </c>
      <c r="AO49" s="16">
        <v>2.5000000000000001E-2</v>
      </c>
      <c r="AP49" s="16">
        <v>-2.5000000000000001E-2</v>
      </c>
      <c r="AQ49">
        <v>1.4999999999999999E-2</v>
      </c>
      <c r="AR49">
        <v>-1.4999999999999999E-2</v>
      </c>
      <c r="AS49">
        <v>1E-3</v>
      </c>
      <c r="AT49">
        <v>-1E-3</v>
      </c>
      <c r="AU49">
        <v>1E-3</v>
      </c>
      <c r="AV49">
        <v>-1E-3</v>
      </c>
      <c r="AW49" s="16">
        <v>1.4999999999999999E-2</v>
      </c>
      <c r="AX49" s="16">
        <v>-1.4999999999999999E-2</v>
      </c>
    </row>
    <row r="50" spans="6:279" customFormat="1">
      <c r="F50" s="17" t="str">
        <f t="shared" si="0"/>
        <v/>
      </c>
      <c r="G50" s="9"/>
      <c r="H50" s="2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22" t="e">
        <f t="shared" si="1"/>
        <v>#N/A</v>
      </c>
      <c r="X50" s="21" t="e">
        <f t="shared" si="2"/>
        <v>#N/A</v>
      </c>
      <c r="Y50" s="21" t="e">
        <f t="shared" si="3"/>
        <v>#N/A</v>
      </c>
      <c r="Z50" s="11" t="e">
        <f t="shared" si="4"/>
        <v>#N/A</v>
      </c>
      <c r="AA50" s="22" t="e">
        <f t="shared" si="5"/>
        <v>#N/A</v>
      </c>
      <c r="AB50" s="21" t="e">
        <f t="shared" si="6"/>
        <v>#N/A</v>
      </c>
      <c r="AC50" s="21" t="e">
        <f t="shared" si="7"/>
        <v>#N/A</v>
      </c>
      <c r="AD50" s="11" t="e">
        <f t="shared" si="8"/>
        <v>#N/A</v>
      </c>
      <c r="AE50" s="22" t="e">
        <f t="shared" si="9"/>
        <v>#N/A</v>
      </c>
      <c r="AF50" s="21" t="e">
        <f t="shared" si="10"/>
        <v>#N/A</v>
      </c>
      <c r="AG50" s="21" t="e">
        <f t="shared" si="11"/>
        <v>#N/A</v>
      </c>
      <c r="AH50" s="11" t="e">
        <f t="shared" si="12"/>
        <v>#N/A</v>
      </c>
      <c r="AI50">
        <v>2.5000000000000001E-2</v>
      </c>
      <c r="AJ50">
        <v>-2.5000000000000001E-2</v>
      </c>
      <c r="AK50">
        <v>1.5E-3</v>
      </c>
      <c r="AL50">
        <v>-1.5E-3</v>
      </c>
      <c r="AM50">
        <v>1.5E-3</v>
      </c>
      <c r="AN50">
        <v>-1.5E-3</v>
      </c>
      <c r="AO50" s="16">
        <v>2.5000000000000001E-2</v>
      </c>
      <c r="AP50" s="16">
        <v>-2.5000000000000001E-2</v>
      </c>
      <c r="AQ50">
        <v>1.4999999999999999E-2</v>
      </c>
      <c r="AR50">
        <v>-1.4999999999999999E-2</v>
      </c>
      <c r="AS50">
        <v>1E-3</v>
      </c>
      <c r="AT50">
        <v>-1E-3</v>
      </c>
      <c r="AU50">
        <v>1E-3</v>
      </c>
      <c r="AV50">
        <v>-1E-3</v>
      </c>
      <c r="AW50" s="16">
        <v>1.4999999999999999E-2</v>
      </c>
      <c r="AX50" s="16">
        <v>-1.4999999999999999E-2</v>
      </c>
    </row>
    <row r="51" spans="6:279" customFormat="1">
      <c r="F51" s="17" t="str">
        <f t="shared" si="0"/>
        <v/>
      </c>
      <c r="G51" s="9"/>
      <c r="H51" s="2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22" t="e">
        <f t="shared" si="1"/>
        <v>#N/A</v>
      </c>
      <c r="X51" s="21" t="e">
        <f t="shared" si="2"/>
        <v>#N/A</v>
      </c>
      <c r="Y51" s="21" t="e">
        <f t="shared" si="3"/>
        <v>#N/A</v>
      </c>
      <c r="Z51" s="11" t="e">
        <f t="shared" si="4"/>
        <v>#N/A</v>
      </c>
      <c r="AA51" s="22" t="e">
        <f t="shared" si="5"/>
        <v>#N/A</v>
      </c>
      <c r="AB51" s="21" t="e">
        <f t="shared" si="6"/>
        <v>#N/A</v>
      </c>
      <c r="AC51" s="21" t="e">
        <f t="shared" si="7"/>
        <v>#N/A</v>
      </c>
      <c r="AD51" s="11" t="e">
        <f t="shared" si="8"/>
        <v>#N/A</v>
      </c>
      <c r="AE51" s="22" t="e">
        <f t="shared" si="9"/>
        <v>#N/A</v>
      </c>
      <c r="AF51" s="21" t="e">
        <f t="shared" si="10"/>
        <v>#N/A</v>
      </c>
      <c r="AG51" s="21" t="e">
        <f t="shared" si="11"/>
        <v>#N/A</v>
      </c>
      <c r="AH51" s="11" t="e">
        <f t="shared" si="12"/>
        <v>#N/A</v>
      </c>
      <c r="AI51">
        <v>2.5000000000000001E-2</v>
      </c>
      <c r="AJ51">
        <v>-2.5000000000000001E-2</v>
      </c>
      <c r="AK51">
        <v>1.5E-3</v>
      </c>
      <c r="AL51">
        <v>-1.5E-3</v>
      </c>
      <c r="AM51">
        <v>1.5E-3</v>
      </c>
      <c r="AN51">
        <v>-1.5E-3</v>
      </c>
      <c r="AO51" s="16">
        <v>2.5000000000000001E-2</v>
      </c>
      <c r="AP51" s="16">
        <v>-2.5000000000000001E-2</v>
      </c>
      <c r="AQ51">
        <v>1.4999999999999999E-2</v>
      </c>
      <c r="AR51">
        <v>-1.4999999999999999E-2</v>
      </c>
      <c r="AS51">
        <v>1E-3</v>
      </c>
      <c r="AT51">
        <v>-1E-3</v>
      </c>
      <c r="AU51">
        <v>1E-3</v>
      </c>
      <c r="AV51">
        <v>-1E-3</v>
      </c>
      <c r="AW51" s="16">
        <v>1.4999999999999999E-2</v>
      </c>
      <c r="AX51" s="16">
        <v>-1.4999999999999999E-2</v>
      </c>
    </row>
    <row r="52" spans="6:279" customFormat="1">
      <c r="F52" s="17" t="str">
        <f t="shared" si="0"/>
        <v/>
      </c>
      <c r="G52" s="9"/>
      <c r="H52" s="2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22" t="e">
        <f t="shared" si="1"/>
        <v>#N/A</v>
      </c>
      <c r="X52" s="21" t="e">
        <f t="shared" si="2"/>
        <v>#N/A</v>
      </c>
      <c r="Y52" s="21" t="e">
        <f t="shared" si="3"/>
        <v>#N/A</v>
      </c>
      <c r="Z52" s="11" t="e">
        <f t="shared" si="4"/>
        <v>#N/A</v>
      </c>
      <c r="AA52" s="22" t="e">
        <f t="shared" si="5"/>
        <v>#N/A</v>
      </c>
      <c r="AB52" s="21" t="e">
        <f t="shared" si="6"/>
        <v>#N/A</v>
      </c>
      <c r="AC52" s="21" t="e">
        <f t="shared" si="7"/>
        <v>#N/A</v>
      </c>
      <c r="AD52" s="11" t="e">
        <f t="shared" si="8"/>
        <v>#N/A</v>
      </c>
      <c r="AE52" s="22" t="e">
        <f t="shared" si="9"/>
        <v>#N/A</v>
      </c>
      <c r="AF52" s="21" t="e">
        <f t="shared" si="10"/>
        <v>#N/A</v>
      </c>
      <c r="AG52" s="21" t="e">
        <f t="shared" si="11"/>
        <v>#N/A</v>
      </c>
      <c r="AH52" s="11" t="e">
        <f t="shared" si="12"/>
        <v>#N/A</v>
      </c>
      <c r="AI52">
        <v>2.5000000000000001E-2</v>
      </c>
      <c r="AJ52">
        <v>-2.5000000000000001E-2</v>
      </c>
      <c r="AK52">
        <v>1.5E-3</v>
      </c>
      <c r="AL52">
        <v>-1.5E-3</v>
      </c>
      <c r="AM52">
        <v>1.5E-3</v>
      </c>
      <c r="AN52">
        <v>-1.5E-3</v>
      </c>
      <c r="AO52" s="16">
        <v>2.5000000000000001E-2</v>
      </c>
      <c r="AP52" s="16">
        <v>-2.5000000000000001E-2</v>
      </c>
      <c r="AQ52">
        <v>1.4999999999999999E-2</v>
      </c>
      <c r="AR52">
        <v>-1.4999999999999999E-2</v>
      </c>
      <c r="AS52">
        <v>1E-3</v>
      </c>
      <c r="AT52">
        <v>-1E-3</v>
      </c>
      <c r="AU52">
        <v>1E-3</v>
      </c>
      <c r="AV52">
        <v>-1E-3</v>
      </c>
      <c r="AW52" s="16">
        <v>1.4999999999999999E-2</v>
      </c>
      <c r="AX52" s="16">
        <v>-1.4999999999999999E-2</v>
      </c>
    </row>
    <row r="53" spans="6:279" customFormat="1">
      <c r="F53" s="17" t="str">
        <f t="shared" si="0"/>
        <v/>
      </c>
      <c r="G53" s="9"/>
      <c r="H53" s="2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22" t="e">
        <f t="shared" si="1"/>
        <v>#N/A</v>
      </c>
      <c r="X53" s="21" t="e">
        <f t="shared" si="2"/>
        <v>#N/A</v>
      </c>
      <c r="Y53" s="21" t="e">
        <f t="shared" si="3"/>
        <v>#N/A</v>
      </c>
      <c r="Z53" s="11" t="e">
        <f t="shared" si="4"/>
        <v>#N/A</v>
      </c>
      <c r="AA53" s="22" t="e">
        <f t="shared" si="5"/>
        <v>#N/A</v>
      </c>
      <c r="AB53" s="21" t="e">
        <f t="shared" si="6"/>
        <v>#N/A</v>
      </c>
      <c r="AC53" s="21" t="e">
        <f t="shared" si="7"/>
        <v>#N/A</v>
      </c>
      <c r="AD53" s="11" t="e">
        <f t="shared" si="8"/>
        <v>#N/A</v>
      </c>
      <c r="AE53" s="22" t="e">
        <f t="shared" si="9"/>
        <v>#N/A</v>
      </c>
      <c r="AF53" s="21" t="e">
        <f t="shared" si="10"/>
        <v>#N/A</v>
      </c>
      <c r="AG53" s="21" t="e">
        <f t="shared" si="11"/>
        <v>#N/A</v>
      </c>
      <c r="AH53" s="11" t="e">
        <f t="shared" si="12"/>
        <v>#N/A</v>
      </c>
      <c r="AI53">
        <v>2.5000000000000001E-2</v>
      </c>
      <c r="AJ53">
        <v>-2.5000000000000001E-2</v>
      </c>
      <c r="AK53">
        <v>1.5E-3</v>
      </c>
      <c r="AL53">
        <v>-1.5E-3</v>
      </c>
      <c r="AM53">
        <v>1.5E-3</v>
      </c>
      <c r="AN53">
        <v>-1.5E-3</v>
      </c>
      <c r="AO53" s="16">
        <v>2.5000000000000001E-2</v>
      </c>
      <c r="AP53" s="16">
        <v>-2.5000000000000001E-2</v>
      </c>
      <c r="AQ53">
        <v>1.4999999999999999E-2</v>
      </c>
      <c r="AR53">
        <v>-1.4999999999999999E-2</v>
      </c>
      <c r="AS53">
        <v>1E-3</v>
      </c>
      <c r="AT53">
        <v>-1E-3</v>
      </c>
      <c r="AU53">
        <v>1E-3</v>
      </c>
      <c r="AV53">
        <v>-1E-3</v>
      </c>
      <c r="AW53" s="16">
        <v>1.4999999999999999E-2</v>
      </c>
      <c r="AX53" s="16">
        <v>-1.4999999999999999E-2</v>
      </c>
      <c r="JR53">
        <v>12.849506578947368</v>
      </c>
    </row>
    <row r="54" spans="6:279" customFormat="1">
      <c r="F54" s="17" t="str">
        <f t="shared" si="0"/>
        <v/>
      </c>
      <c r="G54" s="9"/>
      <c r="H54" s="2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22" t="e">
        <f t="shared" si="1"/>
        <v>#N/A</v>
      </c>
      <c r="X54" s="21" t="e">
        <f t="shared" si="2"/>
        <v>#N/A</v>
      </c>
      <c r="Y54" s="21" t="e">
        <f t="shared" si="3"/>
        <v>#N/A</v>
      </c>
      <c r="Z54" s="11" t="e">
        <f t="shared" si="4"/>
        <v>#N/A</v>
      </c>
      <c r="AA54" s="22" t="e">
        <f t="shared" si="5"/>
        <v>#N/A</v>
      </c>
      <c r="AB54" s="21" t="e">
        <f t="shared" si="6"/>
        <v>#N/A</v>
      </c>
      <c r="AC54" s="21" t="e">
        <f t="shared" si="7"/>
        <v>#N/A</v>
      </c>
      <c r="AD54" s="11" t="e">
        <f t="shared" si="8"/>
        <v>#N/A</v>
      </c>
      <c r="AE54" s="22" t="e">
        <f t="shared" si="9"/>
        <v>#N/A</v>
      </c>
      <c r="AF54" s="21" t="e">
        <f t="shared" si="10"/>
        <v>#N/A</v>
      </c>
      <c r="AG54" s="21" t="e">
        <f t="shared" si="11"/>
        <v>#N/A</v>
      </c>
      <c r="AH54" s="11" t="e">
        <f t="shared" si="12"/>
        <v>#N/A</v>
      </c>
      <c r="AI54">
        <v>2.5000000000000001E-2</v>
      </c>
      <c r="AJ54">
        <v>-2.5000000000000001E-2</v>
      </c>
      <c r="AK54">
        <v>1.5E-3</v>
      </c>
      <c r="AL54">
        <v>-1.5E-3</v>
      </c>
      <c r="AM54">
        <v>1.5E-3</v>
      </c>
      <c r="AN54">
        <v>-1.5E-3</v>
      </c>
      <c r="AO54" s="16">
        <v>2.5000000000000001E-2</v>
      </c>
      <c r="AP54" s="16">
        <v>-2.5000000000000001E-2</v>
      </c>
      <c r="AQ54">
        <v>1.4999999999999999E-2</v>
      </c>
      <c r="AR54">
        <v>-1.4999999999999999E-2</v>
      </c>
      <c r="AS54">
        <v>1E-3</v>
      </c>
      <c r="AT54">
        <v>-1E-3</v>
      </c>
      <c r="AU54">
        <v>1E-3</v>
      </c>
      <c r="AV54">
        <v>-1E-3</v>
      </c>
      <c r="AW54" s="16">
        <v>1.4999999999999999E-2</v>
      </c>
      <c r="AX54" s="16">
        <v>-1.4999999999999999E-2</v>
      </c>
    </row>
    <row r="55" spans="6:279" customFormat="1">
      <c r="F55" s="17" t="str">
        <f t="shared" si="0"/>
        <v/>
      </c>
      <c r="G55" s="9"/>
      <c r="H55" s="2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22" t="e">
        <f t="shared" si="1"/>
        <v>#N/A</v>
      </c>
      <c r="X55" s="21" t="e">
        <f t="shared" si="2"/>
        <v>#N/A</v>
      </c>
      <c r="Y55" s="21" t="e">
        <f t="shared" si="3"/>
        <v>#N/A</v>
      </c>
      <c r="Z55" s="11" t="e">
        <f t="shared" si="4"/>
        <v>#N/A</v>
      </c>
      <c r="AA55" s="22" t="e">
        <f t="shared" si="5"/>
        <v>#N/A</v>
      </c>
      <c r="AB55" s="21" t="e">
        <f t="shared" si="6"/>
        <v>#N/A</v>
      </c>
      <c r="AC55" s="21" t="e">
        <f t="shared" si="7"/>
        <v>#N/A</v>
      </c>
      <c r="AD55" s="11" t="e">
        <f t="shared" si="8"/>
        <v>#N/A</v>
      </c>
      <c r="AE55" s="22" t="e">
        <f t="shared" si="9"/>
        <v>#N/A</v>
      </c>
      <c r="AF55" s="21" t="e">
        <f t="shared" si="10"/>
        <v>#N/A</v>
      </c>
      <c r="AG55" s="21" t="e">
        <f t="shared" si="11"/>
        <v>#N/A</v>
      </c>
      <c r="AH55" s="11" t="e">
        <f t="shared" si="12"/>
        <v>#N/A</v>
      </c>
      <c r="AI55">
        <v>2.5000000000000001E-2</v>
      </c>
      <c r="AJ55">
        <v>-2.5000000000000001E-2</v>
      </c>
      <c r="AK55">
        <v>1.5E-3</v>
      </c>
      <c r="AL55">
        <v>-1.5E-3</v>
      </c>
      <c r="AM55">
        <v>1.5E-3</v>
      </c>
      <c r="AN55">
        <v>-1.5E-3</v>
      </c>
      <c r="AO55" s="16">
        <v>2.5000000000000001E-2</v>
      </c>
      <c r="AP55" s="16">
        <v>-2.5000000000000001E-2</v>
      </c>
      <c r="AQ55">
        <v>1.4999999999999999E-2</v>
      </c>
      <c r="AR55">
        <v>-1.4999999999999999E-2</v>
      </c>
      <c r="AS55">
        <v>1E-3</v>
      </c>
      <c r="AT55">
        <v>-1E-3</v>
      </c>
      <c r="AU55">
        <v>1E-3</v>
      </c>
      <c r="AV55">
        <v>-1E-3</v>
      </c>
      <c r="AW55" s="16">
        <v>1.4999999999999999E-2</v>
      </c>
      <c r="AX55" s="16">
        <v>-1.4999999999999999E-2</v>
      </c>
      <c r="JR55">
        <v>12.849506578947368</v>
      </c>
      <c r="JS55">
        <v>12.849506578947368</v>
      </c>
    </row>
    <row r="56" spans="6:279" customFormat="1">
      <c r="F56" s="17" t="str">
        <f t="shared" si="0"/>
        <v/>
      </c>
      <c r="G56" s="9"/>
      <c r="H56" s="2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22" t="e">
        <f t="shared" si="1"/>
        <v>#N/A</v>
      </c>
      <c r="X56" s="21" t="e">
        <f t="shared" si="2"/>
        <v>#N/A</v>
      </c>
      <c r="Y56" s="21" t="e">
        <f t="shared" si="3"/>
        <v>#N/A</v>
      </c>
      <c r="Z56" s="11" t="e">
        <f t="shared" si="4"/>
        <v>#N/A</v>
      </c>
      <c r="AA56" s="22" t="e">
        <f t="shared" si="5"/>
        <v>#N/A</v>
      </c>
      <c r="AB56" s="21" t="e">
        <f t="shared" si="6"/>
        <v>#N/A</v>
      </c>
      <c r="AC56" s="21" t="e">
        <f t="shared" si="7"/>
        <v>#N/A</v>
      </c>
      <c r="AD56" s="11" t="e">
        <f t="shared" si="8"/>
        <v>#N/A</v>
      </c>
      <c r="AE56" s="22" t="e">
        <f t="shared" si="9"/>
        <v>#N/A</v>
      </c>
      <c r="AF56" s="21" t="e">
        <f t="shared" si="10"/>
        <v>#N/A</v>
      </c>
      <c r="AG56" s="21" t="e">
        <f t="shared" si="11"/>
        <v>#N/A</v>
      </c>
      <c r="AH56" s="11" t="e">
        <f t="shared" si="12"/>
        <v>#N/A</v>
      </c>
      <c r="AI56">
        <v>2.5000000000000001E-2</v>
      </c>
      <c r="AJ56">
        <v>-2.5000000000000001E-2</v>
      </c>
      <c r="AK56">
        <v>1.5E-3</v>
      </c>
      <c r="AL56">
        <v>-1.5E-3</v>
      </c>
      <c r="AM56">
        <v>1.5E-3</v>
      </c>
      <c r="AN56">
        <v>-1.5E-3</v>
      </c>
      <c r="AO56" s="16">
        <v>2.5000000000000001E-2</v>
      </c>
      <c r="AP56" s="16">
        <v>-2.5000000000000001E-2</v>
      </c>
      <c r="AQ56">
        <v>1.4999999999999999E-2</v>
      </c>
      <c r="AR56">
        <v>-1.4999999999999999E-2</v>
      </c>
      <c r="AS56">
        <v>1E-3</v>
      </c>
      <c r="AT56">
        <v>-1E-3</v>
      </c>
      <c r="AU56">
        <v>1E-3</v>
      </c>
      <c r="AV56">
        <v>-1E-3</v>
      </c>
      <c r="AW56" s="16">
        <v>1.4999999999999999E-2</v>
      </c>
      <c r="AX56" s="16">
        <v>-1.4999999999999999E-2</v>
      </c>
      <c r="JP56">
        <v>12.849506578947368</v>
      </c>
    </row>
    <row r="57" spans="6:279" customFormat="1">
      <c r="F57" s="17" t="str">
        <f t="shared" si="0"/>
        <v/>
      </c>
      <c r="G57" s="9"/>
      <c r="H57" s="2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22" t="e">
        <f t="shared" si="1"/>
        <v>#N/A</v>
      </c>
      <c r="X57" s="21" t="e">
        <f t="shared" si="2"/>
        <v>#N/A</v>
      </c>
      <c r="Y57" s="21" t="e">
        <f t="shared" si="3"/>
        <v>#N/A</v>
      </c>
      <c r="Z57" s="11" t="e">
        <f t="shared" si="4"/>
        <v>#N/A</v>
      </c>
      <c r="AA57" s="22" t="e">
        <f t="shared" si="5"/>
        <v>#N/A</v>
      </c>
      <c r="AB57" s="21" t="e">
        <f t="shared" si="6"/>
        <v>#N/A</v>
      </c>
      <c r="AC57" s="21" t="e">
        <f t="shared" si="7"/>
        <v>#N/A</v>
      </c>
      <c r="AD57" s="11" t="e">
        <f t="shared" si="8"/>
        <v>#N/A</v>
      </c>
      <c r="AE57" s="22" t="e">
        <f t="shared" si="9"/>
        <v>#N/A</v>
      </c>
      <c r="AF57" s="21" t="e">
        <f t="shared" si="10"/>
        <v>#N/A</v>
      </c>
      <c r="AG57" s="21" t="e">
        <f t="shared" si="11"/>
        <v>#N/A</v>
      </c>
      <c r="AH57" s="11" t="e">
        <f t="shared" si="12"/>
        <v>#N/A</v>
      </c>
      <c r="AI57">
        <v>2.5000000000000001E-2</v>
      </c>
      <c r="AJ57">
        <v>-2.5000000000000001E-2</v>
      </c>
      <c r="AK57">
        <v>1.5E-3</v>
      </c>
      <c r="AL57">
        <v>-1.5E-3</v>
      </c>
      <c r="AM57">
        <v>1.5E-3</v>
      </c>
      <c r="AN57">
        <v>-1.5E-3</v>
      </c>
      <c r="AO57" s="16">
        <v>2.5000000000000001E-2</v>
      </c>
      <c r="AP57" s="16">
        <v>-2.5000000000000001E-2</v>
      </c>
      <c r="AQ57">
        <v>1.4999999999999999E-2</v>
      </c>
      <c r="AR57">
        <v>-1.4999999999999999E-2</v>
      </c>
      <c r="AS57">
        <v>1E-3</v>
      </c>
      <c r="AT57">
        <v>-1E-3</v>
      </c>
      <c r="AU57">
        <v>1E-3</v>
      </c>
      <c r="AV57">
        <v>-1E-3</v>
      </c>
      <c r="AW57" s="16">
        <v>1.4999999999999999E-2</v>
      </c>
      <c r="AX57" s="16">
        <v>-1.4999999999999999E-2</v>
      </c>
      <c r="JP57">
        <v>38.548519736842103</v>
      </c>
      <c r="JR57">
        <v>12.849506578947368</v>
      </c>
      <c r="JS57">
        <v>12.849506578947368</v>
      </c>
    </row>
    <row r="58" spans="6:279" customFormat="1">
      <c r="F58" s="17" t="str">
        <f t="shared" si="0"/>
        <v/>
      </c>
      <c r="G58" s="9"/>
      <c r="H58" s="2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22" t="e">
        <f t="shared" si="1"/>
        <v>#N/A</v>
      </c>
      <c r="X58" s="21" t="e">
        <f t="shared" si="2"/>
        <v>#N/A</v>
      </c>
      <c r="Y58" s="21" t="e">
        <f t="shared" si="3"/>
        <v>#N/A</v>
      </c>
      <c r="Z58" s="11" t="e">
        <f t="shared" si="4"/>
        <v>#N/A</v>
      </c>
      <c r="AA58" s="22" t="e">
        <f t="shared" si="5"/>
        <v>#N/A</v>
      </c>
      <c r="AB58" s="21" t="e">
        <f t="shared" si="6"/>
        <v>#N/A</v>
      </c>
      <c r="AC58" s="21" t="e">
        <f t="shared" si="7"/>
        <v>#N/A</v>
      </c>
      <c r="AD58" s="11" t="e">
        <f t="shared" si="8"/>
        <v>#N/A</v>
      </c>
      <c r="AE58" s="22" t="e">
        <f t="shared" si="9"/>
        <v>#N/A</v>
      </c>
      <c r="AF58" s="21" t="e">
        <f t="shared" si="10"/>
        <v>#N/A</v>
      </c>
      <c r="AG58" s="21" t="e">
        <f t="shared" si="11"/>
        <v>#N/A</v>
      </c>
      <c r="AH58" s="11" t="e">
        <f t="shared" si="12"/>
        <v>#N/A</v>
      </c>
      <c r="AI58">
        <v>2.5000000000000001E-2</v>
      </c>
      <c r="AJ58">
        <v>-2.5000000000000001E-2</v>
      </c>
      <c r="AK58">
        <v>1.5E-3</v>
      </c>
      <c r="AL58">
        <v>-1.5E-3</v>
      </c>
      <c r="AM58">
        <v>1.5E-3</v>
      </c>
      <c r="AN58">
        <v>-1.5E-3</v>
      </c>
      <c r="AO58" s="16">
        <v>2.5000000000000001E-2</v>
      </c>
      <c r="AP58" s="16">
        <v>-2.5000000000000001E-2</v>
      </c>
      <c r="AQ58">
        <v>1.4999999999999999E-2</v>
      </c>
      <c r="AR58">
        <v>-1.4999999999999999E-2</v>
      </c>
      <c r="AS58">
        <v>1E-3</v>
      </c>
      <c r="AT58">
        <v>-1E-3</v>
      </c>
      <c r="AU58">
        <v>1E-3</v>
      </c>
      <c r="AV58">
        <v>-1E-3</v>
      </c>
      <c r="AW58" s="16">
        <v>1.4999999999999999E-2</v>
      </c>
      <c r="AX58" s="16">
        <v>-1.4999999999999999E-2</v>
      </c>
    </row>
    <row r="59" spans="6:279" customFormat="1">
      <c r="F59" s="17" t="str">
        <f t="shared" si="0"/>
        <v/>
      </c>
      <c r="G59" s="9"/>
      <c r="H59" s="2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22" t="e">
        <f t="shared" si="1"/>
        <v>#N/A</v>
      </c>
      <c r="X59" s="21" t="e">
        <f t="shared" si="2"/>
        <v>#N/A</v>
      </c>
      <c r="Y59" s="21" t="e">
        <f t="shared" si="3"/>
        <v>#N/A</v>
      </c>
      <c r="Z59" s="11" t="e">
        <f t="shared" si="4"/>
        <v>#N/A</v>
      </c>
      <c r="AA59" s="22" t="e">
        <f t="shared" si="5"/>
        <v>#N/A</v>
      </c>
      <c r="AB59" s="21" t="e">
        <f t="shared" si="6"/>
        <v>#N/A</v>
      </c>
      <c r="AC59" s="21" t="e">
        <f t="shared" si="7"/>
        <v>#N/A</v>
      </c>
      <c r="AD59" s="11" t="e">
        <f t="shared" si="8"/>
        <v>#N/A</v>
      </c>
      <c r="AE59" s="22" t="e">
        <f t="shared" si="9"/>
        <v>#N/A</v>
      </c>
      <c r="AF59" s="21" t="e">
        <f t="shared" si="10"/>
        <v>#N/A</v>
      </c>
      <c r="AG59" s="21" t="e">
        <f t="shared" si="11"/>
        <v>#N/A</v>
      </c>
      <c r="AH59" s="11" t="e">
        <f t="shared" si="12"/>
        <v>#N/A</v>
      </c>
      <c r="AI59">
        <v>2.5000000000000001E-2</v>
      </c>
      <c r="AJ59">
        <v>-2.5000000000000001E-2</v>
      </c>
      <c r="AK59">
        <v>1.5E-3</v>
      </c>
      <c r="AL59">
        <v>-1.5E-3</v>
      </c>
      <c r="AM59">
        <v>1.5E-3</v>
      </c>
      <c r="AN59">
        <v>-1.5E-3</v>
      </c>
      <c r="AO59" s="16">
        <v>2.5000000000000001E-2</v>
      </c>
      <c r="AP59" s="16">
        <v>-2.5000000000000001E-2</v>
      </c>
      <c r="AQ59">
        <v>1.4999999999999999E-2</v>
      </c>
      <c r="AR59">
        <v>-1.4999999999999999E-2</v>
      </c>
      <c r="AS59">
        <v>1E-3</v>
      </c>
      <c r="AT59">
        <v>-1E-3</v>
      </c>
      <c r="AU59">
        <v>1E-3</v>
      </c>
      <c r="AV59">
        <v>-1E-3</v>
      </c>
      <c r="AW59" s="16">
        <v>1.4999999999999999E-2</v>
      </c>
      <c r="AX59" s="16">
        <v>-1.4999999999999999E-2</v>
      </c>
      <c r="JQ59">
        <v>12.849506578947368</v>
      </c>
      <c r="JR59">
        <v>12.849506578947368</v>
      </c>
      <c r="JS59">
        <v>38.548519736842103</v>
      </c>
    </row>
    <row r="60" spans="6:279" customFormat="1">
      <c r="F60" s="17" t="str">
        <f t="shared" si="0"/>
        <v/>
      </c>
      <c r="G60" s="9"/>
      <c r="H60" s="2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22" t="e">
        <f t="shared" si="1"/>
        <v>#N/A</v>
      </c>
      <c r="X60" s="21" t="e">
        <f t="shared" si="2"/>
        <v>#N/A</v>
      </c>
      <c r="Y60" s="21" t="e">
        <f t="shared" si="3"/>
        <v>#N/A</v>
      </c>
      <c r="Z60" s="11" t="e">
        <f t="shared" si="4"/>
        <v>#N/A</v>
      </c>
      <c r="AA60" s="22" t="e">
        <f t="shared" si="5"/>
        <v>#N/A</v>
      </c>
      <c r="AB60" s="21" t="e">
        <f t="shared" si="6"/>
        <v>#N/A</v>
      </c>
      <c r="AC60" s="21" t="e">
        <f t="shared" si="7"/>
        <v>#N/A</v>
      </c>
      <c r="AD60" s="11" t="e">
        <f t="shared" si="8"/>
        <v>#N/A</v>
      </c>
      <c r="AE60" s="22" t="e">
        <f t="shared" si="9"/>
        <v>#N/A</v>
      </c>
      <c r="AF60" s="21" t="e">
        <f t="shared" si="10"/>
        <v>#N/A</v>
      </c>
      <c r="AG60" s="21" t="e">
        <f t="shared" si="11"/>
        <v>#N/A</v>
      </c>
      <c r="AH60" s="11" t="e">
        <f t="shared" si="12"/>
        <v>#N/A</v>
      </c>
      <c r="AI60">
        <v>2.5000000000000001E-2</v>
      </c>
      <c r="AJ60">
        <v>-2.5000000000000001E-2</v>
      </c>
      <c r="AK60">
        <v>1.5E-3</v>
      </c>
      <c r="AL60">
        <v>-1.5E-3</v>
      </c>
      <c r="AM60">
        <v>1.5E-3</v>
      </c>
      <c r="AN60">
        <v>-1.5E-3</v>
      </c>
      <c r="AO60" s="16">
        <v>2.5000000000000001E-2</v>
      </c>
      <c r="AP60" s="16">
        <v>-2.5000000000000001E-2</v>
      </c>
      <c r="AQ60">
        <v>1.4999999999999999E-2</v>
      </c>
      <c r="AR60">
        <v>-1.4999999999999999E-2</v>
      </c>
      <c r="AS60">
        <v>1E-3</v>
      </c>
      <c r="AT60">
        <v>-1E-3</v>
      </c>
      <c r="AU60">
        <v>1E-3</v>
      </c>
      <c r="AV60">
        <v>-1E-3</v>
      </c>
      <c r="AW60" s="16">
        <v>1.4999999999999999E-2</v>
      </c>
      <c r="AX60" s="16">
        <v>-1.4999999999999999E-2</v>
      </c>
    </row>
    <row r="61" spans="6:279" customFormat="1">
      <c r="F61" s="17" t="str">
        <f t="shared" si="0"/>
        <v/>
      </c>
      <c r="G61" s="9"/>
      <c r="H61" s="2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22" t="e">
        <f t="shared" si="1"/>
        <v>#N/A</v>
      </c>
      <c r="X61" s="21" t="e">
        <f t="shared" si="2"/>
        <v>#N/A</v>
      </c>
      <c r="Y61" s="21" t="e">
        <f t="shared" si="3"/>
        <v>#N/A</v>
      </c>
      <c r="Z61" s="11" t="e">
        <f t="shared" si="4"/>
        <v>#N/A</v>
      </c>
      <c r="AA61" s="22" t="e">
        <f t="shared" si="5"/>
        <v>#N/A</v>
      </c>
      <c r="AB61" s="21" t="e">
        <f t="shared" si="6"/>
        <v>#N/A</v>
      </c>
      <c r="AC61" s="21" t="e">
        <f t="shared" si="7"/>
        <v>#N/A</v>
      </c>
      <c r="AD61" s="11" t="e">
        <f t="shared" si="8"/>
        <v>#N/A</v>
      </c>
      <c r="AE61" s="22" t="e">
        <f t="shared" si="9"/>
        <v>#N/A</v>
      </c>
      <c r="AF61" s="21" t="e">
        <f t="shared" si="10"/>
        <v>#N/A</v>
      </c>
      <c r="AG61" s="21" t="e">
        <f t="shared" si="11"/>
        <v>#N/A</v>
      </c>
      <c r="AH61" s="11" t="e">
        <f t="shared" si="12"/>
        <v>#N/A</v>
      </c>
      <c r="AI61">
        <v>2.5000000000000001E-2</v>
      </c>
      <c r="AJ61">
        <v>-2.5000000000000001E-2</v>
      </c>
      <c r="AK61">
        <v>1.5E-3</v>
      </c>
      <c r="AL61">
        <v>-1.5E-3</v>
      </c>
      <c r="AM61">
        <v>1.5E-3</v>
      </c>
      <c r="AN61">
        <v>-1.5E-3</v>
      </c>
      <c r="AO61" s="16">
        <v>2.5000000000000001E-2</v>
      </c>
      <c r="AP61" s="16">
        <v>-2.5000000000000001E-2</v>
      </c>
      <c r="AQ61">
        <v>1.4999999999999999E-2</v>
      </c>
      <c r="AR61">
        <v>-1.4999999999999999E-2</v>
      </c>
      <c r="AS61">
        <v>1E-3</v>
      </c>
      <c r="AT61">
        <v>-1E-3</v>
      </c>
      <c r="AU61">
        <v>1E-3</v>
      </c>
      <c r="AV61">
        <v>-1E-3</v>
      </c>
      <c r="AW61" s="16">
        <v>1.4999999999999999E-2</v>
      </c>
      <c r="AX61" s="16">
        <v>-1.4999999999999999E-2</v>
      </c>
      <c r="JS61">
        <v>12.849506578947368</v>
      </c>
    </row>
    <row r="62" spans="6:279" customFormat="1">
      <c r="F62" s="17" t="str">
        <f t="shared" si="0"/>
        <v/>
      </c>
      <c r="G62" s="9"/>
      <c r="H62" s="2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22" t="e">
        <f t="shared" si="1"/>
        <v>#N/A</v>
      </c>
      <c r="X62" s="21" t="e">
        <f t="shared" si="2"/>
        <v>#N/A</v>
      </c>
      <c r="Y62" s="21" t="e">
        <f t="shared" si="3"/>
        <v>#N/A</v>
      </c>
      <c r="Z62" s="11" t="e">
        <f t="shared" si="4"/>
        <v>#N/A</v>
      </c>
      <c r="AA62" s="22" t="e">
        <f t="shared" si="5"/>
        <v>#N/A</v>
      </c>
      <c r="AB62" s="21" t="e">
        <f t="shared" si="6"/>
        <v>#N/A</v>
      </c>
      <c r="AC62" s="21" t="e">
        <f t="shared" si="7"/>
        <v>#N/A</v>
      </c>
      <c r="AD62" s="11" t="e">
        <f t="shared" si="8"/>
        <v>#N/A</v>
      </c>
      <c r="AE62" s="22" t="e">
        <f t="shared" si="9"/>
        <v>#N/A</v>
      </c>
      <c r="AF62" s="21" t="e">
        <f t="shared" si="10"/>
        <v>#N/A</v>
      </c>
      <c r="AG62" s="21" t="e">
        <f t="shared" si="11"/>
        <v>#N/A</v>
      </c>
      <c r="AH62" s="11" t="e">
        <f t="shared" si="12"/>
        <v>#N/A</v>
      </c>
      <c r="AI62">
        <v>2.5000000000000001E-2</v>
      </c>
      <c r="AJ62">
        <v>-2.5000000000000001E-2</v>
      </c>
      <c r="AK62">
        <v>1.5E-3</v>
      </c>
      <c r="AL62">
        <v>-1.5E-3</v>
      </c>
      <c r="AM62">
        <v>1.5E-3</v>
      </c>
      <c r="AN62">
        <v>-1.5E-3</v>
      </c>
      <c r="AO62" s="16">
        <v>2.5000000000000001E-2</v>
      </c>
      <c r="AP62" s="16">
        <v>-2.5000000000000001E-2</v>
      </c>
      <c r="AQ62">
        <v>1.4999999999999999E-2</v>
      </c>
      <c r="AR62">
        <v>-1.4999999999999999E-2</v>
      </c>
      <c r="AS62">
        <v>1E-3</v>
      </c>
      <c r="AT62">
        <v>-1E-3</v>
      </c>
      <c r="AU62">
        <v>1E-3</v>
      </c>
      <c r="AV62">
        <v>-1E-3</v>
      </c>
      <c r="AW62" s="16">
        <v>1.4999999999999999E-2</v>
      </c>
      <c r="AX62" s="16">
        <v>-1.4999999999999999E-2</v>
      </c>
      <c r="JS62">
        <v>12.849506578947368</v>
      </c>
    </row>
    <row r="63" spans="6:279" customFormat="1">
      <c r="F63" s="17" t="str">
        <f t="shared" si="0"/>
        <v/>
      </c>
      <c r="G63" s="9"/>
      <c r="H63" s="2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22" t="e">
        <f t="shared" si="1"/>
        <v>#N/A</v>
      </c>
      <c r="X63" s="21" t="e">
        <f t="shared" si="2"/>
        <v>#N/A</v>
      </c>
      <c r="Y63" s="21" t="e">
        <f t="shared" si="3"/>
        <v>#N/A</v>
      </c>
      <c r="Z63" s="11" t="e">
        <f t="shared" si="4"/>
        <v>#N/A</v>
      </c>
      <c r="AA63" s="22" t="e">
        <f t="shared" si="5"/>
        <v>#N/A</v>
      </c>
      <c r="AB63" s="21" t="e">
        <f t="shared" si="6"/>
        <v>#N/A</v>
      </c>
      <c r="AC63" s="21" t="e">
        <f t="shared" si="7"/>
        <v>#N/A</v>
      </c>
      <c r="AD63" s="11" t="e">
        <f t="shared" si="8"/>
        <v>#N/A</v>
      </c>
      <c r="AE63" s="22" t="e">
        <f t="shared" si="9"/>
        <v>#N/A</v>
      </c>
      <c r="AF63" s="21" t="e">
        <f t="shared" si="10"/>
        <v>#N/A</v>
      </c>
      <c r="AG63" s="21" t="e">
        <f t="shared" si="11"/>
        <v>#N/A</v>
      </c>
      <c r="AH63" s="11" t="e">
        <f t="shared" si="12"/>
        <v>#N/A</v>
      </c>
      <c r="AI63">
        <v>2.5000000000000001E-2</v>
      </c>
      <c r="AJ63">
        <v>-2.5000000000000001E-2</v>
      </c>
      <c r="AK63">
        <v>1.5E-3</v>
      </c>
      <c r="AL63">
        <v>-1.5E-3</v>
      </c>
      <c r="AM63">
        <v>1.5E-3</v>
      </c>
      <c r="AN63">
        <v>-1.5E-3</v>
      </c>
      <c r="AO63" s="16">
        <v>2.5000000000000001E-2</v>
      </c>
      <c r="AP63" s="16">
        <v>-2.5000000000000001E-2</v>
      </c>
      <c r="AQ63">
        <v>1.4999999999999999E-2</v>
      </c>
      <c r="AR63">
        <v>-1.4999999999999999E-2</v>
      </c>
      <c r="AS63">
        <v>1E-3</v>
      </c>
      <c r="AT63">
        <v>-1E-3</v>
      </c>
      <c r="AU63">
        <v>1E-3</v>
      </c>
      <c r="AV63">
        <v>-1E-3</v>
      </c>
      <c r="AW63" s="16">
        <v>1.4999999999999999E-2</v>
      </c>
      <c r="AX63" s="16">
        <v>-1.4999999999999999E-2</v>
      </c>
      <c r="JR63">
        <v>12.849506578947368</v>
      </c>
    </row>
    <row r="64" spans="6:279" customFormat="1">
      <c r="F64" s="17" t="str">
        <f t="shared" si="0"/>
        <v/>
      </c>
      <c r="G64" s="9"/>
      <c r="H64" s="2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22" t="e">
        <f t="shared" si="1"/>
        <v>#N/A</v>
      </c>
      <c r="X64" s="21" t="e">
        <f t="shared" si="2"/>
        <v>#N/A</v>
      </c>
      <c r="Y64" s="21" t="e">
        <f t="shared" si="3"/>
        <v>#N/A</v>
      </c>
      <c r="Z64" s="11" t="e">
        <f t="shared" si="4"/>
        <v>#N/A</v>
      </c>
      <c r="AA64" s="22" t="e">
        <f t="shared" si="5"/>
        <v>#N/A</v>
      </c>
      <c r="AB64" s="21" t="e">
        <f t="shared" si="6"/>
        <v>#N/A</v>
      </c>
      <c r="AC64" s="21" t="e">
        <f t="shared" si="7"/>
        <v>#N/A</v>
      </c>
      <c r="AD64" s="11" t="e">
        <f t="shared" si="8"/>
        <v>#N/A</v>
      </c>
      <c r="AE64" s="22" t="e">
        <f t="shared" si="9"/>
        <v>#N/A</v>
      </c>
      <c r="AF64" s="21" t="e">
        <f t="shared" si="10"/>
        <v>#N/A</v>
      </c>
      <c r="AG64" s="21" t="e">
        <f t="shared" si="11"/>
        <v>#N/A</v>
      </c>
      <c r="AH64" s="11" t="e">
        <f t="shared" si="12"/>
        <v>#N/A</v>
      </c>
      <c r="AI64">
        <v>2.5000000000000001E-2</v>
      </c>
      <c r="AJ64">
        <v>-2.5000000000000001E-2</v>
      </c>
      <c r="AK64">
        <v>1.5E-3</v>
      </c>
      <c r="AL64">
        <v>-1.5E-3</v>
      </c>
      <c r="AM64">
        <v>1.5E-3</v>
      </c>
      <c r="AN64">
        <v>-1.5E-3</v>
      </c>
      <c r="AO64" s="16">
        <v>2.5000000000000001E-2</v>
      </c>
      <c r="AP64" s="16">
        <v>-2.5000000000000001E-2</v>
      </c>
      <c r="AQ64">
        <v>1.4999999999999999E-2</v>
      </c>
      <c r="AR64">
        <v>-1.4999999999999999E-2</v>
      </c>
      <c r="AS64">
        <v>1E-3</v>
      </c>
      <c r="AT64">
        <v>-1E-3</v>
      </c>
      <c r="AU64">
        <v>1E-3</v>
      </c>
      <c r="AV64">
        <v>-1E-3</v>
      </c>
      <c r="AW64" s="16">
        <v>1.4999999999999999E-2</v>
      </c>
      <c r="AX64" s="16">
        <v>-1.4999999999999999E-2</v>
      </c>
    </row>
    <row r="65" spans="6:278" customFormat="1">
      <c r="F65" s="17" t="str">
        <f t="shared" si="0"/>
        <v/>
      </c>
      <c r="G65" s="9"/>
      <c r="H65" s="2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22" t="e">
        <f t="shared" si="1"/>
        <v>#N/A</v>
      </c>
      <c r="X65" s="21" t="e">
        <f t="shared" si="2"/>
        <v>#N/A</v>
      </c>
      <c r="Y65" s="21" t="e">
        <f t="shared" si="3"/>
        <v>#N/A</v>
      </c>
      <c r="Z65" s="11" t="e">
        <f t="shared" si="4"/>
        <v>#N/A</v>
      </c>
      <c r="AA65" s="22" t="e">
        <f t="shared" si="5"/>
        <v>#N/A</v>
      </c>
      <c r="AB65" s="21" t="e">
        <f t="shared" si="6"/>
        <v>#N/A</v>
      </c>
      <c r="AC65" s="21" t="e">
        <f t="shared" si="7"/>
        <v>#N/A</v>
      </c>
      <c r="AD65" s="11" t="e">
        <f t="shared" si="8"/>
        <v>#N/A</v>
      </c>
      <c r="AE65" s="22" t="e">
        <f t="shared" si="9"/>
        <v>#N/A</v>
      </c>
      <c r="AF65" s="21" t="e">
        <f t="shared" si="10"/>
        <v>#N/A</v>
      </c>
      <c r="AG65" s="21" t="e">
        <f t="shared" si="11"/>
        <v>#N/A</v>
      </c>
      <c r="AH65" s="11" t="e">
        <f t="shared" si="12"/>
        <v>#N/A</v>
      </c>
      <c r="AI65">
        <v>2.5000000000000001E-2</v>
      </c>
      <c r="AJ65">
        <v>-2.5000000000000001E-2</v>
      </c>
      <c r="AK65">
        <v>1.5E-3</v>
      </c>
      <c r="AL65">
        <v>-1.5E-3</v>
      </c>
      <c r="AM65">
        <v>1.5E-3</v>
      </c>
      <c r="AN65">
        <v>-1.5E-3</v>
      </c>
      <c r="AO65" s="16">
        <v>2.5000000000000001E-2</v>
      </c>
      <c r="AP65" s="16">
        <v>-2.5000000000000001E-2</v>
      </c>
      <c r="AQ65">
        <v>1.4999999999999999E-2</v>
      </c>
      <c r="AR65">
        <v>-1.4999999999999999E-2</v>
      </c>
      <c r="AS65">
        <v>1E-3</v>
      </c>
      <c r="AT65">
        <v>-1E-3</v>
      </c>
      <c r="AU65">
        <v>1E-3</v>
      </c>
      <c r="AV65">
        <v>-1E-3</v>
      </c>
      <c r="AW65" s="16">
        <v>1.4999999999999999E-2</v>
      </c>
      <c r="AX65" s="16">
        <v>-1.4999999999999999E-2</v>
      </c>
      <c r="JR65">
        <v>12.849506578947368</v>
      </c>
    </row>
    <row r="66" spans="6:278" customFormat="1">
      <c r="F66" s="17" t="str">
        <f t="shared" si="0"/>
        <v/>
      </c>
      <c r="G66" s="9"/>
      <c r="H66" s="2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22" t="e">
        <f t="shared" si="1"/>
        <v>#N/A</v>
      </c>
      <c r="X66" s="21" t="e">
        <f t="shared" si="2"/>
        <v>#N/A</v>
      </c>
      <c r="Y66" s="21" t="e">
        <f t="shared" si="3"/>
        <v>#N/A</v>
      </c>
      <c r="Z66" s="11" t="e">
        <f t="shared" si="4"/>
        <v>#N/A</v>
      </c>
      <c r="AA66" s="22" t="e">
        <f t="shared" si="5"/>
        <v>#N/A</v>
      </c>
      <c r="AB66" s="21" t="e">
        <f t="shared" si="6"/>
        <v>#N/A</v>
      </c>
      <c r="AC66" s="21" t="e">
        <f t="shared" si="7"/>
        <v>#N/A</v>
      </c>
      <c r="AD66" s="11" t="e">
        <f t="shared" si="8"/>
        <v>#N/A</v>
      </c>
      <c r="AE66" s="22" t="e">
        <f t="shared" si="9"/>
        <v>#N/A</v>
      </c>
      <c r="AF66" s="21" t="e">
        <f t="shared" si="10"/>
        <v>#N/A</v>
      </c>
      <c r="AG66" s="21" t="e">
        <f t="shared" si="11"/>
        <v>#N/A</v>
      </c>
      <c r="AH66" s="11" t="e">
        <f t="shared" si="12"/>
        <v>#N/A</v>
      </c>
      <c r="AI66">
        <v>2.5000000000000001E-2</v>
      </c>
      <c r="AJ66">
        <v>-2.5000000000000001E-2</v>
      </c>
      <c r="AK66">
        <v>1.5E-3</v>
      </c>
      <c r="AL66">
        <v>-1.5E-3</v>
      </c>
      <c r="AM66">
        <v>1.5E-3</v>
      </c>
      <c r="AN66">
        <v>-1.5E-3</v>
      </c>
      <c r="AO66" s="16">
        <v>2.5000000000000001E-2</v>
      </c>
      <c r="AP66" s="16">
        <v>-2.5000000000000001E-2</v>
      </c>
      <c r="AQ66">
        <v>1.4999999999999999E-2</v>
      </c>
      <c r="AR66">
        <v>-1.4999999999999999E-2</v>
      </c>
      <c r="AS66">
        <v>1E-3</v>
      </c>
      <c r="AT66">
        <v>-1E-3</v>
      </c>
      <c r="AU66">
        <v>1E-3</v>
      </c>
      <c r="AV66">
        <v>-1E-3</v>
      </c>
      <c r="AW66" s="16">
        <v>1.4999999999999999E-2</v>
      </c>
      <c r="AX66" s="16">
        <v>-1.4999999999999999E-2</v>
      </c>
      <c r="JR66">
        <v>24.187306501547987</v>
      </c>
    </row>
    <row r="67" spans="6:278" customFormat="1">
      <c r="F67" s="17" t="str">
        <f t="shared" si="0"/>
        <v/>
      </c>
      <c r="G67" s="9"/>
      <c r="H67" s="2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22" t="e">
        <f t="shared" si="1"/>
        <v>#N/A</v>
      </c>
      <c r="X67" s="21" t="e">
        <f t="shared" si="2"/>
        <v>#N/A</v>
      </c>
      <c r="Y67" s="21" t="e">
        <f t="shared" si="3"/>
        <v>#N/A</v>
      </c>
      <c r="Z67" s="11" t="e">
        <f t="shared" si="4"/>
        <v>#N/A</v>
      </c>
      <c r="AA67" s="22" t="e">
        <f t="shared" si="5"/>
        <v>#N/A</v>
      </c>
      <c r="AB67" s="21" t="e">
        <f t="shared" si="6"/>
        <v>#N/A</v>
      </c>
      <c r="AC67" s="21" t="e">
        <f t="shared" si="7"/>
        <v>#N/A</v>
      </c>
      <c r="AD67" s="11" t="e">
        <f t="shared" si="8"/>
        <v>#N/A</v>
      </c>
      <c r="AE67" s="22" t="e">
        <f t="shared" si="9"/>
        <v>#N/A</v>
      </c>
      <c r="AF67" s="21" t="e">
        <f t="shared" si="10"/>
        <v>#N/A</v>
      </c>
      <c r="AG67" s="21" t="e">
        <f t="shared" si="11"/>
        <v>#N/A</v>
      </c>
      <c r="AH67" s="11" t="e">
        <f t="shared" si="12"/>
        <v>#N/A</v>
      </c>
      <c r="AI67">
        <v>2.5000000000000001E-2</v>
      </c>
      <c r="AJ67">
        <v>-2.5000000000000001E-2</v>
      </c>
      <c r="AK67">
        <v>1.5E-3</v>
      </c>
      <c r="AL67">
        <v>-1.5E-3</v>
      </c>
      <c r="AM67">
        <v>1.5E-3</v>
      </c>
      <c r="AN67">
        <v>-1.5E-3</v>
      </c>
      <c r="AO67" s="16">
        <v>2.5000000000000001E-2</v>
      </c>
      <c r="AP67" s="16">
        <v>-2.5000000000000001E-2</v>
      </c>
      <c r="AQ67">
        <v>1.4999999999999999E-2</v>
      </c>
      <c r="AR67">
        <v>-1.4999999999999999E-2</v>
      </c>
      <c r="AS67">
        <v>1E-3</v>
      </c>
      <c r="AT67">
        <v>-1E-3</v>
      </c>
      <c r="AU67">
        <v>1E-3</v>
      </c>
      <c r="AV67">
        <v>-1E-3</v>
      </c>
      <c r="AW67" s="16">
        <v>1.4999999999999999E-2</v>
      </c>
      <c r="AX67" s="16">
        <v>-1.4999999999999999E-2</v>
      </c>
    </row>
    <row r="68" spans="6:278" customFormat="1">
      <c r="F68" s="17" t="str">
        <f t="shared" si="0"/>
        <v/>
      </c>
      <c r="G68" s="9"/>
      <c r="H68" s="2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22" t="e">
        <f t="shared" si="1"/>
        <v>#N/A</v>
      </c>
      <c r="X68" s="21" t="e">
        <f t="shared" si="2"/>
        <v>#N/A</v>
      </c>
      <c r="Y68" s="21" t="e">
        <f t="shared" si="3"/>
        <v>#N/A</v>
      </c>
      <c r="Z68" s="11" t="e">
        <f t="shared" si="4"/>
        <v>#N/A</v>
      </c>
      <c r="AA68" s="22" t="e">
        <f t="shared" si="5"/>
        <v>#N/A</v>
      </c>
      <c r="AB68" s="21" t="e">
        <f t="shared" si="6"/>
        <v>#N/A</v>
      </c>
      <c r="AC68" s="21" t="e">
        <f t="shared" si="7"/>
        <v>#N/A</v>
      </c>
      <c r="AD68" s="11" t="e">
        <f t="shared" si="8"/>
        <v>#N/A</v>
      </c>
      <c r="AE68" s="22" t="e">
        <f t="shared" si="9"/>
        <v>#N/A</v>
      </c>
      <c r="AF68" s="21" t="e">
        <f t="shared" si="10"/>
        <v>#N/A</v>
      </c>
      <c r="AG68" s="21" t="e">
        <f t="shared" si="11"/>
        <v>#N/A</v>
      </c>
      <c r="AH68" s="11" t="e">
        <f t="shared" si="12"/>
        <v>#N/A</v>
      </c>
      <c r="AI68">
        <v>2.5000000000000001E-2</v>
      </c>
      <c r="AJ68">
        <v>-2.5000000000000001E-2</v>
      </c>
      <c r="AK68">
        <v>1.5E-3</v>
      </c>
      <c r="AL68">
        <v>-1.5E-3</v>
      </c>
      <c r="AM68">
        <v>1.5E-3</v>
      </c>
      <c r="AN68">
        <v>-1.5E-3</v>
      </c>
      <c r="AO68" s="16">
        <v>2.5000000000000001E-2</v>
      </c>
      <c r="AP68" s="16">
        <v>-2.5000000000000001E-2</v>
      </c>
      <c r="AQ68">
        <v>1.4999999999999999E-2</v>
      </c>
      <c r="AR68">
        <v>-1.4999999999999999E-2</v>
      </c>
      <c r="AS68">
        <v>1E-3</v>
      </c>
      <c r="AT68">
        <v>-1E-3</v>
      </c>
      <c r="AU68">
        <v>1E-3</v>
      </c>
      <c r="AV68">
        <v>-1E-3</v>
      </c>
      <c r="AW68" s="16">
        <v>1.4999999999999999E-2</v>
      </c>
      <c r="AX68" s="16">
        <v>-1.4999999999999999E-2</v>
      </c>
    </row>
    <row r="69" spans="6:278" customFormat="1">
      <c r="F69" s="17" t="str">
        <f t="shared" si="0"/>
        <v/>
      </c>
      <c r="G69" s="9"/>
      <c r="H69" s="2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22" t="e">
        <f t="shared" si="1"/>
        <v>#N/A</v>
      </c>
      <c r="X69" s="21" t="e">
        <f t="shared" si="2"/>
        <v>#N/A</v>
      </c>
      <c r="Y69" s="21" t="e">
        <f t="shared" si="3"/>
        <v>#N/A</v>
      </c>
      <c r="Z69" s="11" t="e">
        <f t="shared" si="4"/>
        <v>#N/A</v>
      </c>
      <c r="AA69" s="22" t="e">
        <f t="shared" si="5"/>
        <v>#N/A</v>
      </c>
      <c r="AB69" s="21" t="e">
        <f t="shared" si="6"/>
        <v>#N/A</v>
      </c>
      <c r="AC69" s="21" t="e">
        <f t="shared" si="7"/>
        <v>#N/A</v>
      </c>
      <c r="AD69" s="11" t="e">
        <f t="shared" si="8"/>
        <v>#N/A</v>
      </c>
      <c r="AE69" s="22" t="e">
        <f t="shared" si="9"/>
        <v>#N/A</v>
      </c>
      <c r="AF69" s="21" t="e">
        <f t="shared" si="10"/>
        <v>#N/A</v>
      </c>
      <c r="AG69" s="21" t="e">
        <f t="shared" si="11"/>
        <v>#N/A</v>
      </c>
      <c r="AH69" s="11" t="e">
        <f t="shared" si="12"/>
        <v>#N/A</v>
      </c>
      <c r="AI69">
        <v>2.5000000000000001E-2</v>
      </c>
      <c r="AJ69">
        <v>-2.5000000000000001E-2</v>
      </c>
      <c r="AK69">
        <v>1.5E-3</v>
      </c>
      <c r="AL69">
        <v>-1.5E-3</v>
      </c>
      <c r="AM69">
        <v>1.5E-3</v>
      </c>
      <c r="AN69">
        <v>-1.5E-3</v>
      </c>
      <c r="AO69" s="16">
        <v>2.5000000000000001E-2</v>
      </c>
      <c r="AP69" s="16">
        <v>-2.5000000000000001E-2</v>
      </c>
      <c r="AQ69">
        <v>1.4999999999999999E-2</v>
      </c>
      <c r="AR69">
        <v>-1.4999999999999999E-2</v>
      </c>
      <c r="AS69">
        <v>1E-3</v>
      </c>
      <c r="AT69">
        <v>-1E-3</v>
      </c>
      <c r="AU69">
        <v>1E-3</v>
      </c>
      <c r="AV69">
        <v>-1E-3</v>
      </c>
      <c r="AW69" s="16">
        <v>1.4999999999999999E-2</v>
      </c>
      <c r="AX69" s="16">
        <v>-1.4999999999999999E-2</v>
      </c>
    </row>
    <row r="70" spans="6:278" customFormat="1">
      <c r="F70" s="17" t="str">
        <f t="shared" si="0"/>
        <v/>
      </c>
      <c r="G70" s="9"/>
      <c r="H70" s="2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22" t="e">
        <f t="shared" si="1"/>
        <v>#N/A</v>
      </c>
      <c r="X70" s="21" t="e">
        <f t="shared" si="2"/>
        <v>#N/A</v>
      </c>
      <c r="Y70" s="21" t="e">
        <f t="shared" si="3"/>
        <v>#N/A</v>
      </c>
      <c r="Z70" s="11" t="e">
        <f t="shared" si="4"/>
        <v>#N/A</v>
      </c>
      <c r="AA70" s="22" t="e">
        <f t="shared" si="5"/>
        <v>#N/A</v>
      </c>
      <c r="AB70" s="21" t="e">
        <f t="shared" si="6"/>
        <v>#N/A</v>
      </c>
      <c r="AC70" s="21" t="e">
        <f t="shared" si="7"/>
        <v>#N/A</v>
      </c>
      <c r="AD70" s="11" t="e">
        <f t="shared" si="8"/>
        <v>#N/A</v>
      </c>
      <c r="AE70" s="22" t="e">
        <f t="shared" si="9"/>
        <v>#N/A</v>
      </c>
      <c r="AF70" s="21" t="e">
        <f t="shared" si="10"/>
        <v>#N/A</v>
      </c>
      <c r="AG70" s="21" t="e">
        <f t="shared" si="11"/>
        <v>#N/A</v>
      </c>
      <c r="AH70" s="11" t="e">
        <f t="shared" si="12"/>
        <v>#N/A</v>
      </c>
      <c r="AI70">
        <v>2.5000000000000001E-2</v>
      </c>
      <c r="AJ70">
        <v>-2.5000000000000001E-2</v>
      </c>
      <c r="AK70">
        <v>1.5E-3</v>
      </c>
      <c r="AL70">
        <v>-1.5E-3</v>
      </c>
      <c r="AM70">
        <v>1.5E-3</v>
      </c>
      <c r="AN70">
        <v>-1.5E-3</v>
      </c>
      <c r="AO70" s="16">
        <v>2.5000000000000001E-2</v>
      </c>
      <c r="AP70" s="16">
        <v>-2.5000000000000001E-2</v>
      </c>
      <c r="AQ70">
        <v>1.4999999999999999E-2</v>
      </c>
      <c r="AR70">
        <v>-1.4999999999999999E-2</v>
      </c>
      <c r="AS70">
        <v>1E-3</v>
      </c>
      <c r="AT70">
        <v>-1E-3</v>
      </c>
      <c r="AU70">
        <v>1E-3</v>
      </c>
      <c r="AV70">
        <v>-1E-3</v>
      </c>
      <c r="AW70" s="16">
        <v>1.4999999999999999E-2</v>
      </c>
      <c r="AX70" s="16">
        <v>-1.4999999999999999E-2</v>
      </c>
    </row>
    <row r="71" spans="6:278" customFormat="1">
      <c r="F71" s="17" t="str">
        <f t="shared" ref="F71:F100" si="13">IF(G71="","",G71)</f>
        <v/>
      </c>
      <c r="G71" s="9"/>
      <c r="H71" s="2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22" t="e">
        <f t="shared" ref="W71:W100" si="14">IF(H71="",NA(),I71-VLOOKUP(H71,$A$6:$E$35,2,FALSE))</f>
        <v>#N/A</v>
      </c>
      <c r="X71" s="21" t="e">
        <f t="shared" ref="X71:X100" si="15">IF(H71="",NA(),J71-VLOOKUP(H71,$A$6:$E$35,3,FALSE))</f>
        <v>#N/A</v>
      </c>
      <c r="Y71" s="21" t="e">
        <f t="shared" ref="Y71:Y100" si="16">IF(H71="",NA(),K71-VLOOKUP(H71,$A$6:$E$35,4,FALSE))</f>
        <v>#N/A</v>
      </c>
      <c r="Z71" s="11" t="e">
        <f t="shared" ref="Z71:Z100" si="17">IF(H71="",NA(),L71/VLOOKUP(H71,$A$6:$E$35,5,FALSE)-1)</f>
        <v>#N/A</v>
      </c>
      <c r="AA71" s="22" t="e">
        <f t="shared" ref="AA71:AA100" si="18">IF(M71="",NA(),N71-VLOOKUP(M71,$A$6:$E$35,2,FALSE))</f>
        <v>#N/A</v>
      </c>
      <c r="AB71" s="21" t="e">
        <f t="shared" ref="AB71:AB100" si="19">IF(M71="",NA(),O71-VLOOKUP(M71,$A$6:$E$35,3,FALSE))</f>
        <v>#N/A</v>
      </c>
      <c r="AC71" s="21" t="e">
        <f t="shared" ref="AC71:AC100" si="20">IF(M71="",NA(),P71-VLOOKUP(M71,$A$6:$E$35,4,FALSE))</f>
        <v>#N/A</v>
      </c>
      <c r="AD71" s="11" t="e">
        <f t="shared" ref="AD71:AD100" si="21">IF(M71="",NA(),Q71/VLOOKUP(M71,$A$6:$E$35,5,FALSE)-1)</f>
        <v>#N/A</v>
      </c>
      <c r="AE71" s="22" t="e">
        <f t="shared" ref="AE71:AE100" si="22">IF(R71="",NA(),S71-VLOOKUP(R71,$A$6:$E$35,2,FALSE))</f>
        <v>#N/A</v>
      </c>
      <c r="AF71" s="21" t="e">
        <f t="shared" ref="AF71:AF100" si="23">IF(R71="",NA(),T71-VLOOKUP(R71,$A$6:$E$35,3,FALSE))</f>
        <v>#N/A</v>
      </c>
      <c r="AG71" s="21" t="e">
        <f t="shared" ref="AG71:AG100" si="24">IF(R71="",NA(),U71-VLOOKUP(R71,$A$6:$E$35,4,FALSE))</f>
        <v>#N/A</v>
      </c>
      <c r="AH71" s="11" t="e">
        <f t="shared" ref="AH71:AH100" si="25">IF(R71="",NA(),V71/VLOOKUP(R71,$A$6:$E$35,5,FALSE)-1)</f>
        <v>#N/A</v>
      </c>
      <c r="AI71">
        <v>2.5000000000000001E-2</v>
      </c>
      <c r="AJ71">
        <v>-2.5000000000000001E-2</v>
      </c>
      <c r="AK71">
        <v>1.5E-3</v>
      </c>
      <c r="AL71">
        <v>-1.5E-3</v>
      </c>
      <c r="AM71">
        <v>1.5E-3</v>
      </c>
      <c r="AN71">
        <v>-1.5E-3</v>
      </c>
      <c r="AO71" s="16">
        <v>2.5000000000000001E-2</v>
      </c>
      <c r="AP71" s="16">
        <v>-2.5000000000000001E-2</v>
      </c>
      <c r="AQ71">
        <v>1.4999999999999999E-2</v>
      </c>
      <c r="AR71">
        <v>-1.4999999999999999E-2</v>
      </c>
      <c r="AS71">
        <v>1E-3</v>
      </c>
      <c r="AT71">
        <v>-1E-3</v>
      </c>
      <c r="AU71">
        <v>1E-3</v>
      </c>
      <c r="AV71">
        <v>-1E-3</v>
      </c>
      <c r="AW71" s="16">
        <v>1.4999999999999999E-2</v>
      </c>
      <c r="AX71" s="16">
        <v>-1.4999999999999999E-2</v>
      </c>
    </row>
    <row r="72" spans="6:278" customFormat="1">
      <c r="F72" s="17" t="str">
        <f t="shared" si="13"/>
        <v/>
      </c>
      <c r="G72" s="9"/>
      <c r="H72" s="2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22" t="e">
        <f t="shared" si="14"/>
        <v>#N/A</v>
      </c>
      <c r="X72" s="21" t="e">
        <f t="shared" si="15"/>
        <v>#N/A</v>
      </c>
      <c r="Y72" s="21" t="e">
        <f t="shared" si="16"/>
        <v>#N/A</v>
      </c>
      <c r="Z72" s="11" t="e">
        <f t="shared" si="17"/>
        <v>#N/A</v>
      </c>
      <c r="AA72" s="22" t="e">
        <f t="shared" si="18"/>
        <v>#N/A</v>
      </c>
      <c r="AB72" s="21" t="e">
        <f t="shared" si="19"/>
        <v>#N/A</v>
      </c>
      <c r="AC72" s="21" t="e">
        <f t="shared" si="20"/>
        <v>#N/A</v>
      </c>
      <c r="AD72" s="11" t="e">
        <f t="shared" si="21"/>
        <v>#N/A</v>
      </c>
      <c r="AE72" s="22" t="e">
        <f t="shared" si="22"/>
        <v>#N/A</v>
      </c>
      <c r="AF72" s="21" t="e">
        <f t="shared" si="23"/>
        <v>#N/A</v>
      </c>
      <c r="AG72" s="21" t="e">
        <f t="shared" si="24"/>
        <v>#N/A</v>
      </c>
      <c r="AH72" s="11" t="e">
        <f t="shared" si="25"/>
        <v>#N/A</v>
      </c>
      <c r="AI72">
        <v>2.5000000000000001E-2</v>
      </c>
      <c r="AJ72">
        <v>-2.5000000000000001E-2</v>
      </c>
      <c r="AK72">
        <v>1.5E-3</v>
      </c>
      <c r="AL72">
        <v>-1.5E-3</v>
      </c>
      <c r="AM72">
        <v>1.5E-3</v>
      </c>
      <c r="AN72">
        <v>-1.5E-3</v>
      </c>
      <c r="AO72" s="16">
        <v>2.5000000000000001E-2</v>
      </c>
      <c r="AP72" s="16">
        <v>-2.5000000000000001E-2</v>
      </c>
      <c r="AQ72">
        <v>1.4999999999999999E-2</v>
      </c>
      <c r="AR72">
        <v>-1.4999999999999999E-2</v>
      </c>
      <c r="AS72">
        <v>1E-3</v>
      </c>
      <c r="AT72">
        <v>-1E-3</v>
      </c>
      <c r="AU72">
        <v>1E-3</v>
      </c>
      <c r="AV72">
        <v>-1E-3</v>
      </c>
      <c r="AW72" s="16">
        <v>1.4999999999999999E-2</v>
      </c>
      <c r="AX72" s="16">
        <v>-1.4999999999999999E-2</v>
      </c>
    </row>
    <row r="73" spans="6:278" customFormat="1">
      <c r="F73" s="17" t="str">
        <f t="shared" si="13"/>
        <v/>
      </c>
      <c r="G73" s="4"/>
      <c r="H73" s="2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22" t="e">
        <f t="shared" si="14"/>
        <v>#N/A</v>
      </c>
      <c r="X73" s="21" t="e">
        <f t="shared" si="15"/>
        <v>#N/A</v>
      </c>
      <c r="Y73" s="21" t="e">
        <f t="shared" si="16"/>
        <v>#N/A</v>
      </c>
      <c r="Z73" s="11" t="e">
        <f t="shared" si="17"/>
        <v>#N/A</v>
      </c>
      <c r="AA73" s="22" t="e">
        <f t="shared" si="18"/>
        <v>#N/A</v>
      </c>
      <c r="AB73" s="21" t="e">
        <f t="shared" si="19"/>
        <v>#N/A</v>
      </c>
      <c r="AC73" s="21" t="e">
        <f t="shared" si="20"/>
        <v>#N/A</v>
      </c>
      <c r="AD73" s="11" t="e">
        <f t="shared" si="21"/>
        <v>#N/A</v>
      </c>
      <c r="AE73" s="22" t="e">
        <f t="shared" si="22"/>
        <v>#N/A</v>
      </c>
      <c r="AF73" s="21" t="e">
        <f t="shared" si="23"/>
        <v>#N/A</v>
      </c>
      <c r="AG73" s="21" t="e">
        <f t="shared" si="24"/>
        <v>#N/A</v>
      </c>
      <c r="AH73" s="11" t="e">
        <f t="shared" si="25"/>
        <v>#N/A</v>
      </c>
      <c r="AI73">
        <v>2.5000000000000001E-2</v>
      </c>
      <c r="AJ73">
        <v>-2.5000000000000001E-2</v>
      </c>
      <c r="AK73">
        <v>1.5E-3</v>
      </c>
      <c r="AL73">
        <v>-1.5E-3</v>
      </c>
      <c r="AM73">
        <v>1.5E-3</v>
      </c>
      <c r="AN73">
        <v>-1.5E-3</v>
      </c>
      <c r="AO73" s="16">
        <v>2.5000000000000001E-2</v>
      </c>
      <c r="AP73" s="16">
        <v>-2.5000000000000001E-2</v>
      </c>
      <c r="AQ73">
        <v>1.4999999999999999E-2</v>
      </c>
      <c r="AR73">
        <v>-1.4999999999999999E-2</v>
      </c>
      <c r="AS73">
        <v>1E-3</v>
      </c>
      <c r="AT73">
        <v>-1E-3</v>
      </c>
      <c r="AU73">
        <v>1E-3</v>
      </c>
      <c r="AV73">
        <v>-1E-3</v>
      </c>
      <c r="AW73" s="16">
        <v>1.4999999999999999E-2</v>
      </c>
      <c r="AX73" s="16">
        <v>-1.4999999999999999E-2</v>
      </c>
    </row>
    <row r="74" spans="6:278" customFormat="1">
      <c r="F74" s="17" t="str">
        <f t="shared" si="13"/>
        <v/>
      </c>
      <c r="G74" s="4"/>
      <c r="H74" s="2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22" t="e">
        <f t="shared" si="14"/>
        <v>#N/A</v>
      </c>
      <c r="X74" s="21" t="e">
        <f t="shared" si="15"/>
        <v>#N/A</v>
      </c>
      <c r="Y74" s="21" t="e">
        <f t="shared" si="16"/>
        <v>#N/A</v>
      </c>
      <c r="Z74" s="11" t="e">
        <f t="shared" si="17"/>
        <v>#N/A</v>
      </c>
      <c r="AA74" s="22" t="e">
        <f t="shared" si="18"/>
        <v>#N/A</v>
      </c>
      <c r="AB74" s="21" t="e">
        <f t="shared" si="19"/>
        <v>#N/A</v>
      </c>
      <c r="AC74" s="21" t="e">
        <f t="shared" si="20"/>
        <v>#N/A</v>
      </c>
      <c r="AD74" s="11" t="e">
        <f t="shared" si="21"/>
        <v>#N/A</v>
      </c>
      <c r="AE74" s="22" t="e">
        <f t="shared" si="22"/>
        <v>#N/A</v>
      </c>
      <c r="AF74" s="21" t="e">
        <f t="shared" si="23"/>
        <v>#N/A</v>
      </c>
      <c r="AG74" s="21" t="e">
        <f t="shared" si="24"/>
        <v>#N/A</v>
      </c>
      <c r="AH74" s="11" t="e">
        <f t="shared" si="25"/>
        <v>#N/A</v>
      </c>
      <c r="AI74">
        <v>2.5000000000000001E-2</v>
      </c>
      <c r="AJ74">
        <v>-2.5000000000000001E-2</v>
      </c>
      <c r="AK74">
        <v>1.5E-3</v>
      </c>
      <c r="AL74">
        <v>-1.5E-3</v>
      </c>
      <c r="AM74">
        <v>1.5E-3</v>
      </c>
      <c r="AN74">
        <v>-1.5E-3</v>
      </c>
      <c r="AO74" s="16">
        <v>2.5000000000000001E-2</v>
      </c>
      <c r="AP74" s="16">
        <v>-2.5000000000000001E-2</v>
      </c>
      <c r="AQ74">
        <v>1.4999999999999999E-2</v>
      </c>
      <c r="AR74">
        <v>-1.4999999999999999E-2</v>
      </c>
      <c r="AS74">
        <v>1E-3</v>
      </c>
      <c r="AT74">
        <v>-1E-3</v>
      </c>
      <c r="AU74">
        <v>1E-3</v>
      </c>
      <c r="AV74">
        <v>-1E-3</v>
      </c>
      <c r="AW74" s="16">
        <v>1.4999999999999999E-2</v>
      </c>
      <c r="AX74" s="16">
        <v>-1.4999999999999999E-2</v>
      </c>
    </row>
    <row r="75" spans="6:278" customFormat="1">
      <c r="F75" s="17" t="str">
        <f t="shared" si="13"/>
        <v/>
      </c>
      <c r="G75" s="4"/>
      <c r="H75" s="2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22" t="e">
        <f t="shared" si="14"/>
        <v>#N/A</v>
      </c>
      <c r="X75" s="21" t="e">
        <f t="shared" si="15"/>
        <v>#N/A</v>
      </c>
      <c r="Y75" s="21" t="e">
        <f t="shared" si="16"/>
        <v>#N/A</v>
      </c>
      <c r="Z75" s="11" t="e">
        <f t="shared" si="17"/>
        <v>#N/A</v>
      </c>
      <c r="AA75" s="22" t="e">
        <f t="shared" si="18"/>
        <v>#N/A</v>
      </c>
      <c r="AB75" s="21" t="e">
        <f t="shared" si="19"/>
        <v>#N/A</v>
      </c>
      <c r="AC75" s="21" t="e">
        <f t="shared" si="20"/>
        <v>#N/A</v>
      </c>
      <c r="AD75" s="11" t="e">
        <f t="shared" si="21"/>
        <v>#N/A</v>
      </c>
      <c r="AE75" s="22" t="e">
        <f t="shared" si="22"/>
        <v>#N/A</v>
      </c>
      <c r="AF75" s="21" t="e">
        <f t="shared" si="23"/>
        <v>#N/A</v>
      </c>
      <c r="AG75" s="21" t="e">
        <f t="shared" si="24"/>
        <v>#N/A</v>
      </c>
      <c r="AH75" s="11" t="e">
        <f t="shared" si="25"/>
        <v>#N/A</v>
      </c>
      <c r="AI75">
        <v>2.5000000000000001E-2</v>
      </c>
      <c r="AJ75">
        <v>-2.5000000000000001E-2</v>
      </c>
      <c r="AK75">
        <v>1.5E-3</v>
      </c>
      <c r="AL75">
        <v>-1.5E-3</v>
      </c>
      <c r="AM75">
        <v>1.5E-3</v>
      </c>
      <c r="AN75">
        <v>-1.5E-3</v>
      </c>
      <c r="AO75" s="16">
        <v>2.5000000000000001E-2</v>
      </c>
      <c r="AP75" s="16">
        <v>-2.5000000000000001E-2</v>
      </c>
      <c r="AQ75">
        <v>1.4999999999999999E-2</v>
      </c>
      <c r="AR75">
        <v>-1.4999999999999999E-2</v>
      </c>
      <c r="AS75">
        <v>1E-3</v>
      </c>
      <c r="AT75">
        <v>-1E-3</v>
      </c>
      <c r="AU75">
        <v>1E-3</v>
      </c>
      <c r="AV75">
        <v>-1E-3</v>
      </c>
      <c r="AW75" s="16">
        <v>1.4999999999999999E-2</v>
      </c>
      <c r="AX75" s="16">
        <v>-1.4999999999999999E-2</v>
      </c>
    </row>
    <row r="76" spans="6:278" customFormat="1">
      <c r="F76" s="17" t="str">
        <f t="shared" si="13"/>
        <v/>
      </c>
      <c r="G76" s="4"/>
      <c r="H76" s="2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22" t="e">
        <f t="shared" si="14"/>
        <v>#N/A</v>
      </c>
      <c r="X76" s="21" t="e">
        <f t="shared" si="15"/>
        <v>#N/A</v>
      </c>
      <c r="Y76" s="21" t="e">
        <f t="shared" si="16"/>
        <v>#N/A</v>
      </c>
      <c r="Z76" s="11" t="e">
        <f t="shared" si="17"/>
        <v>#N/A</v>
      </c>
      <c r="AA76" s="22" t="e">
        <f t="shared" si="18"/>
        <v>#N/A</v>
      </c>
      <c r="AB76" s="21" t="e">
        <f t="shared" si="19"/>
        <v>#N/A</v>
      </c>
      <c r="AC76" s="21" t="e">
        <f t="shared" si="20"/>
        <v>#N/A</v>
      </c>
      <c r="AD76" s="11" t="e">
        <f t="shared" si="21"/>
        <v>#N/A</v>
      </c>
      <c r="AE76" s="22" t="e">
        <f t="shared" si="22"/>
        <v>#N/A</v>
      </c>
      <c r="AF76" s="21" t="e">
        <f t="shared" si="23"/>
        <v>#N/A</v>
      </c>
      <c r="AG76" s="21" t="e">
        <f t="shared" si="24"/>
        <v>#N/A</v>
      </c>
      <c r="AH76" s="11" t="e">
        <f t="shared" si="25"/>
        <v>#N/A</v>
      </c>
      <c r="AI76">
        <v>2.5000000000000001E-2</v>
      </c>
      <c r="AJ76">
        <v>-2.5000000000000001E-2</v>
      </c>
      <c r="AK76">
        <v>1.5E-3</v>
      </c>
      <c r="AL76">
        <v>-1.5E-3</v>
      </c>
      <c r="AM76">
        <v>1.5E-3</v>
      </c>
      <c r="AN76">
        <v>-1.5E-3</v>
      </c>
      <c r="AO76" s="16">
        <v>2.5000000000000001E-2</v>
      </c>
      <c r="AP76" s="16">
        <v>-2.5000000000000001E-2</v>
      </c>
      <c r="AQ76">
        <v>1.4999999999999999E-2</v>
      </c>
      <c r="AR76">
        <v>-1.4999999999999999E-2</v>
      </c>
      <c r="AS76">
        <v>1E-3</v>
      </c>
      <c r="AT76">
        <v>-1E-3</v>
      </c>
      <c r="AU76">
        <v>1E-3</v>
      </c>
      <c r="AV76">
        <v>-1E-3</v>
      </c>
      <c r="AW76" s="16">
        <v>1.4999999999999999E-2</v>
      </c>
      <c r="AX76" s="16">
        <v>-1.4999999999999999E-2</v>
      </c>
    </row>
    <row r="77" spans="6:278" customFormat="1">
      <c r="F77" s="17" t="str">
        <f t="shared" si="13"/>
        <v/>
      </c>
      <c r="G77" s="4"/>
      <c r="H77" s="2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22" t="e">
        <f t="shared" si="14"/>
        <v>#N/A</v>
      </c>
      <c r="X77" s="21" t="e">
        <f t="shared" si="15"/>
        <v>#N/A</v>
      </c>
      <c r="Y77" s="21" t="e">
        <f t="shared" si="16"/>
        <v>#N/A</v>
      </c>
      <c r="Z77" s="11" t="e">
        <f t="shared" si="17"/>
        <v>#N/A</v>
      </c>
      <c r="AA77" s="22" t="e">
        <f t="shared" si="18"/>
        <v>#N/A</v>
      </c>
      <c r="AB77" s="21" t="e">
        <f t="shared" si="19"/>
        <v>#N/A</v>
      </c>
      <c r="AC77" s="21" t="e">
        <f t="shared" si="20"/>
        <v>#N/A</v>
      </c>
      <c r="AD77" s="11" t="e">
        <f t="shared" si="21"/>
        <v>#N/A</v>
      </c>
      <c r="AE77" s="22" t="e">
        <f t="shared" si="22"/>
        <v>#N/A</v>
      </c>
      <c r="AF77" s="21" t="e">
        <f t="shared" si="23"/>
        <v>#N/A</v>
      </c>
      <c r="AG77" s="21" t="e">
        <f t="shared" si="24"/>
        <v>#N/A</v>
      </c>
      <c r="AH77" s="11" t="e">
        <f t="shared" si="25"/>
        <v>#N/A</v>
      </c>
      <c r="AI77">
        <v>2.5000000000000001E-2</v>
      </c>
      <c r="AJ77">
        <v>-2.5000000000000001E-2</v>
      </c>
      <c r="AK77">
        <v>1.5E-3</v>
      </c>
      <c r="AL77">
        <v>-1.5E-3</v>
      </c>
      <c r="AM77">
        <v>1.5E-3</v>
      </c>
      <c r="AN77">
        <v>-1.5E-3</v>
      </c>
      <c r="AO77" s="16">
        <v>2.5000000000000001E-2</v>
      </c>
      <c r="AP77" s="16">
        <v>-2.5000000000000001E-2</v>
      </c>
      <c r="AQ77">
        <v>1.4999999999999999E-2</v>
      </c>
      <c r="AR77">
        <v>-1.4999999999999999E-2</v>
      </c>
      <c r="AS77">
        <v>1E-3</v>
      </c>
      <c r="AT77">
        <v>-1E-3</v>
      </c>
      <c r="AU77">
        <v>1E-3</v>
      </c>
      <c r="AV77">
        <v>-1E-3</v>
      </c>
      <c r="AW77" s="16">
        <v>1.4999999999999999E-2</v>
      </c>
      <c r="AX77" s="16">
        <v>-1.4999999999999999E-2</v>
      </c>
    </row>
    <row r="78" spans="6:278" customFormat="1">
      <c r="F78" s="17" t="str">
        <f t="shared" si="13"/>
        <v/>
      </c>
      <c r="G78" s="4"/>
      <c r="H78" s="2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22" t="e">
        <f t="shared" si="14"/>
        <v>#N/A</v>
      </c>
      <c r="X78" s="21" t="e">
        <f t="shared" si="15"/>
        <v>#N/A</v>
      </c>
      <c r="Y78" s="21" t="e">
        <f t="shared" si="16"/>
        <v>#N/A</v>
      </c>
      <c r="Z78" s="11" t="e">
        <f t="shared" si="17"/>
        <v>#N/A</v>
      </c>
      <c r="AA78" s="22" t="e">
        <f t="shared" si="18"/>
        <v>#N/A</v>
      </c>
      <c r="AB78" s="21" t="e">
        <f t="shared" si="19"/>
        <v>#N/A</v>
      </c>
      <c r="AC78" s="21" t="e">
        <f t="shared" si="20"/>
        <v>#N/A</v>
      </c>
      <c r="AD78" s="11" t="e">
        <f t="shared" si="21"/>
        <v>#N/A</v>
      </c>
      <c r="AE78" s="22" t="e">
        <f t="shared" si="22"/>
        <v>#N/A</v>
      </c>
      <c r="AF78" s="21" t="e">
        <f t="shared" si="23"/>
        <v>#N/A</v>
      </c>
      <c r="AG78" s="21" t="e">
        <f t="shared" si="24"/>
        <v>#N/A</v>
      </c>
      <c r="AH78" s="11" t="e">
        <f t="shared" si="25"/>
        <v>#N/A</v>
      </c>
      <c r="AI78">
        <v>2.5000000000000001E-2</v>
      </c>
      <c r="AJ78">
        <v>-2.5000000000000001E-2</v>
      </c>
      <c r="AK78">
        <v>1.5E-3</v>
      </c>
      <c r="AL78">
        <v>-1.5E-3</v>
      </c>
      <c r="AM78">
        <v>1.5E-3</v>
      </c>
      <c r="AN78">
        <v>-1.5E-3</v>
      </c>
      <c r="AO78" s="16">
        <v>2.5000000000000001E-2</v>
      </c>
      <c r="AP78" s="16">
        <v>-2.5000000000000001E-2</v>
      </c>
      <c r="AQ78">
        <v>1.4999999999999999E-2</v>
      </c>
      <c r="AR78">
        <v>-1.4999999999999999E-2</v>
      </c>
      <c r="AS78">
        <v>1E-3</v>
      </c>
      <c r="AT78">
        <v>-1E-3</v>
      </c>
      <c r="AU78">
        <v>1E-3</v>
      </c>
      <c r="AV78">
        <v>-1E-3</v>
      </c>
      <c r="AW78" s="16">
        <v>1.4999999999999999E-2</v>
      </c>
      <c r="AX78" s="16">
        <v>-1.4999999999999999E-2</v>
      </c>
    </row>
    <row r="79" spans="6:278" customFormat="1">
      <c r="F79" s="17" t="str">
        <f t="shared" si="13"/>
        <v/>
      </c>
      <c r="G79" s="4"/>
      <c r="H79" s="2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22" t="e">
        <f t="shared" si="14"/>
        <v>#N/A</v>
      </c>
      <c r="X79" s="21" t="e">
        <f t="shared" si="15"/>
        <v>#N/A</v>
      </c>
      <c r="Y79" s="21" t="e">
        <f t="shared" si="16"/>
        <v>#N/A</v>
      </c>
      <c r="Z79" s="11" t="e">
        <f t="shared" si="17"/>
        <v>#N/A</v>
      </c>
      <c r="AA79" s="22" t="e">
        <f t="shared" si="18"/>
        <v>#N/A</v>
      </c>
      <c r="AB79" s="21" t="e">
        <f t="shared" si="19"/>
        <v>#N/A</v>
      </c>
      <c r="AC79" s="21" t="e">
        <f t="shared" si="20"/>
        <v>#N/A</v>
      </c>
      <c r="AD79" s="11" t="e">
        <f t="shared" si="21"/>
        <v>#N/A</v>
      </c>
      <c r="AE79" s="22" t="e">
        <f t="shared" si="22"/>
        <v>#N/A</v>
      </c>
      <c r="AF79" s="21" t="e">
        <f t="shared" si="23"/>
        <v>#N/A</v>
      </c>
      <c r="AG79" s="21" t="e">
        <f t="shared" si="24"/>
        <v>#N/A</v>
      </c>
      <c r="AH79" s="11" t="e">
        <f t="shared" si="25"/>
        <v>#N/A</v>
      </c>
      <c r="AI79">
        <v>2.5000000000000001E-2</v>
      </c>
      <c r="AJ79">
        <v>-2.5000000000000001E-2</v>
      </c>
      <c r="AK79">
        <v>1.5E-3</v>
      </c>
      <c r="AL79">
        <v>-1.5E-3</v>
      </c>
      <c r="AM79">
        <v>1.5E-3</v>
      </c>
      <c r="AN79">
        <v>-1.5E-3</v>
      </c>
      <c r="AO79" s="16">
        <v>2.5000000000000001E-2</v>
      </c>
      <c r="AP79" s="16">
        <v>-2.5000000000000001E-2</v>
      </c>
      <c r="AQ79">
        <v>1.4999999999999999E-2</v>
      </c>
      <c r="AR79">
        <v>-1.4999999999999999E-2</v>
      </c>
      <c r="AS79">
        <v>1E-3</v>
      </c>
      <c r="AT79">
        <v>-1E-3</v>
      </c>
      <c r="AU79">
        <v>1E-3</v>
      </c>
      <c r="AV79">
        <v>-1E-3</v>
      </c>
      <c r="AW79" s="16">
        <v>1.4999999999999999E-2</v>
      </c>
      <c r="AX79" s="16">
        <v>-1.4999999999999999E-2</v>
      </c>
    </row>
    <row r="80" spans="6:278" customFormat="1">
      <c r="F80" s="17" t="str">
        <f t="shared" si="13"/>
        <v/>
      </c>
      <c r="G80" s="4"/>
      <c r="H80" s="2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22" t="e">
        <f t="shared" si="14"/>
        <v>#N/A</v>
      </c>
      <c r="X80" s="21" t="e">
        <f t="shared" si="15"/>
        <v>#N/A</v>
      </c>
      <c r="Y80" s="21" t="e">
        <f t="shared" si="16"/>
        <v>#N/A</v>
      </c>
      <c r="Z80" s="11" t="e">
        <f t="shared" si="17"/>
        <v>#N/A</v>
      </c>
      <c r="AA80" s="22" t="e">
        <f t="shared" si="18"/>
        <v>#N/A</v>
      </c>
      <c r="AB80" s="21" t="e">
        <f t="shared" si="19"/>
        <v>#N/A</v>
      </c>
      <c r="AC80" s="21" t="e">
        <f t="shared" si="20"/>
        <v>#N/A</v>
      </c>
      <c r="AD80" s="11" t="e">
        <f t="shared" si="21"/>
        <v>#N/A</v>
      </c>
      <c r="AE80" s="22" t="e">
        <f t="shared" si="22"/>
        <v>#N/A</v>
      </c>
      <c r="AF80" s="21" t="e">
        <f t="shared" si="23"/>
        <v>#N/A</v>
      </c>
      <c r="AG80" s="21" t="e">
        <f t="shared" si="24"/>
        <v>#N/A</v>
      </c>
      <c r="AH80" s="11" t="e">
        <f t="shared" si="25"/>
        <v>#N/A</v>
      </c>
      <c r="AI80">
        <v>2.5000000000000001E-2</v>
      </c>
      <c r="AJ80">
        <v>-2.5000000000000001E-2</v>
      </c>
      <c r="AK80">
        <v>1.5E-3</v>
      </c>
      <c r="AL80">
        <v>-1.5E-3</v>
      </c>
      <c r="AM80">
        <v>1.5E-3</v>
      </c>
      <c r="AN80">
        <v>-1.5E-3</v>
      </c>
      <c r="AO80" s="16">
        <v>2.5000000000000001E-2</v>
      </c>
      <c r="AP80" s="16">
        <v>-2.5000000000000001E-2</v>
      </c>
      <c r="AQ80">
        <v>1.4999999999999999E-2</v>
      </c>
      <c r="AR80">
        <v>-1.4999999999999999E-2</v>
      </c>
      <c r="AS80">
        <v>1E-3</v>
      </c>
      <c r="AT80">
        <v>-1E-3</v>
      </c>
      <c r="AU80">
        <v>1E-3</v>
      </c>
      <c r="AV80">
        <v>-1E-3</v>
      </c>
      <c r="AW80" s="16">
        <v>1.4999999999999999E-2</v>
      </c>
      <c r="AX80" s="16">
        <v>-1.4999999999999999E-2</v>
      </c>
    </row>
    <row r="81" spans="6:50">
      <c r="F81" s="17" t="str">
        <f t="shared" si="13"/>
        <v/>
      </c>
      <c r="G81" s="4"/>
      <c r="H81" s="2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22" t="e">
        <f t="shared" si="14"/>
        <v>#N/A</v>
      </c>
      <c r="X81" s="21" t="e">
        <f t="shared" si="15"/>
        <v>#N/A</v>
      </c>
      <c r="Y81" s="21" t="e">
        <f t="shared" si="16"/>
        <v>#N/A</v>
      </c>
      <c r="Z81" s="11" t="e">
        <f t="shared" si="17"/>
        <v>#N/A</v>
      </c>
      <c r="AA81" s="22" t="e">
        <f t="shared" si="18"/>
        <v>#N/A</v>
      </c>
      <c r="AB81" s="21" t="e">
        <f t="shared" si="19"/>
        <v>#N/A</v>
      </c>
      <c r="AC81" s="21" t="e">
        <f t="shared" si="20"/>
        <v>#N/A</v>
      </c>
      <c r="AD81" s="11" t="e">
        <f t="shared" si="21"/>
        <v>#N/A</v>
      </c>
      <c r="AE81" s="22" t="e">
        <f t="shared" si="22"/>
        <v>#N/A</v>
      </c>
      <c r="AF81" s="21" t="e">
        <f t="shared" si="23"/>
        <v>#N/A</v>
      </c>
      <c r="AG81" s="21" t="e">
        <f t="shared" si="24"/>
        <v>#N/A</v>
      </c>
      <c r="AH81" s="11" t="e">
        <f t="shared" si="25"/>
        <v>#N/A</v>
      </c>
      <c r="AI81">
        <v>2.5000000000000001E-2</v>
      </c>
      <c r="AJ81">
        <v>-2.5000000000000001E-2</v>
      </c>
      <c r="AK81">
        <v>1.5E-3</v>
      </c>
      <c r="AL81">
        <v>-1.5E-3</v>
      </c>
      <c r="AM81">
        <v>1.5E-3</v>
      </c>
      <c r="AN81">
        <v>-1.5E-3</v>
      </c>
      <c r="AO81" s="16">
        <v>2.5000000000000001E-2</v>
      </c>
      <c r="AP81" s="16">
        <v>-2.5000000000000001E-2</v>
      </c>
      <c r="AQ81">
        <v>1.4999999999999999E-2</v>
      </c>
      <c r="AR81">
        <v>-1.4999999999999999E-2</v>
      </c>
      <c r="AS81">
        <v>1E-3</v>
      </c>
      <c r="AT81">
        <v>-1E-3</v>
      </c>
      <c r="AU81">
        <v>1E-3</v>
      </c>
      <c r="AV81">
        <v>-1E-3</v>
      </c>
      <c r="AW81" s="16">
        <v>1.4999999999999999E-2</v>
      </c>
      <c r="AX81" s="16">
        <v>-1.4999999999999999E-2</v>
      </c>
    </row>
    <row r="82" spans="6:50">
      <c r="F82" s="17" t="str">
        <f t="shared" si="13"/>
        <v/>
      </c>
      <c r="G82" s="4"/>
      <c r="H82" s="2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22" t="e">
        <f t="shared" si="14"/>
        <v>#N/A</v>
      </c>
      <c r="X82" s="21" t="e">
        <f t="shared" si="15"/>
        <v>#N/A</v>
      </c>
      <c r="Y82" s="21" t="e">
        <f t="shared" si="16"/>
        <v>#N/A</v>
      </c>
      <c r="Z82" s="11" t="e">
        <f t="shared" si="17"/>
        <v>#N/A</v>
      </c>
      <c r="AA82" s="22" t="e">
        <f t="shared" si="18"/>
        <v>#N/A</v>
      </c>
      <c r="AB82" s="21" t="e">
        <f t="shared" si="19"/>
        <v>#N/A</v>
      </c>
      <c r="AC82" s="21" t="e">
        <f t="shared" si="20"/>
        <v>#N/A</v>
      </c>
      <c r="AD82" s="11" t="e">
        <f t="shared" si="21"/>
        <v>#N/A</v>
      </c>
      <c r="AE82" s="22" t="e">
        <f t="shared" si="22"/>
        <v>#N/A</v>
      </c>
      <c r="AF82" s="21" t="e">
        <f t="shared" si="23"/>
        <v>#N/A</v>
      </c>
      <c r="AG82" s="21" t="e">
        <f t="shared" si="24"/>
        <v>#N/A</v>
      </c>
      <c r="AH82" s="11" t="e">
        <f t="shared" si="25"/>
        <v>#N/A</v>
      </c>
      <c r="AI82">
        <v>2.5000000000000001E-2</v>
      </c>
      <c r="AJ82">
        <v>-2.5000000000000001E-2</v>
      </c>
      <c r="AK82">
        <v>1.5E-3</v>
      </c>
      <c r="AL82">
        <v>-1.5E-3</v>
      </c>
      <c r="AM82">
        <v>1.5E-3</v>
      </c>
      <c r="AN82">
        <v>-1.5E-3</v>
      </c>
      <c r="AO82" s="16">
        <v>2.5000000000000001E-2</v>
      </c>
      <c r="AP82" s="16">
        <v>-2.5000000000000001E-2</v>
      </c>
      <c r="AQ82">
        <v>1.4999999999999999E-2</v>
      </c>
      <c r="AR82">
        <v>-1.4999999999999999E-2</v>
      </c>
      <c r="AS82">
        <v>1E-3</v>
      </c>
      <c r="AT82">
        <v>-1E-3</v>
      </c>
      <c r="AU82">
        <v>1E-3</v>
      </c>
      <c r="AV82">
        <v>-1E-3</v>
      </c>
      <c r="AW82" s="16">
        <v>1.4999999999999999E-2</v>
      </c>
      <c r="AX82" s="16">
        <v>-1.4999999999999999E-2</v>
      </c>
    </row>
    <row r="83" spans="6:50">
      <c r="F83" s="17" t="str">
        <f t="shared" si="13"/>
        <v/>
      </c>
      <c r="G83" s="4"/>
      <c r="H83" s="2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22" t="e">
        <f t="shared" si="14"/>
        <v>#N/A</v>
      </c>
      <c r="X83" s="21" t="e">
        <f t="shared" si="15"/>
        <v>#N/A</v>
      </c>
      <c r="Y83" s="21" t="e">
        <f t="shared" si="16"/>
        <v>#N/A</v>
      </c>
      <c r="Z83" s="11" t="e">
        <f t="shared" si="17"/>
        <v>#N/A</v>
      </c>
      <c r="AA83" s="22" t="e">
        <f t="shared" si="18"/>
        <v>#N/A</v>
      </c>
      <c r="AB83" s="21" t="e">
        <f t="shared" si="19"/>
        <v>#N/A</v>
      </c>
      <c r="AC83" s="21" t="e">
        <f t="shared" si="20"/>
        <v>#N/A</v>
      </c>
      <c r="AD83" s="11" t="e">
        <f t="shared" si="21"/>
        <v>#N/A</v>
      </c>
      <c r="AE83" s="22" t="e">
        <f t="shared" si="22"/>
        <v>#N/A</v>
      </c>
      <c r="AF83" s="21" t="e">
        <f t="shared" si="23"/>
        <v>#N/A</v>
      </c>
      <c r="AG83" s="21" t="e">
        <f t="shared" si="24"/>
        <v>#N/A</v>
      </c>
      <c r="AH83" s="11" t="e">
        <f t="shared" si="25"/>
        <v>#N/A</v>
      </c>
      <c r="AI83">
        <v>2.5000000000000001E-2</v>
      </c>
      <c r="AJ83">
        <v>-2.5000000000000001E-2</v>
      </c>
      <c r="AK83">
        <v>1.5E-3</v>
      </c>
      <c r="AL83">
        <v>-1.5E-3</v>
      </c>
      <c r="AM83">
        <v>1.5E-3</v>
      </c>
      <c r="AN83">
        <v>-1.5E-3</v>
      </c>
      <c r="AO83" s="16">
        <v>2.5000000000000001E-2</v>
      </c>
      <c r="AP83" s="16">
        <v>-2.5000000000000001E-2</v>
      </c>
      <c r="AQ83">
        <v>1.4999999999999999E-2</v>
      </c>
      <c r="AR83">
        <v>-1.4999999999999999E-2</v>
      </c>
      <c r="AS83">
        <v>1E-3</v>
      </c>
      <c r="AT83">
        <v>-1E-3</v>
      </c>
      <c r="AU83">
        <v>1E-3</v>
      </c>
      <c r="AV83">
        <v>-1E-3</v>
      </c>
      <c r="AW83" s="16">
        <v>1.4999999999999999E-2</v>
      </c>
      <c r="AX83" s="16">
        <v>-1.4999999999999999E-2</v>
      </c>
    </row>
    <row r="84" spans="6:50">
      <c r="F84" s="17" t="str">
        <f t="shared" si="13"/>
        <v/>
      </c>
      <c r="G84" s="4"/>
      <c r="H84" s="2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22" t="e">
        <f t="shared" si="14"/>
        <v>#N/A</v>
      </c>
      <c r="X84" s="21" t="e">
        <f t="shared" si="15"/>
        <v>#N/A</v>
      </c>
      <c r="Y84" s="21" t="e">
        <f t="shared" si="16"/>
        <v>#N/A</v>
      </c>
      <c r="Z84" s="11" t="e">
        <f t="shared" si="17"/>
        <v>#N/A</v>
      </c>
      <c r="AA84" s="22" t="e">
        <f t="shared" si="18"/>
        <v>#N/A</v>
      </c>
      <c r="AB84" s="21" t="e">
        <f t="shared" si="19"/>
        <v>#N/A</v>
      </c>
      <c r="AC84" s="21" t="e">
        <f t="shared" si="20"/>
        <v>#N/A</v>
      </c>
      <c r="AD84" s="11" t="e">
        <f t="shared" si="21"/>
        <v>#N/A</v>
      </c>
      <c r="AE84" s="22" t="e">
        <f t="shared" si="22"/>
        <v>#N/A</v>
      </c>
      <c r="AF84" s="21" t="e">
        <f t="shared" si="23"/>
        <v>#N/A</v>
      </c>
      <c r="AG84" s="21" t="e">
        <f t="shared" si="24"/>
        <v>#N/A</v>
      </c>
      <c r="AH84" s="11" t="e">
        <f t="shared" si="25"/>
        <v>#N/A</v>
      </c>
      <c r="AI84">
        <v>2.5000000000000001E-2</v>
      </c>
      <c r="AJ84">
        <v>-2.5000000000000001E-2</v>
      </c>
      <c r="AK84">
        <v>1.5E-3</v>
      </c>
      <c r="AL84">
        <v>-1.5E-3</v>
      </c>
      <c r="AM84">
        <v>1.5E-3</v>
      </c>
      <c r="AN84">
        <v>-1.5E-3</v>
      </c>
      <c r="AO84" s="16">
        <v>2.5000000000000001E-2</v>
      </c>
      <c r="AP84" s="16">
        <v>-2.5000000000000001E-2</v>
      </c>
      <c r="AQ84">
        <v>1.4999999999999999E-2</v>
      </c>
      <c r="AR84">
        <v>-1.4999999999999999E-2</v>
      </c>
      <c r="AS84">
        <v>1E-3</v>
      </c>
      <c r="AT84">
        <v>-1E-3</v>
      </c>
      <c r="AU84">
        <v>1E-3</v>
      </c>
      <c r="AV84">
        <v>-1E-3</v>
      </c>
      <c r="AW84" s="16">
        <v>1.4999999999999999E-2</v>
      </c>
      <c r="AX84" s="16">
        <v>-1.4999999999999999E-2</v>
      </c>
    </row>
    <row r="85" spans="6:50">
      <c r="F85" s="17" t="str">
        <f t="shared" si="13"/>
        <v/>
      </c>
      <c r="G85" s="4"/>
      <c r="H85" s="2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22" t="e">
        <f t="shared" si="14"/>
        <v>#N/A</v>
      </c>
      <c r="X85" s="21" t="e">
        <f t="shared" si="15"/>
        <v>#N/A</v>
      </c>
      <c r="Y85" s="21" t="e">
        <f t="shared" si="16"/>
        <v>#N/A</v>
      </c>
      <c r="Z85" s="11" t="e">
        <f t="shared" si="17"/>
        <v>#N/A</v>
      </c>
      <c r="AA85" s="22" t="e">
        <f t="shared" si="18"/>
        <v>#N/A</v>
      </c>
      <c r="AB85" s="21" t="e">
        <f t="shared" si="19"/>
        <v>#N/A</v>
      </c>
      <c r="AC85" s="21" t="e">
        <f t="shared" si="20"/>
        <v>#N/A</v>
      </c>
      <c r="AD85" s="11" t="e">
        <f t="shared" si="21"/>
        <v>#N/A</v>
      </c>
      <c r="AE85" s="22" t="e">
        <f t="shared" si="22"/>
        <v>#N/A</v>
      </c>
      <c r="AF85" s="21" t="e">
        <f t="shared" si="23"/>
        <v>#N/A</v>
      </c>
      <c r="AG85" s="21" t="e">
        <f t="shared" si="24"/>
        <v>#N/A</v>
      </c>
      <c r="AH85" s="11" t="e">
        <f t="shared" si="25"/>
        <v>#N/A</v>
      </c>
      <c r="AI85">
        <v>2.5000000000000001E-2</v>
      </c>
      <c r="AJ85">
        <v>-2.5000000000000001E-2</v>
      </c>
      <c r="AK85">
        <v>1.5E-3</v>
      </c>
      <c r="AL85">
        <v>-1.5E-3</v>
      </c>
      <c r="AM85">
        <v>1.5E-3</v>
      </c>
      <c r="AN85">
        <v>-1.5E-3</v>
      </c>
      <c r="AO85" s="16">
        <v>2.5000000000000001E-2</v>
      </c>
      <c r="AP85" s="16">
        <v>-2.5000000000000001E-2</v>
      </c>
      <c r="AQ85">
        <v>1.4999999999999999E-2</v>
      </c>
      <c r="AR85">
        <v>-1.4999999999999999E-2</v>
      </c>
      <c r="AS85">
        <v>1E-3</v>
      </c>
      <c r="AT85">
        <v>-1E-3</v>
      </c>
      <c r="AU85">
        <v>1E-3</v>
      </c>
      <c r="AV85">
        <v>-1E-3</v>
      </c>
      <c r="AW85" s="16">
        <v>1.4999999999999999E-2</v>
      </c>
      <c r="AX85" s="16">
        <v>-1.4999999999999999E-2</v>
      </c>
    </row>
    <row r="86" spans="6:50">
      <c r="F86" s="17" t="str">
        <f t="shared" si="13"/>
        <v/>
      </c>
      <c r="G86" s="4"/>
      <c r="H86" s="2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22" t="e">
        <f t="shared" si="14"/>
        <v>#N/A</v>
      </c>
      <c r="X86" s="21" t="e">
        <f t="shared" si="15"/>
        <v>#N/A</v>
      </c>
      <c r="Y86" s="21" t="e">
        <f t="shared" si="16"/>
        <v>#N/A</v>
      </c>
      <c r="Z86" s="11" t="e">
        <f t="shared" si="17"/>
        <v>#N/A</v>
      </c>
      <c r="AA86" s="22" t="e">
        <f t="shared" si="18"/>
        <v>#N/A</v>
      </c>
      <c r="AB86" s="21" t="e">
        <f t="shared" si="19"/>
        <v>#N/A</v>
      </c>
      <c r="AC86" s="21" t="e">
        <f t="shared" si="20"/>
        <v>#N/A</v>
      </c>
      <c r="AD86" s="11" t="e">
        <f t="shared" si="21"/>
        <v>#N/A</v>
      </c>
      <c r="AE86" s="22" t="e">
        <f t="shared" si="22"/>
        <v>#N/A</v>
      </c>
      <c r="AF86" s="21" t="e">
        <f t="shared" si="23"/>
        <v>#N/A</v>
      </c>
      <c r="AG86" s="21" t="e">
        <f t="shared" si="24"/>
        <v>#N/A</v>
      </c>
      <c r="AH86" s="11" t="e">
        <f t="shared" si="25"/>
        <v>#N/A</v>
      </c>
      <c r="AI86">
        <v>2.5000000000000001E-2</v>
      </c>
      <c r="AJ86">
        <v>-2.5000000000000001E-2</v>
      </c>
      <c r="AK86">
        <v>1.5E-3</v>
      </c>
      <c r="AL86">
        <v>-1.5E-3</v>
      </c>
      <c r="AM86">
        <v>1.5E-3</v>
      </c>
      <c r="AN86">
        <v>-1.5E-3</v>
      </c>
      <c r="AO86" s="16">
        <v>2.5000000000000001E-2</v>
      </c>
      <c r="AP86" s="16">
        <v>-2.5000000000000001E-2</v>
      </c>
      <c r="AQ86">
        <v>1.4999999999999999E-2</v>
      </c>
      <c r="AR86">
        <v>-1.4999999999999999E-2</v>
      </c>
      <c r="AS86">
        <v>1E-3</v>
      </c>
      <c r="AT86">
        <v>-1E-3</v>
      </c>
      <c r="AU86">
        <v>1E-3</v>
      </c>
      <c r="AV86">
        <v>-1E-3</v>
      </c>
      <c r="AW86" s="16">
        <v>1.4999999999999999E-2</v>
      </c>
      <c r="AX86" s="16">
        <v>-1.4999999999999999E-2</v>
      </c>
    </row>
    <row r="87" spans="6:50">
      <c r="F87" s="17" t="str">
        <f t="shared" si="13"/>
        <v/>
      </c>
      <c r="G87" s="4"/>
      <c r="H87" s="2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22" t="e">
        <f t="shared" si="14"/>
        <v>#N/A</v>
      </c>
      <c r="X87" s="21" t="e">
        <f t="shared" si="15"/>
        <v>#N/A</v>
      </c>
      <c r="Y87" s="21" t="e">
        <f t="shared" si="16"/>
        <v>#N/A</v>
      </c>
      <c r="Z87" s="11" t="e">
        <f t="shared" si="17"/>
        <v>#N/A</v>
      </c>
      <c r="AA87" s="22" t="e">
        <f t="shared" si="18"/>
        <v>#N/A</v>
      </c>
      <c r="AB87" s="21" t="e">
        <f t="shared" si="19"/>
        <v>#N/A</v>
      </c>
      <c r="AC87" s="21" t="e">
        <f t="shared" si="20"/>
        <v>#N/A</v>
      </c>
      <c r="AD87" s="11" t="e">
        <f t="shared" si="21"/>
        <v>#N/A</v>
      </c>
      <c r="AE87" s="22" t="e">
        <f t="shared" si="22"/>
        <v>#N/A</v>
      </c>
      <c r="AF87" s="21" t="e">
        <f t="shared" si="23"/>
        <v>#N/A</v>
      </c>
      <c r="AG87" s="21" t="e">
        <f t="shared" si="24"/>
        <v>#N/A</v>
      </c>
      <c r="AH87" s="11" t="e">
        <f t="shared" si="25"/>
        <v>#N/A</v>
      </c>
      <c r="AI87">
        <v>2.5000000000000001E-2</v>
      </c>
      <c r="AJ87">
        <v>-2.5000000000000001E-2</v>
      </c>
      <c r="AK87">
        <v>1.5E-3</v>
      </c>
      <c r="AL87">
        <v>-1.5E-3</v>
      </c>
      <c r="AM87">
        <v>1.5E-3</v>
      </c>
      <c r="AN87">
        <v>-1.5E-3</v>
      </c>
      <c r="AO87" s="16">
        <v>2.5000000000000001E-2</v>
      </c>
      <c r="AP87" s="16">
        <v>-2.5000000000000001E-2</v>
      </c>
      <c r="AQ87">
        <v>1.4999999999999999E-2</v>
      </c>
      <c r="AR87">
        <v>-1.4999999999999999E-2</v>
      </c>
      <c r="AS87">
        <v>1E-3</v>
      </c>
      <c r="AT87">
        <v>-1E-3</v>
      </c>
      <c r="AU87">
        <v>1E-3</v>
      </c>
      <c r="AV87">
        <v>-1E-3</v>
      </c>
      <c r="AW87" s="16">
        <v>1.4999999999999999E-2</v>
      </c>
      <c r="AX87" s="16">
        <v>-1.4999999999999999E-2</v>
      </c>
    </row>
    <row r="88" spans="6:50">
      <c r="F88" s="17" t="str">
        <f t="shared" si="13"/>
        <v/>
      </c>
      <c r="G88" s="4"/>
      <c r="H88" s="2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22" t="e">
        <f t="shared" si="14"/>
        <v>#N/A</v>
      </c>
      <c r="X88" s="21" t="e">
        <f t="shared" si="15"/>
        <v>#N/A</v>
      </c>
      <c r="Y88" s="21" t="e">
        <f t="shared" si="16"/>
        <v>#N/A</v>
      </c>
      <c r="Z88" s="11" t="e">
        <f t="shared" si="17"/>
        <v>#N/A</v>
      </c>
      <c r="AA88" s="22" t="e">
        <f t="shared" si="18"/>
        <v>#N/A</v>
      </c>
      <c r="AB88" s="21" t="e">
        <f t="shared" si="19"/>
        <v>#N/A</v>
      </c>
      <c r="AC88" s="21" t="e">
        <f t="shared" si="20"/>
        <v>#N/A</v>
      </c>
      <c r="AD88" s="11" t="e">
        <f t="shared" si="21"/>
        <v>#N/A</v>
      </c>
      <c r="AE88" s="22" t="e">
        <f t="shared" si="22"/>
        <v>#N/A</v>
      </c>
      <c r="AF88" s="21" t="e">
        <f t="shared" si="23"/>
        <v>#N/A</v>
      </c>
      <c r="AG88" s="21" t="e">
        <f t="shared" si="24"/>
        <v>#N/A</v>
      </c>
      <c r="AH88" s="11" t="e">
        <f t="shared" si="25"/>
        <v>#N/A</v>
      </c>
      <c r="AI88">
        <v>2.5000000000000001E-2</v>
      </c>
      <c r="AJ88">
        <v>-2.5000000000000001E-2</v>
      </c>
      <c r="AK88">
        <v>1.5E-3</v>
      </c>
      <c r="AL88">
        <v>-1.5E-3</v>
      </c>
      <c r="AM88">
        <v>1.5E-3</v>
      </c>
      <c r="AN88">
        <v>-1.5E-3</v>
      </c>
      <c r="AO88" s="16">
        <v>2.5000000000000001E-2</v>
      </c>
      <c r="AP88" s="16">
        <v>-2.5000000000000001E-2</v>
      </c>
      <c r="AQ88">
        <v>1.4999999999999999E-2</v>
      </c>
      <c r="AR88">
        <v>-1.4999999999999999E-2</v>
      </c>
      <c r="AS88">
        <v>1E-3</v>
      </c>
      <c r="AT88">
        <v>-1E-3</v>
      </c>
      <c r="AU88">
        <v>1E-3</v>
      </c>
      <c r="AV88">
        <v>-1E-3</v>
      </c>
      <c r="AW88" s="16">
        <v>1.4999999999999999E-2</v>
      </c>
      <c r="AX88" s="16">
        <v>-1.4999999999999999E-2</v>
      </c>
    </row>
    <row r="89" spans="6:50">
      <c r="F89" s="17" t="str">
        <f t="shared" si="13"/>
        <v/>
      </c>
      <c r="G89" s="4"/>
      <c r="H89" s="2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22" t="e">
        <f t="shared" si="14"/>
        <v>#N/A</v>
      </c>
      <c r="X89" s="21" t="e">
        <f t="shared" si="15"/>
        <v>#N/A</v>
      </c>
      <c r="Y89" s="21" t="e">
        <f t="shared" si="16"/>
        <v>#N/A</v>
      </c>
      <c r="Z89" s="11" t="e">
        <f t="shared" si="17"/>
        <v>#N/A</v>
      </c>
      <c r="AA89" s="22" t="e">
        <f t="shared" si="18"/>
        <v>#N/A</v>
      </c>
      <c r="AB89" s="21" t="e">
        <f t="shared" si="19"/>
        <v>#N/A</v>
      </c>
      <c r="AC89" s="21" t="e">
        <f t="shared" si="20"/>
        <v>#N/A</v>
      </c>
      <c r="AD89" s="11" t="e">
        <f t="shared" si="21"/>
        <v>#N/A</v>
      </c>
      <c r="AE89" s="22" t="e">
        <f t="shared" si="22"/>
        <v>#N/A</v>
      </c>
      <c r="AF89" s="21" t="e">
        <f t="shared" si="23"/>
        <v>#N/A</v>
      </c>
      <c r="AG89" s="21" t="e">
        <f t="shared" si="24"/>
        <v>#N/A</v>
      </c>
      <c r="AH89" s="11" t="e">
        <f t="shared" si="25"/>
        <v>#N/A</v>
      </c>
      <c r="AI89">
        <v>2.5000000000000001E-2</v>
      </c>
      <c r="AJ89">
        <v>-2.5000000000000001E-2</v>
      </c>
      <c r="AK89">
        <v>1.5E-3</v>
      </c>
      <c r="AL89">
        <v>-1.5E-3</v>
      </c>
      <c r="AM89">
        <v>1.5E-3</v>
      </c>
      <c r="AN89">
        <v>-1.5E-3</v>
      </c>
      <c r="AO89" s="16">
        <v>2.5000000000000001E-2</v>
      </c>
      <c r="AP89" s="16">
        <v>-2.5000000000000001E-2</v>
      </c>
      <c r="AQ89">
        <v>1.4999999999999999E-2</v>
      </c>
      <c r="AR89">
        <v>-1.4999999999999999E-2</v>
      </c>
      <c r="AS89">
        <v>1E-3</v>
      </c>
      <c r="AT89">
        <v>-1E-3</v>
      </c>
      <c r="AU89">
        <v>1E-3</v>
      </c>
      <c r="AV89">
        <v>-1E-3</v>
      </c>
      <c r="AW89" s="16">
        <v>1.4999999999999999E-2</v>
      </c>
      <c r="AX89" s="16">
        <v>-1.4999999999999999E-2</v>
      </c>
    </row>
    <row r="90" spans="6:50">
      <c r="F90" s="17" t="str">
        <f t="shared" si="13"/>
        <v/>
      </c>
      <c r="G90" s="4"/>
      <c r="H90" s="2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22" t="e">
        <f t="shared" si="14"/>
        <v>#N/A</v>
      </c>
      <c r="X90" s="21" t="e">
        <f t="shared" si="15"/>
        <v>#N/A</v>
      </c>
      <c r="Y90" s="21" t="e">
        <f t="shared" si="16"/>
        <v>#N/A</v>
      </c>
      <c r="Z90" s="11" t="e">
        <f t="shared" si="17"/>
        <v>#N/A</v>
      </c>
      <c r="AA90" s="22" t="e">
        <f t="shared" si="18"/>
        <v>#N/A</v>
      </c>
      <c r="AB90" s="21" t="e">
        <f t="shared" si="19"/>
        <v>#N/A</v>
      </c>
      <c r="AC90" s="21" t="e">
        <f t="shared" si="20"/>
        <v>#N/A</v>
      </c>
      <c r="AD90" s="11" t="e">
        <f t="shared" si="21"/>
        <v>#N/A</v>
      </c>
      <c r="AE90" s="22" t="e">
        <f t="shared" si="22"/>
        <v>#N/A</v>
      </c>
      <c r="AF90" s="21" t="e">
        <f t="shared" si="23"/>
        <v>#N/A</v>
      </c>
      <c r="AG90" s="21" t="e">
        <f t="shared" si="24"/>
        <v>#N/A</v>
      </c>
      <c r="AH90" s="11" t="e">
        <f t="shared" si="25"/>
        <v>#N/A</v>
      </c>
      <c r="AI90">
        <v>2.5000000000000001E-2</v>
      </c>
      <c r="AJ90">
        <v>-2.5000000000000001E-2</v>
      </c>
      <c r="AK90">
        <v>1.5E-3</v>
      </c>
      <c r="AL90">
        <v>-1.5E-3</v>
      </c>
      <c r="AM90">
        <v>1.5E-3</v>
      </c>
      <c r="AN90">
        <v>-1.5E-3</v>
      </c>
      <c r="AO90" s="16">
        <v>2.5000000000000001E-2</v>
      </c>
      <c r="AP90" s="16">
        <v>-2.5000000000000001E-2</v>
      </c>
      <c r="AQ90">
        <v>1.4999999999999999E-2</v>
      </c>
      <c r="AR90">
        <v>-1.4999999999999999E-2</v>
      </c>
      <c r="AS90">
        <v>1E-3</v>
      </c>
      <c r="AT90">
        <v>-1E-3</v>
      </c>
      <c r="AU90">
        <v>1E-3</v>
      </c>
      <c r="AV90">
        <v>-1E-3</v>
      </c>
      <c r="AW90" s="16">
        <v>1.4999999999999999E-2</v>
      </c>
      <c r="AX90" s="16">
        <v>-1.4999999999999999E-2</v>
      </c>
    </row>
    <row r="91" spans="6:50">
      <c r="F91" s="17" t="str">
        <f t="shared" si="13"/>
        <v/>
      </c>
      <c r="G91" s="4"/>
      <c r="H91" s="2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22" t="e">
        <f t="shared" si="14"/>
        <v>#N/A</v>
      </c>
      <c r="X91" s="21" t="e">
        <f t="shared" si="15"/>
        <v>#N/A</v>
      </c>
      <c r="Y91" s="21" t="e">
        <f t="shared" si="16"/>
        <v>#N/A</v>
      </c>
      <c r="Z91" s="11" t="e">
        <f t="shared" si="17"/>
        <v>#N/A</v>
      </c>
      <c r="AA91" s="22" t="e">
        <f t="shared" si="18"/>
        <v>#N/A</v>
      </c>
      <c r="AB91" s="21" t="e">
        <f t="shared" si="19"/>
        <v>#N/A</v>
      </c>
      <c r="AC91" s="21" t="e">
        <f t="shared" si="20"/>
        <v>#N/A</v>
      </c>
      <c r="AD91" s="11" t="e">
        <f t="shared" si="21"/>
        <v>#N/A</v>
      </c>
      <c r="AE91" s="22" t="e">
        <f t="shared" si="22"/>
        <v>#N/A</v>
      </c>
      <c r="AF91" s="21" t="e">
        <f t="shared" si="23"/>
        <v>#N/A</v>
      </c>
      <c r="AG91" s="21" t="e">
        <f t="shared" si="24"/>
        <v>#N/A</v>
      </c>
      <c r="AH91" s="11" t="e">
        <f t="shared" si="25"/>
        <v>#N/A</v>
      </c>
      <c r="AI91">
        <v>2.5000000000000001E-2</v>
      </c>
      <c r="AJ91">
        <v>-2.5000000000000001E-2</v>
      </c>
      <c r="AK91">
        <v>1.5E-3</v>
      </c>
      <c r="AL91">
        <v>-1.5E-3</v>
      </c>
      <c r="AM91">
        <v>1.5E-3</v>
      </c>
      <c r="AN91">
        <v>-1.5E-3</v>
      </c>
      <c r="AO91" s="16">
        <v>2.5000000000000001E-2</v>
      </c>
      <c r="AP91" s="16">
        <v>-2.5000000000000001E-2</v>
      </c>
      <c r="AQ91">
        <v>1.4999999999999999E-2</v>
      </c>
      <c r="AR91">
        <v>-1.4999999999999999E-2</v>
      </c>
      <c r="AS91">
        <v>1E-3</v>
      </c>
      <c r="AT91">
        <v>-1E-3</v>
      </c>
      <c r="AU91">
        <v>1E-3</v>
      </c>
      <c r="AV91">
        <v>-1E-3</v>
      </c>
      <c r="AW91" s="16">
        <v>1.4999999999999999E-2</v>
      </c>
      <c r="AX91" s="16">
        <v>-1.4999999999999999E-2</v>
      </c>
    </row>
    <row r="92" spans="6:50">
      <c r="F92" s="17" t="str">
        <f t="shared" si="13"/>
        <v/>
      </c>
      <c r="G92" s="4"/>
      <c r="H92" s="2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22" t="e">
        <f t="shared" si="14"/>
        <v>#N/A</v>
      </c>
      <c r="X92" s="21" t="e">
        <f t="shared" si="15"/>
        <v>#N/A</v>
      </c>
      <c r="Y92" s="21" t="e">
        <f t="shared" si="16"/>
        <v>#N/A</v>
      </c>
      <c r="Z92" s="11" t="e">
        <f t="shared" si="17"/>
        <v>#N/A</v>
      </c>
      <c r="AA92" s="22" t="e">
        <f t="shared" si="18"/>
        <v>#N/A</v>
      </c>
      <c r="AB92" s="21" t="e">
        <f t="shared" si="19"/>
        <v>#N/A</v>
      </c>
      <c r="AC92" s="21" t="e">
        <f t="shared" si="20"/>
        <v>#N/A</v>
      </c>
      <c r="AD92" s="11" t="e">
        <f t="shared" si="21"/>
        <v>#N/A</v>
      </c>
      <c r="AE92" s="22" t="e">
        <f t="shared" si="22"/>
        <v>#N/A</v>
      </c>
      <c r="AF92" s="21" t="e">
        <f t="shared" si="23"/>
        <v>#N/A</v>
      </c>
      <c r="AG92" s="21" t="e">
        <f t="shared" si="24"/>
        <v>#N/A</v>
      </c>
      <c r="AH92" s="11" t="e">
        <f t="shared" si="25"/>
        <v>#N/A</v>
      </c>
      <c r="AI92">
        <v>2.5000000000000001E-2</v>
      </c>
      <c r="AJ92">
        <v>-2.5000000000000001E-2</v>
      </c>
      <c r="AK92">
        <v>1.5E-3</v>
      </c>
      <c r="AL92">
        <v>-1.5E-3</v>
      </c>
      <c r="AM92">
        <v>1.5E-3</v>
      </c>
      <c r="AN92">
        <v>-1.5E-3</v>
      </c>
      <c r="AO92" s="16">
        <v>2.5000000000000001E-2</v>
      </c>
      <c r="AP92" s="16">
        <v>-2.5000000000000001E-2</v>
      </c>
      <c r="AQ92">
        <v>1.4999999999999999E-2</v>
      </c>
      <c r="AR92">
        <v>-1.4999999999999999E-2</v>
      </c>
      <c r="AS92">
        <v>1E-3</v>
      </c>
      <c r="AT92">
        <v>-1E-3</v>
      </c>
      <c r="AU92">
        <v>1E-3</v>
      </c>
      <c r="AV92">
        <v>-1E-3</v>
      </c>
      <c r="AW92" s="16">
        <v>1.4999999999999999E-2</v>
      </c>
      <c r="AX92" s="16">
        <v>-1.4999999999999999E-2</v>
      </c>
    </row>
    <row r="93" spans="6:50">
      <c r="F93" s="17" t="str">
        <f t="shared" si="13"/>
        <v/>
      </c>
      <c r="G93" s="4"/>
      <c r="H93" s="2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22" t="e">
        <f t="shared" si="14"/>
        <v>#N/A</v>
      </c>
      <c r="X93" s="21" t="e">
        <f t="shared" si="15"/>
        <v>#N/A</v>
      </c>
      <c r="Y93" s="21" t="e">
        <f t="shared" si="16"/>
        <v>#N/A</v>
      </c>
      <c r="Z93" s="11" t="e">
        <f t="shared" si="17"/>
        <v>#N/A</v>
      </c>
      <c r="AA93" s="22" t="e">
        <f t="shared" si="18"/>
        <v>#N/A</v>
      </c>
      <c r="AB93" s="21" t="e">
        <f t="shared" si="19"/>
        <v>#N/A</v>
      </c>
      <c r="AC93" s="21" t="e">
        <f t="shared" si="20"/>
        <v>#N/A</v>
      </c>
      <c r="AD93" s="11" t="e">
        <f t="shared" si="21"/>
        <v>#N/A</v>
      </c>
      <c r="AE93" s="22" t="e">
        <f t="shared" si="22"/>
        <v>#N/A</v>
      </c>
      <c r="AF93" s="21" t="e">
        <f t="shared" si="23"/>
        <v>#N/A</v>
      </c>
      <c r="AG93" s="21" t="e">
        <f t="shared" si="24"/>
        <v>#N/A</v>
      </c>
      <c r="AH93" s="11" t="e">
        <f t="shared" si="25"/>
        <v>#N/A</v>
      </c>
      <c r="AI93">
        <v>2.5000000000000001E-2</v>
      </c>
      <c r="AJ93">
        <v>-2.5000000000000001E-2</v>
      </c>
      <c r="AK93">
        <v>1.5E-3</v>
      </c>
      <c r="AL93">
        <v>-1.5E-3</v>
      </c>
      <c r="AM93">
        <v>1.5E-3</v>
      </c>
      <c r="AN93">
        <v>-1.5E-3</v>
      </c>
      <c r="AO93" s="16">
        <v>2.5000000000000001E-2</v>
      </c>
      <c r="AP93" s="16">
        <v>-2.5000000000000001E-2</v>
      </c>
      <c r="AQ93">
        <v>1.4999999999999999E-2</v>
      </c>
      <c r="AR93">
        <v>-1.4999999999999999E-2</v>
      </c>
      <c r="AS93">
        <v>1E-3</v>
      </c>
      <c r="AT93">
        <v>-1E-3</v>
      </c>
      <c r="AU93">
        <v>1E-3</v>
      </c>
      <c r="AV93">
        <v>-1E-3</v>
      </c>
      <c r="AW93" s="16">
        <v>1.4999999999999999E-2</v>
      </c>
      <c r="AX93" s="16">
        <v>-1.4999999999999999E-2</v>
      </c>
    </row>
    <row r="94" spans="6:50">
      <c r="F94" s="17" t="str">
        <f t="shared" si="13"/>
        <v/>
      </c>
      <c r="G94" s="4"/>
      <c r="H94" s="2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22" t="e">
        <f t="shared" si="14"/>
        <v>#N/A</v>
      </c>
      <c r="X94" s="21" t="e">
        <f t="shared" si="15"/>
        <v>#N/A</v>
      </c>
      <c r="Y94" s="21" t="e">
        <f t="shared" si="16"/>
        <v>#N/A</v>
      </c>
      <c r="Z94" s="11" t="e">
        <f t="shared" si="17"/>
        <v>#N/A</v>
      </c>
      <c r="AA94" s="22" t="e">
        <f t="shared" si="18"/>
        <v>#N/A</v>
      </c>
      <c r="AB94" s="21" t="e">
        <f t="shared" si="19"/>
        <v>#N/A</v>
      </c>
      <c r="AC94" s="21" t="e">
        <f t="shared" si="20"/>
        <v>#N/A</v>
      </c>
      <c r="AD94" s="11" t="e">
        <f t="shared" si="21"/>
        <v>#N/A</v>
      </c>
      <c r="AE94" s="22" t="e">
        <f t="shared" si="22"/>
        <v>#N/A</v>
      </c>
      <c r="AF94" s="21" t="e">
        <f t="shared" si="23"/>
        <v>#N/A</v>
      </c>
      <c r="AG94" s="21" t="e">
        <f t="shared" si="24"/>
        <v>#N/A</v>
      </c>
      <c r="AH94" s="11" t="e">
        <f t="shared" si="25"/>
        <v>#N/A</v>
      </c>
      <c r="AI94">
        <v>2.5000000000000001E-2</v>
      </c>
      <c r="AJ94">
        <v>-2.5000000000000001E-2</v>
      </c>
      <c r="AK94">
        <v>1.5E-3</v>
      </c>
      <c r="AL94">
        <v>-1.5E-3</v>
      </c>
      <c r="AM94">
        <v>1.5E-3</v>
      </c>
      <c r="AN94">
        <v>-1.5E-3</v>
      </c>
      <c r="AO94" s="16">
        <v>2.5000000000000001E-2</v>
      </c>
      <c r="AP94" s="16">
        <v>-2.5000000000000001E-2</v>
      </c>
      <c r="AQ94">
        <v>1.4999999999999999E-2</v>
      </c>
      <c r="AR94">
        <v>-1.4999999999999999E-2</v>
      </c>
      <c r="AS94">
        <v>1E-3</v>
      </c>
      <c r="AT94">
        <v>-1E-3</v>
      </c>
      <c r="AU94">
        <v>1E-3</v>
      </c>
      <c r="AV94">
        <v>-1E-3</v>
      </c>
      <c r="AW94" s="16">
        <v>1.4999999999999999E-2</v>
      </c>
      <c r="AX94" s="16">
        <v>-1.4999999999999999E-2</v>
      </c>
    </row>
    <row r="95" spans="6:50">
      <c r="F95" s="17" t="str">
        <f t="shared" si="13"/>
        <v/>
      </c>
      <c r="G95" s="4"/>
      <c r="H95" s="2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22" t="e">
        <f t="shared" si="14"/>
        <v>#N/A</v>
      </c>
      <c r="X95" s="21" t="e">
        <f t="shared" si="15"/>
        <v>#N/A</v>
      </c>
      <c r="Y95" s="21" t="e">
        <f t="shared" si="16"/>
        <v>#N/A</v>
      </c>
      <c r="Z95" s="11" t="e">
        <f t="shared" si="17"/>
        <v>#N/A</v>
      </c>
      <c r="AA95" s="22" t="e">
        <f t="shared" si="18"/>
        <v>#N/A</v>
      </c>
      <c r="AB95" s="21" t="e">
        <f t="shared" si="19"/>
        <v>#N/A</v>
      </c>
      <c r="AC95" s="21" t="e">
        <f t="shared" si="20"/>
        <v>#N/A</v>
      </c>
      <c r="AD95" s="11" t="e">
        <f t="shared" si="21"/>
        <v>#N/A</v>
      </c>
      <c r="AE95" s="22" t="e">
        <f t="shared" si="22"/>
        <v>#N/A</v>
      </c>
      <c r="AF95" s="21" t="e">
        <f t="shared" si="23"/>
        <v>#N/A</v>
      </c>
      <c r="AG95" s="21" t="e">
        <f t="shared" si="24"/>
        <v>#N/A</v>
      </c>
      <c r="AH95" s="11" t="e">
        <f t="shared" si="25"/>
        <v>#N/A</v>
      </c>
      <c r="AI95">
        <v>2.5000000000000001E-2</v>
      </c>
      <c r="AJ95">
        <v>-2.5000000000000001E-2</v>
      </c>
      <c r="AK95">
        <v>1.5E-3</v>
      </c>
      <c r="AL95">
        <v>-1.5E-3</v>
      </c>
      <c r="AM95">
        <v>1.5E-3</v>
      </c>
      <c r="AN95">
        <v>-1.5E-3</v>
      </c>
      <c r="AO95" s="16">
        <v>2.5000000000000001E-2</v>
      </c>
      <c r="AP95" s="16">
        <v>-2.5000000000000001E-2</v>
      </c>
      <c r="AQ95">
        <v>1.4999999999999999E-2</v>
      </c>
      <c r="AR95">
        <v>-1.4999999999999999E-2</v>
      </c>
      <c r="AS95">
        <v>1E-3</v>
      </c>
      <c r="AT95">
        <v>-1E-3</v>
      </c>
      <c r="AU95">
        <v>1E-3</v>
      </c>
      <c r="AV95">
        <v>-1E-3</v>
      </c>
      <c r="AW95" s="16">
        <v>1.4999999999999999E-2</v>
      </c>
      <c r="AX95" s="16">
        <v>-1.4999999999999999E-2</v>
      </c>
    </row>
    <row r="96" spans="6:50">
      <c r="F96" s="17" t="str">
        <f t="shared" si="13"/>
        <v/>
      </c>
      <c r="G96" s="4"/>
      <c r="H96" s="2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22" t="e">
        <f t="shared" si="14"/>
        <v>#N/A</v>
      </c>
      <c r="X96" s="21" t="e">
        <f t="shared" si="15"/>
        <v>#N/A</v>
      </c>
      <c r="Y96" s="21" t="e">
        <f t="shared" si="16"/>
        <v>#N/A</v>
      </c>
      <c r="Z96" s="11" t="e">
        <f t="shared" si="17"/>
        <v>#N/A</v>
      </c>
      <c r="AA96" s="22" t="e">
        <f t="shared" si="18"/>
        <v>#N/A</v>
      </c>
      <c r="AB96" s="21" t="e">
        <f t="shared" si="19"/>
        <v>#N/A</v>
      </c>
      <c r="AC96" s="21" t="e">
        <f t="shared" si="20"/>
        <v>#N/A</v>
      </c>
      <c r="AD96" s="11" t="e">
        <f t="shared" si="21"/>
        <v>#N/A</v>
      </c>
      <c r="AE96" s="22" t="e">
        <f t="shared" si="22"/>
        <v>#N/A</v>
      </c>
      <c r="AF96" s="21" t="e">
        <f t="shared" si="23"/>
        <v>#N/A</v>
      </c>
      <c r="AG96" s="21" t="e">
        <f t="shared" si="24"/>
        <v>#N/A</v>
      </c>
      <c r="AH96" s="11" t="e">
        <f t="shared" si="25"/>
        <v>#N/A</v>
      </c>
      <c r="AI96">
        <v>2.5000000000000001E-2</v>
      </c>
      <c r="AJ96">
        <v>-2.5000000000000001E-2</v>
      </c>
      <c r="AK96">
        <v>1.5E-3</v>
      </c>
      <c r="AL96">
        <v>-1.5E-3</v>
      </c>
      <c r="AM96">
        <v>1.5E-3</v>
      </c>
      <c r="AN96">
        <v>-1.5E-3</v>
      </c>
      <c r="AO96" s="16">
        <v>2.5000000000000001E-2</v>
      </c>
      <c r="AP96" s="16">
        <v>-2.5000000000000001E-2</v>
      </c>
      <c r="AQ96">
        <v>1.4999999999999999E-2</v>
      </c>
      <c r="AR96">
        <v>-1.4999999999999999E-2</v>
      </c>
      <c r="AS96">
        <v>1E-3</v>
      </c>
      <c r="AT96">
        <v>-1E-3</v>
      </c>
      <c r="AU96">
        <v>1E-3</v>
      </c>
      <c r="AV96">
        <v>-1E-3</v>
      </c>
      <c r="AW96" s="16">
        <v>1.4999999999999999E-2</v>
      </c>
      <c r="AX96" s="16">
        <v>-1.4999999999999999E-2</v>
      </c>
    </row>
    <row r="97" spans="6:50">
      <c r="F97" s="17" t="str">
        <f t="shared" si="13"/>
        <v/>
      </c>
      <c r="G97" s="4"/>
      <c r="H97" s="2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22" t="e">
        <f t="shared" si="14"/>
        <v>#N/A</v>
      </c>
      <c r="X97" s="21" t="e">
        <f t="shared" si="15"/>
        <v>#N/A</v>
      </c>
      <c r="Y97" s="21" t="e">
        <f t="shared" si="16"/>
        <v>#N/A</v>
      </c>
      <c r="Z97" s="11" t="e">
        <f t="shared" si="17"/>
        <v>#N/A</v>
      </c>
      <c r="AA97" s="22" t="e">
        <f t="shared" si="18"/>
        <v>#N/A</v>
      </c>
      <c r="AB97" s="21" t="e">
        <f t="shared" si="19"/>
        <v>#N/A</v>
      </c>
      <c r="AC97" s="21" t="e">
        <f t="shared" si="20"/>
        <v>#N/A</v>
      </c>
      <c r="AD97" s="11" t="e">
        <f t="shared" si="21"/>
        <v>#N/A</v>
      </c>
      <c r="AE97" s="22" t="e">
        <f t="shared" si="22"/>
        <v>#N/A</v>
      </c>
      <c r="AF97" s="21" t="e">
        <f t="shared" si="23"/>
        <v>#N/A</v>
      </c>
      <c r="AG97" s="21" t="e">
        <f t="shared" si="24"/>
        <v>#N/A</v>
      </c>
      <c r="AH97" s="11" t="e">
        <f t="shared" si="25"/>
        <v>#N/A</v>
      </c>
      <c r="AI97">
        <v>2.5000000000000001E-2</v>
      </c>
      <c r="AJ97">
        <v>-2.5000000000000001E-2</v>
      </c>
      <c r="AK97">
        <v>1.5E-3</v>
      </c>
      <c r="AL97">
        <v>-1.5E-3</v>
      </c>
      <c r="AM97">
        <v>1.5E-3</v>
      </c>
      <c r="AN97">
        <v>-1.5E-3</v>
      </c>
      <c r="AO97" s="16">
        <v>2.5000000000000001E-2</v>
      </c>
      <c r="AP97" s="16">
        <v>-2.5000000000000001E-2</v>
      </c>
      <c r="AQ97">
        <v>1.4999999999999999E-2</v>
      </c>
      <c r="AR97">
        <v>-1.4999999999999999E-2</v>
      </c>
      <c r="AS97">
        <v>1E-3</v>
      </c>
      <c r="AT97">
        <v>-1E-3</v>
      </c>
      <c r="AU97">
        <v>1E-3</v>
      </c>
      <c r="AV97">
        <v>-1E-3</v>
      </c>
      <c r="AW97" s="16">
        <v>1.4999999999999999E-2</v>
      </c>
      <c r="AX97" s="16">
        <v>-1.4999999999999999E-2</v>
      </c>
    </row>
    <row r="98" spans="6:50">
      <c r="F98" s="17" t="str">
        <f t="shared" si="13"/>
        <v/>
      </c>
      <c r="G98" s="4"/>
      <c r="H98" s="2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22" t="e">
        <f t="shared" si="14"/>
        <v>#N/A</v>
      </c>
      <c r="X98" s="21" t="e">
        <f t="shared" si="15"/>
        <v>#N/A</v>
      </c>
      <c r="Y98" s="21" t="e">
        <f t="shared" si="16"/>
        <v>#N/A</v>
      </c>
      <c r="Z98" s="11" t="e">
        <f t="shared" si="17"/>
        <v>#N/A</v>
      </c>
      <c r="AA98" s="22" t="e">
        <f t="shared" si="18"/>
        <v>#N/A</v>
      </c>
      <c r="AB98" s="21" t="e">
        <f t="shared" si="19"/>
        <v>#N/A</v>
      </c>
      <c r="AC98" s="21" t="e">
        <f t="shared" si="20"/>
        <v>#N/A</v>
      </c>
      <c r="AD98" s="11" t="e">
        <f t="shared" si="21"/>
        <v>#N/A</v>
      </c>
      <c r="AE98" s="22" t="e">
        <f t="shared" si="22"/>
        <v>#N/A</v>
      </c>
      <c r="AF98" s="21" t="e">
        <f t="shared" si="23"/>
        <v>#N/A</v>
      </c>
      <c r="AG98" s="21" t="e">
        <f t="shared" si="24"/>
        <v>#N/A</v>
      </c>
      <c r="AH98" s="11" t="e">
        <f t="shared" si="25"/>
        <v>#N/A</v>
      </c>
      <c r="AI98">
        <v>2.5000000000000001E-2</v>
      </c>
      <c r="AJ98">
        <v>-2.5000000000000001E-2</v>
      </c>
      <c r="AK98">
        <v>1.5E-3</v>
      </c>
      <c r="AL98">
        <v>-1.5E-3</v>
      </c>
      <c r="AM98">
        <v>1.5E-3</v>
      </c>
      <c r="AN98">
        <v>-1.5E-3</v>
      </c>
      <c r="AO98" s="16">
        <v>2.5000000000000001E-2</v>
      </c>
      <c r="AP98" s="16">
        <v>-2.5000000000000001E-2</v>
      </c>
      <c r="AQ98">
        <v>1.4999999999999999E-2</v>
      </c>
      <c r="AR98">
        <v>-1.4999999999999999E-2</v>
      </c>
      <c r="AS98">
        <v>1E-3</v>
      </c>
      <c r="AT98">
        <v>-1E-3</v>
      </c>
      <c r="AU98">
        <v>1E-3</v>
      </c>
      <c r="AV98">
        <v>-1E-3</v>
      </c>
      <c r="AW98" s="16">
        <v>1.4999999999999999E-2</v>
      </c>
      <c r="AX98" s="16">
        <v>-1.4999999999999999E-2</v>
      </c>
    </row>
    <row r="99" spans="6:50">
      <c r="F99" s="17" t="str">
        <f t="shared" si="13"/>
        <v/>
      </c>
      <c r="G99" s="4"/>
      <c r="H99" s="2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22" t="e">
        <f t="shared" si="14"/>
        <v>#N/A</v>
      </c>
      <c r="X99" s="21" t="e">
        <f t="shared" si="15"/>
        <v>#N/A</v>
      </c>
      <c r="Y99" s="21" t="e">
        <f t="shared" si="16"/>
        <v>#N/A</v>
      </c>
      <c r="Z99" s="11" t="e">
        <f t="shared" si="17"/>
        <v>#N/A</v>
      </c>
      <c r="AA99" s="22" t="e">
        <f t="shared" si="18"/>
        <v>#N/A</v>
      </c>
      <c r="AB99" s="21" t="e">
        <f t="shared" si="19"/>
        <v>#N/A</v>
      </c>
      <c r="AC99" s="21" t="e">
        <f t="shared" si="20"/>
        <v>#N/A</v>
      </c>
      <c r="AD99" s="11" t="e">
        <f t="shared" si="21"/>
        <v>#N/A</v>
      </c>
      <c r="AE99" s="22" t="e">
        <f t="shared" si="22"/>
        <v>#N/A</v>
      </c>
      <c r="AF99" s="21" t="e">
        <f t="shared" si="23"/>
        <v>#N/A</v>
      </c>
      <c r="AG99" s="21" t="e">
        <f t="shared" si="24"/>
        <v>#N/A</v>
      </c>
      <c r="AH99" s="11" t="e">
        <f t="shared" si="25"/>
        <v>#N/A</v>
      </c>
      <c r="AI99">
        <v>2.5000000000000001E-2</v>
      </c>
      <c r="AJ99">
        <v>-2.5000000000000001E-2</v>
      </c>
      <c r="AK99">
        <v>1.5E-3</v>
      </c>
      <c r="AL99">
        <v>-1.5E-3</v>
      </c>
      <c r="AM99">
        <v>1.5E-3</v>
      </c>
      <c r="AN99">
        <v>-1.5E-3</v>
      </c>
      <c r="AO99" s="16">
        <v>2.5000000000000001E-2</v>
      </c>
      <c r="AP99" s="16">
        <v>-2.5000000000000001E-2</v>
      </c>
      <c r="AQ99">
        <v>1.4999999999999999E-2</v>
      </c>
      <c r="AR99">
        <v>-1.4999999999999999E-2</v>
      </c>
      <c r="AS99">
        <v>1E-3</v>
      </c>
      <c r="AT99">
        <v>-1E-3</v>
      </c>
      <c r="AU99">
        <v>1E-3</v>
      </c>
      <c r="AV99">
        <v>-1E-3</v>
      </c>
      <c r="AW99" s="16">
        <v>1.4999999999999999E-2</v>
      </c>
      <c r="AX99" s="16">
        <v>-1.4999999999999999E-2</v>
      </c>
    </row>
    <row r="100" spans="6:50">
      <c r="F100" s="17" t="str">
        <f t="shared" si="13"/>
        <v/>
      </c>
      <c r="G100" s="4"/>
      <c r="H100" s="2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22" t="e">
        <f t="shared" si="14"/>
        <v>#N/A</v>
      </c>
      <c r="X100" s="21" t="e">
        <f t="shared" si="15"/>
        <v>#N/A</v>
      </c>
      <c r="Y100" s="21" t="e">
        <f t="shared" si="16"/>
        <v>#N/A</v>
      </c>
      <c r="Z100" s="11" t="e">
        <f t="shared" si="17"/>
        <v>#N/A</v>
      </c>
      <c r="AA100" s="22" t="e">
        <f t="shared" si="18"/>
        <v>#N/A</v>
      </c>
      <c r="AB100" s="21" t="e">
        <f t="shared" si="19"/>
        <v>#N/A</v>
      </c>
      <c r="AC100" s="21" t="e">
        <f t="shared" si="20"/>
        <v>#N/A</v>
      </c>
      <c r="AD100" s="11" t="e">
        <f t="shared" si="21"/>
        <v>#N/A</v>
      </c>
      <c r="AE100" s="22" t="e">
        <f t="shared" si="22"/>
        <v>#N/A</v>
      </c>
      <c r="AF100" s="21" t="e">
        <f t="shared" si="23"/>
        <v>#N/A</v>
      </c>
      <c r="AG100" s="21" t="e">
        <f t="shared" si="24"/>
        <v>#N/A</v>
      </c>
      <c r="AH100" s="11" t="e">
        <f t="shared" si="25"/>
        <v>#N/A</v>
      </c>
      <c r="AI100">
        <v>2.5000000000000001E-2</v>
      </c>
      <c r="AJ100">
        <v>-2.5000000000000001E-2</v>
      </c>
      <c r="AK100">
        <v>1.5E-3</v>
      </c>
      <c r="AL100">
        <v>-1.5E-3</v>
      </c>
      <c r="AM100">
        <v>1.5E-3</v>
      </c>
      <c r="AN100">
        <v>-1.5E-3</v>
      </c>
      <c r="AO100" s="16">
        <v>2.5000000000000001E-2</v>
      </c>
      <c r="AP100" s="16">
        <v>-2.5000000000000001E-2</v>
      </c>
      <c r="AQ100">
        <v>1.4999999999999999E-2</v>
      </c>
      <c r="AR100">
        <v>-1.4999999999999999E-2</v>
      </c>
      <c r="AS100">
        <v>1E-3</v>
      </c>
      <c r="AT100">
        <v>-1E-3</v>
      </c>
      <c r="AU100">
        <v>1E-3</v>
      </c>
      <c r="AV100">
        <v>-1E-3</v>
      </c>
      <c r="AW100" s="16">
        <v>1.4999999999999999E-2</v>
      </c>
      <c r="AX100" s="16">
        <v>-1.4999999999999999E-2</v>
      </c>
    </row>
  </sheetData>
  <mergeCells count="6">
    <mergeCell ref="AE4:AH4"/>
    <mergeCell ref="H4:L4"/>
    <mergeCell ref="M4:Q4"/>
    <mergeCell ref="R4:V4"/>
    <mergeCell ref="W4:Z4"/>
    <mergeCell ref="AA4:AD4"/>
  </mergeCells>
  <phoneticPr fontId="1"/>
  <conditionalFormatting sqref="W6:AH100">
    <cfRule type="containsErrors" dxfId="2" priority="1">
      <formula>ISERROR(W6)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S100"/>
  <sheetViews>
    <sheetView showGridLines="0" topLeftCell="K1" zoomScale="70" zoomScaleNormal="70" workbookViewId="0">
      <pane ySplit="5" topLeftCell="A6" activePane="bottomLeft" state="frozen"/>
      <selection pane="bottomLeft" activeCell="BA4" sqref="BA4:BI5"/>
    </sheetView>
  </sheetViews>
  <sheetFormatPr defaultRowHeight="13.5"/>
  <cols>
    <col min="1" max="5" width="9" style="18"/>
    <col min="6" max="6" width="16.125" style="18" bestFit="1" customWidth="1"/>
    <col min="7" max="7" width="20.625" style="19" bestFit="1" customWidth="1"/>
    <col min="8" max="8" width="11.25" style="26" customWidth="1"/>
    <col min="9" max="9" width="11.25" style="20" customWidth="1"/>
    <col min="10" max="10" width="9.75" style="20" customWidth="1"/>
    <col min="11" max="11" width="9.25" style="20" customWidth="1"/>
    <col min="12" max="13" width="9.75" style="20" customWidth="1"/>
    <col min="14" max="14" width="10.125" style="20" customWidth="1"/>
    <col min="15" max="15" width="10" style="20" customWidth="1"/>
    <col min="16" max="22" width="9" style="20"/>
    <col min="23" max="16384" width="9" style="18"/>
  </cols>
  <sheetData>
    <row r="1" spans="1:279" customFormat="1">
      <c r="G1" s="7"/>
      <c r="H1" s="23"/>
      <c r="K1" s="1"/>
      <c r="L1" s="1"/>
      <c r="M1" s="27"/>
      <c r="R1" s="8"/>
    </row>
    <row r="2" spans="1:279" customFormat="1">
      <c r="G2" s="10"/>
      <c r="H2" s="24"/>
      <c r="I2" s="18"/>
      <c r="J2" s="10"/>
      <c r="K2" s="1"/>
      <c r="L2" s="1"/>
      <c r="M2" s="27"/>
      <c r="R2" s="8"/>
    </row>
    <row r="3" spans="1:279" customFormat="1">
      <c r="G3" s="10"/>
      <c r="H3" s="24"/>
      <c r="I3" s="13">
        <v>3.1103700000000001</v>
      </c>
      <c r="J3" s="13">
        <v>0.29050100000000001</v>
      </c>
      <c r="K3" s="14">
        <v>0.28018300000000002</v>
      </c>
      <c r="L3" s="14">
        <v>27.681999999999999</v>
      </c>
      <c r="M3" s="27"/>
      <c r="N3" s="13">
        <v>3.1324200000000002</v>
      </c>
      <c r="O3" s="13">
        <v>0.28729700000000002</v>
      </c>
      <c r="P3" s="14">
        <v>0.27366200000000002</v>
      </c>
      <c r="Q3" s="14">
        <v>27.869</v>
      </c>
      <c r="R3" s="27"/>
      <c r="S3" s="13">
        <v>3.1106600000000002</v>
      </c>
      <c r="T3" s="13">
        <v>0.28251900000000002</v>
      </c>
      <c r="U3" s="14">
        <v>0.26605899999999999</v>
      </c>
      <c r="V3" s="14">
        <v>27.683</v>
      </c>
    </row>
    <row r="4" spans="1:279" customFormat="1">
      <c r="A4" t="s">
        <v>15</v>
      </c>
      <c r="G4" s="3"/>
      <c r="H4" s="34" t="s">
        <v>5</v>
      </c>
      <c r="I4" s="34"/>
      <c r="J4" s="34"/>
      <c r="K4" s="34"/>
      <c r="L4" s="34"/>
      <c r="M4" s="35" t="s">
        <v>6</v>
      </c>
      <c r="N4" s="36"/>
      <c r="O4" s="36"/>
      <c r="P4" s="36"/>
      <c r="Q4" s="37"/>
      <c r="R4" s="35" t="s">
        <v>7</v>
      </c>
      <c r="S4" s="36"/>
      <c r="T4" s="36"/>
      <c r="U4" s="36"/>
      <c r="V4" s="37"/>
      <c r="W4" s="34" t="s">
        <v>5</v>
      </c>
      <c r="X4" s="34"/>
      <c r="Y4" s="34"/>
      <c r="Z4" s="34"/>
      <c r="AA4" s="34" t="s">
        <v>6</v>
      </c>
      <c r="AB4" s="34"/>
      <c r="AC4" s="34"/>
      <c r="AD4" s="34"/>
      <c r="AE4" s="34" t="s">
        <v>7</v>
      </c>
      <c r="AF4" s="34"/>
      <c r="AG4" s="34"/>
      <c r="AH4" s="34"/>
      <c r="AI4" t="s">
        <v>12</v>
      </c>
      <c r="AJ4" t="s">
        <v>12</v>
      </c>
      <c r="AK4" t="s">
        <v>12</v>
      </c>
      <c r="AL4" t="s">
        <v>12</v>
      </c>
      <c r="AM4" t="s">
        <v>12</v>
      </c>
      <c r="AN4" t="s">
        <v>12</v>
      </c>
      <c r="AO4" t="s">
        <v>12</v>
      </c>
      <c r="AP4" t="s">
        <v>12</v>
      </c>
      <c r="AQ4" t="s">
        <v>13</v>
      </c>
      <c r="AR4" t="s">
        <v>13</v>
      </c>
      <c r="AS4" t="s">
        <v>13</v>
      </c>
      <c r="AT4" t="s">
        <v>13</v>
      </c>
      <c r="AU4" t="s">
        <v>13</v>
      </c>
      <c r="AV4" t="s">
        <v>13</v>
      </c>
      <c r="AW4" t="s">
        <v>13</v>
      </c>
      <c r="AX4" t="s">
        <v>13</v>
      </c>
      <c r="BA4" t="s">
        <v>51</v>
      </c>
      <c r="BF4" t="s">
        <v>52</v>
      </c>
    </row>
    <row r="5" spans="1:279" customFormat="1">
      <c r="A5" s="2"/>
      <c r="B5" s="2" t="s">
        <v>1</v>
      </c>
      <c r="C5" s="2" t="s">
        <v>2</v>
      </c>
      <c r="D5" s="2" t="s">
        <v>3</v>
      </c>
      <c r="E5" s="2" t="s">
        <v>4</v>
      </c>
      <c r="G5" s="2" t="s">
        <v>0</v>
      </c>
      <c r="H5" s="5" t="s">
        <v>14</v>
      </c>
      <c r="I5" s="2" t="s">
        <v>1</v>
      </c>
      <c r="J5" s="2" t="s">
        <v>2</v>
      </c>
      <c r="K5" s="2" t="s">
        <v>3</v>
      </c>
      <c r="L5" s="2" t="s">
        <v>4</v>
      </c>
      <c r="M5" s="5" t="s">
        <v>14</v>
      </c>
      <c r="N5" s="2" t="s">
        <v>1</v>
      </c>
      <c r="O5" s="2" t="s">
        <v>2</v>
      </c>
      <c r="P5" s="2" t="s">
        <v>3</v>
      </c>
      <c r="Q5" s="2" t="s">
        <v>4</v>
      </c>
      <c r="R5" s="5" t="s">
        <v>14</v>
      </c>
      <c r="S5" s="2" t="s">
        <v>1</v>
      </c>
      <c r="T5" s="2" t="s">
        <v>2</v>
      </c>
      <c r="U5" s="2" t="s">
        <v>3</v>
      </c>
      <c r="V5" s="2" t="s">
        <v>4</v>
      </c>
      <c r="W5" s="2" t="s">
        <v>1</v>
      </c>
      <c r="X5" s="2" t="s">
        <v>2</v>
      </c>
      <c r="Y5" s="2" t="s">
        <v>3</v>
      </c>
      <c r="Z5" s="2" t="s">
        <v>4</v>
      </c>
      <c r="AA5" s="2" t="s">
        <v>1</v>
      </c>
      <c r="AB5" s="2" t="s">
        <v>2</v>
      </c>
      <c r="AC5" s="2" t="s">
        <v>3</v>
      </c>
      <c r="AD5" s="2" t="s">
        <v>4</v>
      </c>
      <c r="AE5" s="2" t="s">
        <v>1</v>
      </c>
      <c r="AF5" s="2" t="s">
        <v>2</v>
      </c>
      <c r="AG5" s="2" t="s">
        <v>3</v>
      </c>
      <c r="AH5" s="2" t="s">
        <v>4</v>
      </c>
      <c r="AI5" s="15" t="s">
        <v>1</v>
      </c>
      <c r="AK5" t="s">
        <v>2</v>
      </c>
      <c r="AM5" t="s">
        <v>3</v>
      </c>
      <c r="AO5" t="s">
        <v>4</v>
      </c>
      <c r="AQ5" s="15" t="s">
        <v>1</v>
      </c>
      <c r="AS5" t="s">
        <v>2</v>
      </c>
      <c r="AU5" t="s">
        <v>3</v>
      </c>
      <c r="AW5" t="s">
        <v>4</v>
      </c>
      <c r="BA5" t="s">
        <v>47</v>
      </c>
      <c r="BB5" t="s">
        <v>48</v>
      </c>
      <c r="BC5" t="s">
        <v>49</v>
      </c>
      <c r="BD5" t="s">
        <v>50</v>
      </c>
      <c r="BF5" t="s">
        <v>47</v>
      </c>
      <c r="BG5" t="s">
        <v>48</v>
      </c>
      <c r="BH5" t="s">
        <v>49</v>
      </c>
      <c r="BI5" t="s">
        <v>50</v>
      </c>
    </row>
    <row r="6" spans="1:279" customFormat="1">
      <c r="A6" s="2">
        <v>1</v>
      </c>
      <c r="B6" s="2">
        <v>2.86103</v>
      </c>
      <c r="C6" s="2">
        <v>0.34194799999999997</v>
      </c>
      <c r="D6" s="2">
        <v>0.35478799999999999</v>
      </c>
      <c r="E6" s="2">
        <v>34.276381909999998</v>
      </c>
      <c r="F6" s="17">
        <f>IF(G6="","",G6)</f>
        <v>44243.60701388889</v>
      </c>
      <c r="G6" s="9">
        <v>44243.60701388889</v>
      </c>
      <c r="H6" s="25">
        <v>1</v>
      </c>
      <c r="I6" s="12">
        <v>2.84</v>
      </c>
      <c r="J6" s="5">
        <v>0.34040999999999999</v>
      </c>
      <c r="K6" s="5">
        <v>0.35544999999999999</v>
      </c>
      <c r="L6" s="5">
        <v>35.651000000000003</v>
      </c>
      <c r="M6" s="5">
        <v>2</v>
      </c>
      <c r="N6" s="5">
        <v>2.8370000000000002</v>
      </c>
      <c r="O6" s="5">
        <v>0.31633</v>
      </c>
      <c r="P6" s="5">
        <v>0.33304</v>
      </c>
      <c r="Q6" s="5">
        <v>35.905999999999999</v>
      </c>
      <c r="R6" s="5">
        <v>3</v>
      </c>
      <c r="S6" s="5">
        <v>2.8769999999999998</v>
      </c>
      <c r="T6" s="5">
        <v>0.30907000000000001</v>
      </c>
      <c r="U6" s="5">
        <v>0.32413999999999998</v>
      </c>
      <c r="V6" s="5">
        <v>35.856999999999999</v>
      </c>
      <c r="W6" s="22">
        <f>IF(H6="",NA(),I6-VLOOKUP(H6,$A$6:$E$35,2,FALSE))</f>
        <v>-2.1030000000000104E-2</v>
      </c>
      <c r="X6" s="21">
        <f>IF(H6="",NA(),J6-VLOOKUP(H6,$A$6:$E$35,3,FALSE))</f>
        <v>-1.5379999999999838E-3</v>
      </c>
      <c r="Y6" s="21">
        <f>IF(H6="",NA(),K6-VLOOKUP(H6,$A$6:$E$35,4,FALSE))</f>
        <v>6.6199999999999593E-4</v>
      </c>
      <c r="Z6" s="11">
        <f>IF(H6="",NA(),L6/VLOOKUP(H6,$A$6:$E$35,5,FALSE)-1)</f>
        <v>4.010394368954584E-2</v>
      </c>
      <c r="AA6" s="22">
        <f>IF(M6="",NA(),N6-VLOOKUP(M6,$A$6:$E$35,2,FALSE))</f>
        <v>-4.1719999999999757E-2</v>
      </c>
      <c r="AB6" s="21">
        <f>IF(M6="",NA(),O6-VLOOKUP(M6,$A$6:$E$35,3,FALSE))</f>
        <v>-2.5463999999999987E-2</v>
      </c>
      <c r="AC6" s="21">
        <f>IF(M6="",NA(),P6-VLOOKUP(M6,$A$6:$E$35,4,FALSE))</f>
        <v>-2.2243999999999986E-2</v>
      </c>
      <c r="AD6" s="11">
        <f>IF(M6="",NA(),Q6/VLOOKUP(M6,$A$6:$E$35,5,FALSE)-1)</f>
        <v>4.1852306575394849E-2</v>
      </c>
      <c r="AE6" s="22">
        <f>IF(R6="",NA(),S6-VLOOKUP(R6,$A$6:$E$35,2,FALSE))</f>
        <v>-2.6700000000001722E-3</v>
      </c>
      <c r="AF6" s="21">
        <f>IF(R6="",NA(),T6-VLOOKUP(R6,$A$6:$E$35,3,FALSE))</f>
        <v>-3.2013000000000014E-2</v>
      </c>
      <c r="AG6" s="21">
        <f>IF(R6="",NA(),U6-VLOOKUP(R6,$A$6:$E$35,4,FALSE))</f>
        <v>-3.0292000000000041E-2</v>
      </c>
      <c r="AH6" s="11">
        <f>IF(R6="",NA(),V6/VLOOKUP(R6,$A$6:$E$35,5,FALSE)-1)</f>
        <v>4.2622708855061475E-2</v>
      </c>
      <c r="AI6">
        <v>2.5000000000000001E-2</v>
      </c>
      <c r="AJ6">
        <v>-2.5000000000000001E-2</v>
      </c>
      <c r="AK6">
        <v>1.5E-3</v>
      </c>
      <c r="AL6">
        <v>-1.5E-3</v>
      </c>
      <c r="AM6">
        <v>1.5E-3</v>
      </c>
      <c r="AN6">
        <v>-1.5E-3</v>
      </c>
      <c r="AO6" s="16">
        <v>2.5000000000000001E-2</v>
      </c>
      <c r="AP6" s="16">
        <v>-2.5000000000000001E-2</v>
      </c>
      <c r="AQ6">
        <v>1.4999999999999999E-2</v>
      </c>
      <c r="AR6">
        <v>-1.4999999999999999E-2</v>
      </c>
      <c r="AS6">
        <v>1E-3</v>
      </c>
      <c r="AT6">
        <v>-1E-3</v>
      </c>
      <c r="AU6">
        <v>1E-3</v>
      </c>
      <c r="AV6">
        <v>-1E-3</v>
      </c>
      <c r="AW6" s="16">
        <v>1.4999999999999999E-2</v>
      </c>
      <c r="AX6" s="16">
        <v>-1.4999999999999999E-2</v>
      </c>
    </row>
    <row r="7" spans="1:279" customFormat="1">
      <c r="A7" s="2">
        <v>2</v>
      </c>
      <c r="B7" s="2">
        <v>2.8787199999999999</v>
      </c>
      <c r="C7" s="2">
        <v>0.34179399999999999</v>
      </c>
      <c r="D7" s="2">
        <v>0.35528399999999999</v>
      </c>
      <c r="E7" s="2">
        <v>34.463618089999997</v>
      </c>
      <c r="F7" s="17">
        <f t="shared" ref="F7:F70" si="0">IF(G7="","",G7)</f>
        <v>44244.572893518518</v>
      </c>
      <c r="G7" s="9">
        <v>44244.572893518518</v>
      </c>
      <c r="H7" s="25">
        <v>1</v>
      </c>
      <c r="I7" s="5">
        <v>2.839</v>
      </c>
      <c r="J7" s="5">
        <v>0.34033999999999998</v>
      </c>
      <c r="K7" s="5">
        <v>0.35537999999999997</v>
      </c>
      <c r="L7" s="5">
        <v>35.575000000000003</v>
      </c>
      <c r="M7" s="5">
        <v>2</v>
      </c>
      <c r="N7" s="5">
        <v>2.8359999999999999</v>
      </c>
      <c r="O7" s="5">
        <v>0.31630000000000003</v>
      </c>
      <c r="P7" s="5">
        <v>0.33299000000000001</v>
      </c>
      <c r="Q7" s="5">
        <v>35.863999999999997</v>
      </c>
      <c r="R7" s="5">
        <v>3</v>
      </c>
      <c r="S7" s="5">
        <v>2.8769999999999998</v>
      </c>
      <c r="T7" s="5">
        <v>0.30892999999999998</v>
      </c>
      <c r="U7" s="5">
        <v>0.32407999999999998</v>
      </c>
      <c r="V7" s="5">
        <v>35.792000000000002</v>
      </c>
      <c r="W7" s="22">
        <f t="shared" ref="W7:W70" si="1">IF(H7="",NA(),I7-VLOOKUP(H7,$A$6:$E$35,2,FALSE))</f>
        <v>-2.2029999999999994E-2</v>
      </c>
      <c r="X7" s="21">
        <f t="shared" ref="X7:X70" si="2">IF(H7="",NA(),J7-VLOOKUP(H7,$A$6:$E$35,3,FALSE))</f>
        <v>-1.6079999999999983E-3</v>
      </c>
      <c r="Y7" s="21">
        <f t="shared" ref="Y7:Y70" si="3">IF(H7="",NA(),K7-VLOOKUP(H7,$A$6:$E$35,4,FALSE))</f>
        <v>5.9199999999998143E-4</v>
      </c>
      <c r="Z7" s="11">
        <f t="shared" ref="Z7:Z70" si="4">IF(H7="",NA(),L7/VLOOKUP(H7,$A$6:$E$35,5,FALSE)-1)</f>
        <v>3.7886673494588852E-2</v>
      </c>
      <c r="AA7" s="22">
        <f t="shared" ref="AA7:AA70" si="5">IF(M7="",NA(),N7-VLOOKUP(M7,$A$6:$E$35,2,FALSE))</f>
        <v>-4.2720000000000091E-2</v>
      </c>
      <c r="AB7" s="21">
        <f t="shared" ref="AB7:AB70" si="6">IF(M7="",NA(),O7-VLOOKUP(M7,$A$6:$E$35,3,FALSE))</f>
        <v>-2.5493999999999961E-2</v>
      </c>
      <c r="AC7" s="21">
        <f t="shared" ref="AC7:AC70" si="7">IF(M7="",NA(),P7-VLOOKUP(M7,$A$6:$E$35,4,FALSE))</f>
        <v>-2.229399999999998E-2</v>
      </c>
      <c r="AD7" s="11">
        <f t="shared" ref="AD7:AD70" si="8">IF(M7="",NA(),Q7/VLOOKUP(M7,$A$6:$E$35,5,FALSE)-1)</f>
        <v>4.0633630118084962E-2</v>
      </c>
      <c r="AE7" s="22">
        <f t="shared" ref="AE7:AE70" si="9">IF(R7="",NA(),S7-VLOOKUP(R7,$A$6:$E$35,2,FALSE))</f>
        <v>-2.6700000000001722E-3</v>
      </c>
      <c r="AF7" s="21">
        <f t="shared" ref="AF7:AF70" si="10">IF(R7="",NA(),T7-VLOOKUP(R7,$A$6:$E$35,3,FALSE))</f>
        <v>-3.2153000000000043E-2</v>
      </c>
      <c r="AG7" s="21">
        <f t="shared" ref="AG7:AG70" si="11">IF(R7="",NA(),U7-VLOOKUP(R7,$A$6:$E$35,4,FALSE))</f>
        <v>-3.0352000000000046E-2</v>
      </c>
      <c r="AH7" s="11">
        <f t="shared" ref="AH7:AH70" si="12">IF(R7="",NA(),V7/VLOOKUP(R7,$A$6:$E$35,5,FALSE)-1)</f>
        <v>4.0732688048089827E-2</v>
      </c>
      <c r="AI7">
        <v>2.5000000000000001E-2</v>
      </c>
      <c r="AJ7">
        <v>-2.5000000000000001E-2</v>
      </c>
      <c r="AK7">
        <v>1.5E-3</v>
      </c>
      <c r="AL7">
        <v>-1.5E-3</v>
      </c>
      <c r="AM7">
        <v>1.5E-3</v>
      </c>
      <c r="AN7">
        <v>-1.5E-3</v>
      </c>
      <c r="AO7" s="16">
        <v>2.5000000000000001E-2</v>
      </c>
      <c r="AP7" s="16">
        <v>-2.5000000000000001E-2</v>
      </c>
      <c r="AQ7">
        <v>1.4999999999999999E-2</v>
      </c>
      <c r="AR7">
        <v>-1.4999999999999999E-2</v>
      </c>
      <c r="AS7">
        <v>1E-3</v>
      </c>
      <c r="AT7">
        <v>-1E-3</v>
      </c>
      <c r="AU7">
        <v>1E-3</v>
      </c>
      <c r="AV7">
        <v>-1E-3</v>
      </c>
      <c r="AW7" s="16">
        <v>1.4999999999999999E-2</v>
      </c>
      <c r="AX7" s="16">
        <v>-1.4999999999999999E-2</v>
      </c>
    </row>
    <row r="8" spans="1:279" customFormat="1">
      <c r="A8" s="2">
        <v>3</v>
      </c>
      <c r="B8" s="2">
        <v>2.87967</v>
      </c>
      <c r="C8" s="2">
        <v>0.34108300000000003</v>
      </c>
      <c r="D8" s="2">
        <v>0.35443200000000002</v>
      </c>
      <c r="E8" s="2">
        <v>34.391155779999998</v>
      </c>
      <c r="F8" s="17">
        <f t="shared" si="0"/>
        <v>44245.723599537036</v>
      </c>
      <c r="G8" s="9">
        <v>44245.723599537036</v>
      </c>
      <c r="H8" s="25">
        <v>1</v>
      </c>
      <c r="I8" s="5">
        <v>2.84</v>
      </c>
      <c r="J8" s="5">
        <v>0.34043000000000001</v>
      </c>
      <c r="K8" s="5">
        <v>0.35547000000000001</v>
      </c>
      <c r="L8" s="5">
        <v>35.64</v>
      </c>
      <c r="M8" s="5">
        <v>2</v>
      </c>
      <c r="N8" s="5">
        <v>2.8359999999999999</v>
      </c>
      <c r="O8" s="5">
        <v>0.31639</v>
      </c>
      <c r="P8" s="5">
        <v>0.33310000000000001</v>
      </c>
      <c r="Q8" s="5">
        <v>35.892000000000003</v>
      </c>
      <c r="R8" s="5">
        <v>3</v>
      </c>
      <c r="S8" s="5">
        <v>2.8769999999999998</v>
      </c>
      <c r="T8" s="5">
        <v>0.30902000000000002</v>
      </c>
      <c r="U8" s="5">
        <v>0.32418000000000002</v>
      </c>
      <c r="V8" s="5">
        <v>35.841999999999999</v>
      </c>
      <c r="W8" s="22">
        <f t="shared" si="1"/>
        <v>-2.1030000000000104E-2</v>
      </c>
      <c r="X8" s="21">
        <f t="shared" si="2"/>
        <v>-1.5179999999999638E-3</v>
      </c>
      <c r="Y8" s="21">
        <f t="shared" si="3"/>
        <v>6.8200000000001593E-4</v>
      </c>
      <c r="Z8" s="11">
        <f t="shared" si="4"/>
        <v>3.9783023003433504E-2</v>
      </c>
      <c r="AA8" s="22">
        <f t="shared" si="5"/>
        <v>-4.2720000000000091E-2</v>
      </c>
      <c r="AB8" s="21">
        <f t="shared" si="6"/>
        <v>-2.5403999999999982E-2</v>
      </c>
      <c r="AC8" s="21">
        <f t="shared" si="7"/>
        <v>-2.2183999999999982E-2</v>
      </c>
      <c r="AD8" s="11">
        <f t="shared" si="8"/>
        <v>4.1446081089624887E-2</v>
      </c>
      <c r="AE8" s="22">
        <f t="shared" si="9"/>
        <v>-2.6700000000001722E-3</v>
      </c>
      <c r="AF8" s="21">
        <f t="shared" si="10"/>
        <v>-3.2063000000000008E-2</v>
      </c>
      <c r="AG8" s="21">
        <f t="shared" si="11"/>
        <v>-3.0252000000000001E-2</v>
      </c>
      <c r="AH8" s="11">
        <f t="shared" si="12"/>
        <v>4.2186550207298668E-2</v>
      </c>
      <c r="AI8">
        <v>2.5000000000000001E-2</v>
      </c>
      <c r="AJ8">
        <v>-2.5000000000000001E-2</v>
      </c>
      <c r="AK8">
        <v>1.5E-3</v>
      </c>
      <c r="AL8">
        <v>-1.5E-3</v>
      </c>
      <c r="AM8">
        <v>1.5E-3</v>
      </c>
      <c r="AN8">
        <v>-1.5E-3</v>
      </c>
      <c r="AO8" s="16">
        <v>2.5000000000000001E-2</v>
      </c>
      <c r="AP8" s="16">
        <v>-2.5000000000000001E-2</v>
      </c>
      <c r="AQ8">
        <v>1.4999999999999999E-2</v>
      </c>
      <c r="AR8">
        <v>-1.4999999999999999E-2</v>
      </c>
      <c r="AS8">
        <v>1E-3</v>
      </c>
      <c r="AT8">
        <v>-1E-3</v>
      </c>
      <c r="AU8">
        <v>1E-3</v>
      </c>
      <c r="AV8">
        <v>-1E-3</v>
      </c>
      <c r="AW8" s="16">
        <v>1.4999999999999999E-2</v>
      </c>
      <c r="AX8" s="16">
        <v>-1.4999999999999999E-2</v>
      </c>
      <c r="JS8">
        <v>12.849506578947368</v>
      </c>
    </row>
    <row r="9" spans="1:279" customFormat="1">
      <c r="A9" s="2">
        <v>4</v>
      </c>
      <c r="B9" s="2">
        <v>2.8560099999999999</v>
      </c>
      <c r="C9" s="2">
        <v>0.34236499999999997</v>
      </c>
      <c r="D9" s="2">
        <v>0.35548999999999997</v>
      </c>
      <c r="E9" s="2">
        <v>34.521608039999997</v>
      </c>
      <c r="F9" s="17">
        <f t="shared" si="0"/>
        <v>44246.655150462961</v>
      </c>
      <c r="G9" s="9">
        <v>44246.655150462961</v>
      </c>
      <c r="H9" s="25">
        <v>1</v>
      </c>
      <c r="I9" s="5">
        <v>2.8410000000000002</v>
      </c>
      <c r="J9" s="5">
        <v>0.34039999999999998</v>
      </c>
      <c r="K9" s="5">
        <v>0.35548000000000002</v>
      </c>
      <c r="L9" s="5">
        <v>35.674999999999997</v>
      </c>
      <c r="M9" s="5">
        <v>2</v>
      </c>
      <c r="N9" s="5">
        <v>2.8380000000000001</v>
      </c>
      <c r="O9" s="5">
        <v>0.31636999999999998</v>
      </c>
      <c r="P9" s="5">
        <v>0.33309</v>
      </c>
      <c r="Q9" s="5">
        <v>35.927</v>
      </c>
      <c r="R9" s="5">
        <v>3</v>
      </c>
      <c r="S9" s="5">
        <v>2.879</v>
      </c>
      <c r="T9" s="5">
        <v>0.30901000000000001</v>
      </c>
      <c r="U9" s="5">
        <v>0.32407999999999998</v>
      </c>
      <c r="V9" s="5">
        <v>35.872999999999998</v>
      </c>
      <c r="W9" s="22">
        <f t="shared" si="1"/>
        <v>-2.002999999999977E-2</v>
      </c>
      <c r="X9" s="21">
        <f t="shared" si="2"/>
        <v>-1.5479999999999938E-3</v>
      </c>
      <c r="Y9" s="21">
        <f t="shared" si="3"/>
        <v>6.9200000000002593E-4</v>
      </c>
      <c r="Z9" s="11">
        <f t="shared" si="4"/>
        <v>4.0804134277426796E-2</v>
      </c>
      <c r="AA9" s="22">
        <f t="shared" si="5"/>
        <v>-4.0719999999999867E-2</v>
      </c>
      <c r="AB9" s="21">
        <f t="shared" si="6"/>
        <v>-2.5424000000000002E-2</v>
      </c>
      <c r="AC9" s="21">
        <f t="shared" si="7"/>
        <v>-2.2193999999999992E-2</v>
      </c>
      <c r="AD9" s="11">
        <f t="shared" si="8"/>
        <v>4.2461644804049792E-2</v>
      </c>
      <c r="AE9" s="22">
        <f t="shared" si="9"/>
        <v>-6.6999999999994841E-4</v>
      </c>
      <c r="AF9" s="21">
        <f t="shared" si="10"/>
        <v>-3.2073000000000018E-2</v>
      </c>
      <c r="AG9" s="21">
        <f t="shared" si="11"/>
        <v>-3.0352000000000046E-2</v>
      </c>
      <c r="AH9" s="11">
        <f t="shared" si="12"/>
        <v>4.3087944746008189E-2</v>
      </c>
      <c r="AI9">
        <v>2.5000000000000001E-2</v>
      </c>
      <c r="AJ9">
        <v>-2.5000000000000001E-2</v>
      </c>
      <c r="AK9">
        <v>1.5E-3</v>
      </c>
      <c r="AL9">
        <v>-1.5E-3</v>
      </c>
      <c r="AM9">
        <v>1.5E-3</v>
      </c>
      <c r="AN9">
        <v>-1.5E-3</v>
      </c>
      <c r="AO9" s="16">
        <v>2.5000000000000001E-2</v>
      </c>
      <c r="AP9" s="16">
        <v>-2.5000000000000001E-2</v>
      </c>
      <c r="AQ9">
        <v>1.4999999999999999E-2</v>
      </c>
      <c r="AR9">
        <v>-1.4999999999999999E-2</v>
      </c>
      <c r="AS9">
        <v>1E-3</v>
      </c>
      <c r="AT9">
        <v>-1E-3</v>
      </c>
      <c r="AU9">
        <v>1E-3</v>
      </c>
      <c r="AV9">
        <v>-1E-3</v>
      </c>
      <c r="AW9" s="16">
        <v>1.4999999999999999E-2</v>
      </c>
      <c r="AX9" s="16">
        <v>-1.4999999999999999E-2</v>
      </c>
    </row>
    <row r="10" spans="1:279" customFormat="1">
      <c r="A10" s="2">
        <v>5</v>
      </c>
      <c r="B10" s="2">
        <v>2.8755999999999999</v>
      </c>
      <c r="C10" s="2">
        <v>0.34289399999999998</v>
      </c>
      <c r="D10" s="2">
        <v>0.356014</v>
      </c>
      <c r="E10" s="2">
        <v>34.537989949999996</v>
      </c>
      <c r="F10" s="17">
        <f t="shared" si="0"/>
        <v>44247.671516203707</v>
      </c>
      <c r="G10" s="9">
        <v>44247.671516203707</v>
      </c>
      <c r="H10" s="25">
        <v>1</v>
      </c>
      <c r="I10" s="5">
        <v>2.839</v>
      </c>
      <c r="J10" s="5">
        <v>0.34033000000000002</v>
      </c>
      <c r="K10" s="5">
        <v>0.35539999999999999</v>
      </c>
      <c r="L10" s="5">
        <v>35.548999999999999</v>
      </c>
      <c r="M10" s="5">
        <v>2</v>
      </c>
      <c r="N10" s="5">
        <v>2.835</v>
      </c>
      <c r="O10" s="5">
        <v>0.31628000000000001</v>
      </c>
      <c r="P10" s="5">
        <v>0.33291999999999999</v>
      </c>
      <c r="Q10" s="5">
        <v>35.790999999999997</v>
      </c>
      <c r="R10" s="5">
        <v>3</v>
      </c>
      <c r="S10" s="5">
        <v>2.8759999999999999</v>
      </c>
      <c r="T10" s="5">
        <v>0.30897999999999998</v>
      </c>
      <c r="U10" s="5">
        <v>0.32397999999999999</v>
      </c>
      <c r="V10" s="5">
        <v>35.762</v>
      </c>
      <c r="W10" s="22">
        <f t="shared" si="1"/>
        <v>-2.2029999999999994E-2</v>
      </c>
      <c r="X10" s="21">
        <f t="shared" si="2"/>
        <v>-1.6179999999999528E-3</v>
      </c>
      <c r="Y10" s="21">
        <f t="shared" si="3"/>
        <v>6.1200000000000143E-4</v>
      </c>
      <c r="Z10" s="11">
        <f t="shared" si="4"/>
        <v>3.7128133691050946E-2</v>
      </c>
      <c r="AA10" s="22">
        <f t="shared" si="5"/>
        <v>-4.3719999999999981E-2</v>
      </c>
      <c r="AB10" s="21">
        <f t="shared" si="6"/>
        <v>-2.5513999999999981E-2</v>
      </c>
      <c r="AC10" s="21">
        <f t="shared" si="7"/>
        <v>-2.2363999999999995E-2</v>
      </c>
      <c r="AD10" s="11">
        <f t="shared" si="8"/>
        <v>3.8515454370855906E-2</v>
      </c>
      <c r="AE10" s="22">
        <f t="shared" si="9"/>
        <v>-3.6700000000000621E-3</v>
      </c>
      <c r="AF10" s="21">
        <f t="shared" si="10"/>
        <v>-3.2103000000000048E-2</v>
      </c>
      <c r="AG10" s="21">
        <f t="shared" si="11"/>
        <v>-3.0452000000000035E-2</v>
      </c>
      <c r="AH10" s="11">
        <f t="shared" si="12"/>
        <v>3.9860370752564434E-2</v>
      </c>
      <c r="AI10">
        <v>2.5000000000000001E-2</v>
      </c>
      <c r="AJ10">
        <v>-2.5000000000000001E-2</v>
      </c>
      <c r="AK10">
        <v>1.5E-3</v>
      </c>
      <c r="AL10">
        <v>-1.5E-3</v>
      </c>
      <c r="AM10">
        <v>1.5E-3</v>
      </c>
      <c r="AN10">
        <v>-1.5E-3</v>
      </c>
      <c r="AO10" s="16">
        <v>2.5000000000000001E-2</v>
      </c>
      <c r="AP10" s="16">
        <v>-2.5000000000000001E-2</v>
      </c>
      <c r="AQ10">
        <v>1.4999999999999999E-2</v>
      </c>
      <c r="AR10">
        <v>-1.4999999999999999E-2</v>
      </c>
      <c r="AS10">
        <v>1E-3</v>
      </c>
      <c r="AT10">
        <v>-1E-3</v>
      </c>
      <c r="AU10">
        <v>1E-3</v>
      </c>
      <c r="AV10">
        <v>-1E-3</v>
      </c>
      <c r="AW10" s="16">
        <v>1.4999999999999999E-2</v>
      </c>
      <c r="AX10" s="16">
        <v>-1.4999999999999999E-2</v>
      </c>
      <c r="JQ10">
        <v>28.935185185185187</v>
      </c>
    </row>
    <row r="11" spans="1:279" customFormat="1">
      <c r="A11" s="2">
        <v>6</v>
      </c>
      <c r="B11" s="2">
        <v>2.8537400000000002</v>
      </c>
      <c r="C11" s="2">
        <v>0.43448799999999999</v>
      </c>
      <c r="D11" s="2">
        <v>0.39628799999999997</v>
      </c>
      <c r="E11" s="2">
        <v>29.636080400000001</v>
      </c>
      <c r="F11" s="17">
        <f t="shared" si="0"/>
        <v>44248.645335648151</v>
      </c>
      <c r="G11" s="9">
        <v>44248.645335648151</v>
      </c>
      <c r="H11" s="25">
        <v>1</v>
      </c>
      <c r="I11" s="5">
        <v>2.839</v>
      </c>
      <c r="J11" s="5">
        <v>0.34033999999999998</v>
      </c>
      <c r="K11" s="5">
        <v>0.35519000000000001</v>
      </c>
      <c r="L11" s="5">
        <v>35.479999999999997</v>
      </c>
      <c r="M11" s="5">
        <v>2</v>
      </c>
      <c r="N11" s="5">
        <v>2.8359999999999999</v>
      </c>
      <c r="O11" s="5">
        <v>0.31623000000000001</v>
      </c>
      <c r="P11" s="5">
        <v>0.33300000000000002</v>
      </c>
      <c r="Q11" s="5">
        <v>35.786999999999999</v>
      </c>
      <c r="R11" s="5">
        <v>3</v>
      </c>
      <c r="S11" s="5">
        <v>2.875</v>
      </c>
      <c r="T11" s="5">
        <v>0.30906</v>
      </c>
      <c r="U11" s="5">
        <v>0.32412000000000002</v>
      </c>
      <c r="V11" s="5">
        <v>35.716000000000001</v>
      </c>
      <c r="W11" s="22">
        <f t="shared" si="1"/>
        <v>-2.2029999999999994E-2</v>
      </c>
      <c r="X11" s="21">
        <f t="shared" si="2"/>
        <v>-1.6079999999999983E-3</v>
      </c>
      <c r="Y11" s="21">
        <f t="shared" si="3"/>
        <v>4.0200000000001346E-4</v>
      </c>
      <c r="Z11" s="11">
        <f t="shared" si="4"/>
        <v>3.5115085750892838E-2</v>
      </c>
      <c r="AA11" s="22">
        <f t="shared" si="5"/>
        <v>-4.2720000000000091E-2</v>
      </c>
      <c r="AB11" s="21">
        <f t="shared" si="6"/>
        <v>-2.5563999999999976E-2</v>
      </c>
      <c r="AC11" s="21">
        <f t="shared" si="7"/>
        <v>-2.228399999999997E-2</v>
      </c>
      <c r="AD11" s="11">
        <f t="shared" si="8"/>
        <v>3.8399389946350393E-2</v>
      </c>
      <c r="AE11" s="22">
        <f t="shared" si="9"/>
        <v>-4.669999999999952E-3</v>
      </c>
      <c r="AF11" s="21">
        <f t="shared" si="10"/>
        <v>-3.2023000000000024E-2</v>
      </c>
      <c r="AG11" s="21">
        <f t="shared" si="11"/>
        <v>-3.0312000000000006E-2</v>
      </c>
      <c r="AH11" s="11">
        <f t="shared" si="12"/>
        <v>3.8522817566092327E-2</v>
      </c>
      <c r="AI11">
        <v>2.5000000000000001E-2</v>
      </c>
      <c r="AJ11">
        <v>-2.5000000000000001E-2</v>
      </c>
      <c r="AK11">
        <v>1.5E-3</v>
      </c>
      <c r="AL11">
        <v>-1.5E-3</v>
      </c>
      <c r="AM11">
        <v>1.5E-3</v>
      </c>
      <c r="AN11">
        <v>-1.5E-3</v>
      </c>
      <c r="AO11" s="16">
        <v>2.5000000000000001E-2</v>
      </c>
      <c r="AP11" s="16">
        <v>-2.5000000000000001E-2</v>
      </c>
      <c r="AQ11">
        <v>1.4999999999999999E-2</v>
      </c>
      <c r="AR11">
        <v>-1.4999999999999999E-2</v>
      </c>
      <c r="AS11">
        <v>1E-3</v>
      </c>
      <c r="AT11">
        <v>-1E-3</v>
      </c>
      <c r="AU11">
        <v>1E-3</v>
      </c>
      <c r="AV11">
        <v>-1E-3</v>
      </c>
      <c r="AW11" s="16">
        <v>1.4999999999999999E-2</v>
      </c>
      <c r="AX11" s="16">
        <v>-1.4999999999999999E-2</v>
      </c>
      <c r="JR11">
        <v>25.699013157894736</v>
      </c>
    </row>
    <row r="12" spans="1:279" customFormat="1">
      <c r="A12" s="2">
        <v>7</v>
      </c>
      <c r="B12" s="2">
        <v>2.84768</v>
      </c>
      <c r="C12" s="2">
        <v>0.432141</v>
      </c>
      <c r="D12" s="2">
        <v>0.39544899999999999</v>
      </c>
      <c r="E12" s="2">
        <v>29.17276382</v>
      </c>
      <c r="F12" s="17">
        <f t="shared" si="0"/>
        <v>44249.520370370374</v>
      </c>
      <c r="G12" s="9">
        <v>44249.520370370374</v>
      </c>
      <c r="H12" s="25">
        <v>1</v>
      </c>
      <c r="I12" s="5">
        <v>2.8410000000000002</v>
      </c>
      <c r="J12" s="5">
        <v>0.34039999999999998</v>
      </c>
      <c r="K12" s="5">
        <v>0.35531000000000001</v>
      </c>
      <c r="L12" s="5">
        <v>35.576000000000001</v>
      </c>
      <c r="M12" s="5">
        <v>2</v>
      </c>
      <c r="N12" s="5">
        <v>2.8359999999999999</v>
      </c>
      <c r="O12" s="5">
        <v>0.31633</v>
      </c>
      <c r="P12" s="5">
        <v>0.33300999999999997</v>
      </c>
      <c r="Q12" s="5">
        <v>35.837000000000003</v>
      </c>
      <c r="R12" s="5">
        <v>3</v>
      </c>
      <c r="S12" s="5">
        <v>2.8769999999999998</v>
      </c>
      <c r="T12" s="5">
        <v>0.30911</v>
      </c>
      <c r="U12" s="5">
        <v>0.32412000000000002</v>
      </c>
      <c r="V12" s="5">
        <v>35.777000000000001</v>
      </c>
      <c r="W12" s="22">
        <f t="shared" si="1"/>
        <v>-2.002999999999977E-2</v>
      </c>
      <c r="X12" s="21">
        <f t="shared" si="2"/>
        <v>-1.5479999999999938E-3</v>
      </c>
      <c r="Y12" s="21">
        <f t="shared" si="3"/>
        <v>5.2200000000002245E-4</v>
      </c>
      <c r="Z12" s="11">
        <f t="shared" si="4"/>
        <v>3.7915848102417327E-2</v>
      </c>
      <c r="AA12" s="22">
        <f t="shared" si="5"/>
        <v>-4.2720000000000091E-2</v>
      </c>
      <c r="AB12" s="21">
        <f t="shared" si="6"/>
        <v>-2.5463999999999987E-2</v>
      </c>
      <c r="AC12" s="21">
        <f t="shared" si="7"/>
        <v>-2.2274000000000016E-2</v>
      </c>
      <c r="AD12" s="11">
        <f t="shared" si="8"/>
        <v>3.9850195252671528E-2</v>
      </c>
      <c r="AE12" s="22">
        <f t="shared" si="9"/>
        <v>-2.6700000000001722E-3</v>
      </c>
      <c r="AF12" s="21">
        <f t="shared" si="10"/>
        <v>-3.1973000000000029E-2</v>
      </c>
      <c r="AG12" s="21">
        <f t="shared" si="11"/>
        <v>-3.0312000000000006E-2</v>
      </c>
      <c r="AH12" s="11">
        <f t="shared" si="12"/>
        <v>4.0296529400327241E-2</v>
      </c>
      <c r="AI12">
        <v>2.5000000000000001E-2</v>
      </c>
      <c r="AJ12">
        <v>-2.5000000000000001E-2</v>
      </c>
      <c r="AK12">
        <v>1.5E-3</v>
      </c>
      <c r="AL12">
        <v>-1.5E-3</v>
      </c>
      <c r="AM12">
        <v>1.5E-3</v>
      </c>
      <c r="AN12">
        <v>-1.5E-3</v>
      </c>
      <c r="AO12" s="16">
        <v>2.5000000000000001E-2</v>
      </c>
      <c r="AP12" s="16">
        <v>-2.5000000000000001E-2</v>
      </c>
      <c r="AQ12">
        <v>1.4999999999999999E-2</v>
      </c>
      <c r="AR12">
        <v>-1.4999999999999999E-2</v>
      </c>
      <c r="AS12">
        <v>1E-3</v>
      </c>
      <c r="AT12">
        <v>-1E-3</v>
      </c>
      <c r="AU12">
        <v>1E-3</v>
      </c>
      <c r="AV12">
        <v>-1E-3</v>
      </c>
      <c r="AW12" s="16">
        <v>1.4999999999999999E-2</v>
      </c>
      <c r="AX12" s="16">
        <v>-1.4999999999999999E-2</v>
      </c>
      <c r="JP12">
        <v>25.699013157894736</v>
      </c>
      <c r="JR12">
        <v>12.849506578947368</v>
      </c>
      <c r="JS12">
        <v>12.849506578947368</v>
      </c>
    </row>
    <row r="13" spans="1:279" customFormat="1">
      <c r="A13" s="2">
        <v>8</v>
      </c>
      <c r="B13" s="2">
        <v>2.8442799999999999</v>
      </c>
      <c r="C13" s="2">
        <v>0.43493199999999999</v>
      </c>
      <c r="D13" s="2">
        <v>0.39611099999999999</v>
      </c>
      <c r="E13" s="2">
        <v>29.55326633</v>
      </c>
      <c r="F13" s="17">
        <f t="shared" si="0"/>
        <v>44250.70103009259</v>
      </c>
      <c r="G13" s="9">
        <v>44250.70103009259</v>
      </c>
      <c r="H13" s="25">
        <v>1</v>
      </c>
      <c r="I13" s="5">
        <v>2.839</v>
      </c>
      <c r="J13" s="2">
        <v>0.34040999999999999</v>
      </c>
      <c r="K13" s="5">
        <v>0.35536000000000001</v>
      </c>
      <c r="L13" s="5">
        <v>35.488999999999997</v>
      </c>
      <c r="M13" s="5">
        <v>2</v>
      </c>
      <c r="N13" s="5">
        <v>2.8359999999999999</v>
      </c>
      <c r="O13" s="2">
        <v>0.31634000000000001</v>
      </c>
      <c r="P13" s="5">
        <v>0.33301999999999998</v>
      </c>
      <c r="Q13" s="5">
        <v>35.783000000000001</v>
      </c>
      <c r="R13" s="5">
        <v>3</v>
      </c>
      <c r="S13" s="5">
        <v>2.875</v>
      </c>
      <c r="T13" s="2">
        <v>0.30897000000000002</v>
      </c>
      <c r="U13" s="5">
        <v>0.3241</v>
      </c>
      <c r="V13" s="5">
        <v>35.704000000000001</v>
      </c>
      <c r="W13" s="22">
        <f t="shared" si="1"/>
        <v>-2.2029999999999994E-2</v>
      </c>
      <c r="X13" s="21">
        <f t="shared" si="2"/>
        <v>-1.5379999999999838E-3</v>
      </c>
      <c r="Y13" s="21">
        <f t="shared" si="3"/>
        <v>5.7200000000001694E-4</v>
      </c>
      <c r="Z13" s="11">
        <f t="shared" si="4"/>
        <v>3.5377657221348224E-2</v>
      </c>
      <c r="AA13" s="22">
        <f t="shared" si="5"/>
        <v>-4.2720000000000091E-2</v>
      </c>
      <c r="AB13" s="21">
        <f t="shared" si="6"/>
        <v>-2.5453999999999977E-2</v>
      </c>
      <c r="AC13" s="21">
        <f t="shared" si="7"/>
        <v>-2.2264000000000006E-2</v>
      </c>
      <c r="AD13" s="11">
        <f t="shared" si="8"/>
        <v>3.8283325521844658E-2</v>
      </c>
      <c r="AE13" s="22">
        <f t="shared" si="9"/>
        <v>-4.669999999999952E-3</v>
      </c>
      <c r="AF13" s="21">
        <f t="shared" si="10"/>
        <v>-3.2113000000000003E-2</v>
      </c>
      <c r="AG13" s="21">
        <f t="shared" si="11"/>
        <v>-3.0332000000000026E-2</v>
      </c>
      <c r="AH13" s="11">
        <f t="shared" si="12"/>
        <v>3.8173890647882125E-2</v>
      </c>
      <c r="AI13">
        <v>2.5000000000000001E-2</v>
      </c>
      <c r="AJ13">
        <v>-2.5000000000000001E-2</v>
      </c>
      <c r="AK13">
        <v>1.5E-3</v>
      </c>
      <c r="AL13">
        <v>-1.5E-3</v>
      </c>
      <c r="AM13">
        <v>1.5E-3</v>
      </c>
      <c r="AN13">
        <v>-1.5E-3</v>
      </c>
      <c r="AO13" s="16">
        <v>2.5000000000000001E-2</v>
      </c>
      <c r="AP13" s="16">
        <v>-2.5000000000000001E-2</v>
      </c>
      <c r="AQ13">
        <v>1.4999999999999999E-2</v>
      </c>
      <c r="AR13">
        <v>-1.4999999999999999E-2</v>
      </c>
      <c r="AS13">
        <v>1E-3</v>
      </c>
      <c r="AT13">
        <v>-1E-3</v>
      </c>
      <c r="AU13">
        <v>1E-3</v>
      </c>
      <c r="AV13">
        <v>-1E-3</v>
      </c>
      <c r="AW13" s="16">
        <v>1.4999999999999999E-2</v>
      </c>
      <c r="AX13" s="16">
        <v>-1.4999999999999999E-2</v>
      </c>
    </row>
    <row r="14" spans="1:279" customFormat="1">
      <c r="A14" s="2">
        <v>9</v>
      </c>
      <c r="B14" s="2">
        <v>2.84484</v>
      </c>
      <c r="C14" s="2">
        <v>0.43506600000000001</v>
      </c>
      <c r="D14" s="2">
        <v>0.39740500000000001</v>
      </c>
      <c r="E14" s="2">
        <v>29.44</v>
      </c>
      <c r="F14" s="17">
        <f t="shared" si="0"/>
        <v>44251.647928240738</v>
      </c>
      <c r="G14" s="9">
        <v>44251.647928240738</v>
      </c>
      <c r="H14" s="25">
        <v>1</v>
      </c>
      <c r="I14" s="5">
        <v>2.84</v>
      </c>
      <c r="J14" s="5">
        <v>0.34033000000000002</v>
      </c>
      <c r="K14" s="5">
        <v>0.35542000000000001</v>
      </c>
      <c r="L14" s="5">
        <v>35.491</v>
      </c>
      <c r="M14" s="5">
        <v>2</v>
      </c>
      <c r="N14" s="5">
        <v>2.835</v>
      </c>
      <c r="O14" s="5">
        <v>0.31636999999999998</v>
      </c>
      <c r="P14" s="5">
        <v>0.33302999999999999</v>
      </c>
      <c r="Q14" s="5">
        <v>35.774000000000001</v>
      </c>
      <c r="R14" s="5">
        <v>3</v>
      </c>
      <c r="S14" s="5">
        <v>2.8759999999999999</v>
      </c>
      <c r="T14" s="5">
        <v>0.309</v>
      </c>
      <c r="U14" s="5">
        <v>0.32405</v>
      </c>
      <c r="V14" s="5">
        <v>35.710999999999999</v>
      </c>
      <c r="W14" s="22">
        <f t="shared" si="1"/>
        <v>-2.1030000000000104E-2</v>
      </c>
      <c r="X14" s="21">
        <f t="shared" si="2"/>
        <v>-1.6179999999999528E-3</v>
      </c>
      <c r="Y14" s="21">
        <f t="shared" si="3"/>
        <v>6.3200000000002143E-4</v>
      </c>
      <c r="Z14" s="11">
        <f t="shared" si="4"/>
        <v>3.5436006437004952E-2</v>
      </c>
      <c r="AA14" s="22">
        <f t="shared" si="5"/>
        <v>-4.3719999999999981E-2</v>
      </c>
      <c r="AB14" s="21">
        <f t="shared" si="6"/>
        <v>-2.5424000000000002E-2</v>
      </c>
      <c r="AC14" s="21">
        <f t="shared" si="7"/>
        <v>-2.2253999999999996E-2</v>
      </c>
      <c r="AD14" s="11">
        <f t="shared" si="8"/>
        <v>3.802218056670692E-2</v>
      </c>
      <c r="AE14" s="22">
        <f t="shared" si="9"/>
        <v>-3.6700000000000621E-3</v>
      </c>
      <c r="AF14" s="21">
        <f t="shared" si="10"/>
        <v>-3.2083000000000028E-2</v>
      </c>
      <c r="AG14" s="21">
        <f t="shared" si="11"/>
        <v>-3.038200000000002E-2</v>
      </c>
      <c r="AH14" s="11">
        <f t="shared" si="12"/>
        <v>3.8377431350171465E-2</v>
      </c>
      <c r="AI14">
        <v>2.5000000000000001E-2</v>
      </c>
      <c r="AJ14">
        <v>-2.5000000000000001E-2</v>
      </c>
      <c r="AK14">
        <v>1.5E-3</v>
      </c>
      <c r="AL14">
        <v>-1.5E-3</v>
      </c>
      <c r="AM14">
        <v>1.5E-3</v>
      </c>
      <c r="AN14">
        <v>-1.5E-3</v>
      </c>
      <c r="AO14" s="16">
        <v>2.5000000000000001E-2</v>
      </c>
      <c r="AP14" s="16">
        <v>-2.5000000000000001E-2</v>
      </c>
      <c r="AQ14">
        <v>1.4999999999999999E-2</v>
      </c>
      <c r="AR14">
        <v>-1.4999999999999999E-2</v>
      </c>
      <c r="AS14">
        <v>1E-3</v>
      </c>
      <c r="AT14">
        <v>-1E-3</v>
      </c>
      <c r="AU14">
        <v>1E-3</v>
      </c>
      <c r="AV14">
        <v>-1E-3</v>
      </c>
      <c r="AW14" s="16">
        <v>1.4999999999999999E-2</v>
      </c>
      <c r="AX14" s="16">
        <v>-1.4999999999999999E-2</v>
      </c>
    </row>
    <row r="15" spans="1:279" customFormat="1">
      <c r="A15" s="2">
        <v>10</v>
      </c>
      <c r="B15" s="2">
        <v>2.8424800000000001</v>
      </c>
      <c r="C15" s="2">
        <v>0.43387799999999999</v>
      </c>
      <c r="D15" s="2">
        <v>0.396318</v>
      </c>
      <c r="E15" s="2">
        <v>29.34854271</v>
      </c>
      <c r="F15" s="17">
        <f t="shared" si="0"/>
        <v>44252.698935185188</v>
      </c>
      <c r="G15" s="9">
        <v>44252.698935185188</v>
      </c>
      <c r="H15" s="25">
        <v>1</v>
      </c>
      <c r="I15" s="5">
        <v>2.839</v>
      </c>
      <c r="J15" s="5">
        <v>0.34042</v>
      </c>
      <c r="K15" s="5">
        <v>0.35548999999999997</v>
      </c>
      <c r="L15" s="5">
        <v>35.476999999999997</v>
      </c>
      <c r="M15" s="5">
        <v>2</v>
      </c>
      <c r="N15" s="5">
        <v>2.835</v>
      </c>
      <c r="O15" s="5">
        <v>0.31629000000000002</v>
      </c>
      <c r="P15" s="5">
        <v>0.33296999999999999</v>
      </c>
      <c r="Q15" s="5">
        <v>35.749000000000002</v>
      </c>
      <c r="R15" s="5">
        <v>3</v>
      </c>
      <c r="S15" s="5">
        <v>2.8759999999999999</v>
      </c>
      <c r="T15" s="5">
        <v>0.30898999999999999</v>
      </c>
      <c r="U15" s="5">
        <v>0.32412999999999997</v>
      </c>
      <c r="V15" s="5">
        <v>35.703000000000003</v>
      </c>
      <c r="W15" s="22">
        <f t="shared" si="1"/>
        <v>-2.2029999999999994E-2</v>
      </c>
      <c r="X15" s="21">
        <f t="shared" si="2"/>
        <v>-1.5279999999999738E-3</v>
      </c>
      <c r="Y15" s="21">
        <f t="shared" si="3"/>
        <v>7.0199999999998042E-4</v>
      </c>
      <c r="Z15" s="11">
        <f t="shared" si="4"/>
        <v>3.5027561927407636E-2</v>
      </c>
      <c r="AA15" s="22">
        <f t="shared" si="5"/>
        <v>-4.3719999999999981E-2</v>
      </c>
      <c r="AB15" s="21">
        <f t="shared" si="6"/>
        <v>-2.5503999999999971E-2</v>
      </c>
      <c r="AC15" s="21">
        <f t="shared" si="7"/>
        <v>-2.2314000000000001E-2</v>
      </c>
      <c r="AD15" s="11">
        <f t="shared" si="8"/>
        <v>3.7296777913546242E-2</v>
      </c>
      <c r="AE15" s="22">
        <f t="shared" si="9"/>
        <v>-3.6700000000000621E-3</v>
      </c>
      <c r="AF15" s="21">
        <f t="shared" si="10"/>
        <v>-3.2093000000000038E-2</v>
      </c>
      <c r="AG15" s="21">
        <f t="shared" si="11"/>
        <v>-3.0302000000000051E-2</v>
      </c>
      <c r="AH15" s="11">
        <f t="shared" si="12"/>
        <v>3.8144813404697997E-2</v>
      </c>
      <c r="AI15">
        <v>2.5000000000000001E-2</v>
      </c>
      <c r="AJ15">
        <v>-2.5000000000000001E-2</v>
      </c>
      <c r="AK15">
        <v>1.5E-3</v>
      </c>
      <c r="AL15">
        <v>-1.5E-3</v>
      </c>
      <c r="AM15">
        <v>1.5E-3</v>
      </c>
      <c r="AN15">
        <v>-1.5E-3</v>
      </c>
      <c r="AO15" s="16">
        <v>2.5000000000000001E-2</v>
      </c>
      <c r="AP15" s="16">
        <v>-2.5000000000000001E-2</v>
      </c>
      <c r="AQ15">
        <v>1.4999999999999999E-2</v>
      </c>
      <c r="AR15">
        <v>-1.4999999999999999E-2</v>
      </c>
      <c r="AS15">
        <v>1E-3</v>
      </c>
      <c r="AT15">
        <v>-1E-3</v>
      </c>
      <c r="AU15">
        <v>1E-3</v>
      </c>
      <c r="AV15">
        <v>-1E-3</v>
      </c>
      <c r="AW15" s="16">
        <v>1.4999999999999999E-2</v>
      </c>
      <c r="AX15" s="16">
        <v>-1.4999999999999999E-2</v>
      </c>
      <c r="JS15">
        <v>30.502684236212787</v>
      </c>
    </row>
    <row r="16" spans="1:279" customFormat="1">
      <c r="A16" s="2">
        <v>11</v>
      </c>
      <c r="B16" s="2">
        <v>2.8631099999999998</v>
      </c>
      <c r="C16" s="2">
        <v>0.32686500000000002</v>
      </c>
      <c r="D16" s="2">
        <v>0.34522900000000001</v>
      </c>
      <c r="E16" s="2">
        <v>34.607236180000001</v>
      </c>
      <c r="F16" s="17">
        <f t="shared" si="0"/>
        <v>44253.673067129632</v>
      </c>
      <c r="G16" s="9">
        <v>44253.673067129632</v>
      </c>
      <c r="H16" s="25">
        <v>1</v>
      </c>
      <c r="I16" s="5">
        <v>2.84</v>
      </c>
      <c r="J16" s="5">
        <v>0.34043000000000001</v>
      </c>
      <c r="K16" s="5">
        <v>0.35547000000000001</v>
      </c>
      <c r="L16" s="5">
        <v>35.521999999999998</v>
      </c>
      <c r="M16" s="5">
        <v>2</v>
      </c>
      <c r="N16" s="5">
        <v>2.8370000000000002</v>
      </c>
      <c r="O16" s="5">
        <v>0.31636999999999998</v>
      </c>
      <c r="P16" s="5">
        <v>0.33307999999999999</v>
      </c>
      <c r="Q16" s="5">
        <v>35.781999999999996</v>
      </c>
      <c r="R16" s="5">
        <v>3</v>
      </c>
      <c r="S16" s="5">
        <v>2.8780000000000001</v>
      </c>
      <c r="T16" s="5">
        <v>0.30914000000000003</v>
      </c>
      <c r="U16" s="5">
        <v>0.32414999999999999</v>
      </c>
      <c r="V16" s="5">
        <v>35.683999999999997</v>
      </c>
      <c r="W16" s="22">
        <f t="shared" si="1"/>
        <v>-2.1030000000000104E-2</v>
      </c>
      <c r="X16" s="21">
        <f t="shared" si="2"/>
        <v>-1.5179999999999638E-3</v>
      </c>
      <c r="Y16" s="21">
        <f t="shared" si="3"/>
        <v>6.8200000000001593E-4</v>
      </c>
      <c r="Z16" s="11">
        <f t="shared" si="4"/>
        <v>3.6340419279684788E-2</v>
      </c>
      <c r="AA16" s="22">
        <f t="shared" si="5"/>
        <v>-4.1719999999999757E-2</v>
      </c>
      <c r="AB16" s="21">
        <f t="shared" si="6"/>
        <v>-2.5424000000000002E-2</v>
      </c>
      <c r="AC16" s="21">
        <f t="shared" si="7"/>
        <v>-2.2204000000000002E-2</v>
      </c>
      <c r="AD16" s="11">
        <f t="shared" si="8"/>
        <v>3.8254309415718168E-2</v>
      </c>
      <c r="AE16" s="22">
        <f t="shared" si="9"/>
        <v>-1.6699999999998383E-3</v>
      </c>
      <c r="AF16" s="21">
        <f t="shared" si="10"/>
        <v>-3.1942999999999999E-2</v>
      </c>
      <c r="AG16" s="21">
        <f t="shared" si="11"/>
        <v>-3.0282000000000031E-2</v>
      </c>
      <c r="AH16" s="11">
        <f t="shared" si="12"/>
        <v>3.7592345784198677E-2</v>
      </c>
      <c r="AI16">
        <v>2.5000000000000001E-2</v>
      </c>
      <c r="AJ16">
        <v>-2.5000000000000001E-2</v>
      </c>
      <c r="AK16">
        <v>1.5E-3</v>
      </c>
      <c r="AL16">
        <v>-1.5E-3</v>
      </c>
      <c r="AM16">
        <v>1.5E-3</v>
      </c>
      <c r="AN16">
        <v>-1.5E-3</v>
      </c>
      <c r="AO16" s="16">
        <v>2.5000000000000001E-2</v>
      </c>
      <c r="AP16" s="16">
        <v>-2.5000000000000001E-2</v>
      </c>
      <c r="AQ16">
        <v>1.4999999999999999E-2</v>
      </c>
      <c r="AR16">
        <v>-1.4999999999999999E-2</v>
      </c>
      <c r="AS16">
        <v>1E-3</v>
      </c>
      <c r="AT16">
        <v>-1E-3</v>
      </c>
      <c r="AU16">
        <v>1E-3</v>
      </c>
      <c r="AV16">
        <v>-1E-3</v>
      </c>
      <c r="AW16" s="16">
        <v>1.4999999999999999E-2</v>
      </c>
      <c r="AX16" s="16">
        <v>-1.4999999999999999E-2</v>
      </c>
      <c r="JP16">
        <v>30.502684236212787</v>
      </c>
      <c r="JQ16">
        <v>28.935185185185187</v>
      </c>
    </row>
    <row r="17" spans="1:279" customFormat="1">
      <c r="A17" s="2">
        <v>12</v>
      </c>
      <c r="B17" s="2">
        <v>2.86822</v>
      </c>
      <c r="C17" s="2">
        <v>0.32995799999999997</v>
      </c>
      <c r="D17" s="2">
        <v>0.34743000000000002</v>
      </c>
      <c r="E17" s="2">
        <v>34.694673369999997</v>
      </c>
      <c r="F17" s="17" t="str">
        <f t="shared" si="0"/>
        <v/>
      </c>
      <c r="G17" s="9"/>
      <c r="H17" s="25">
        <v>1</v>
      </c>
      <c r="I17" s="5"/>
      <c r="J17" s="5"/>
      <c r="K17" s="5"/>
      <c r="L17" s="5"/>
      <c r="M17" s="5">
        <v>2</v>
      </c>
      <c r="N17" s="5"/>
      <c r="O17" s="5"/>
      <c r="P17" s="5"/>
      <c r="Q17" s="5"/>
      <c r="R17" s="5">
        <v>3</v>
      </c>
      <c r="S17" s="5"/>
      <c r="T17" s="5"/>
      <c r="U17" s="5"/>
      <c r="V17" s="5"/>
      <c r="W17" s="22">
        <f t="shared" si="1"/>
        <v>-2.86103</v>
      </c>
      <c r="X17" s="21">
        <f t="shared" si="2"/>
        <v>-0.34194799999999997</v>
      </c>
      <c r="Y17" s="21">
        <f t="shared" si="3"/>
        <v>-0.35478799999999999</v>
      </c>
      <c r="Z17" s="11">
        <f t="shared" si="4"/>
        <v>-1</v>
      </c>
      <c r="AA17" s="22">
        <f t="shared" si="5"/>
        <v>-2.8787199999999999</v>
      </c>
      <c r="AB17" s="21">
        <f t="shared" si="6"/>
        <v>-0.34179399999999999</v>
      </c>
      <c r="AC17" s="21">
        <f t="shared" si="7"/>
        <v>-0.35528399999999999</v>
      </c>
      <c r="AD17" s="11">
        <f t="shared" si="8"/>
        <v>-1</v>
      </c>
      <c r="AE17" s="22">
        <f t="shared" si="9"/>
        <v>-2.87967</v>
      </c>
      <c r="AF17" s="21">
        <f t="shared" si="10"/>
        <v>-0.34108300000000003</v>
      </c>
      <c r="AG17" s="21">
        <f t="shared" si="11"/>
        <v>-0.35443200000000002</v>
      </c>
      <c r="AH17" s="11">
        <f t="shared" si="12"/>
        <v>-1</v>
      </c>
      <c r="AI17">
        <v>2.5000000000000001E-2</v>
      </c>
      <c r="AJ17">
        <v>-2.5000000000000001E-2</v>
      </c>
      <c r="AK17">
        <v>1.5E-3</v>
      </c>
      <c r="AL17">
        <v>-1.5E-3</v>
      </c>
      <c r="AM17">
        <v>1.5E-3</v>
      </c>
      <c r="AN17">
        <v>-1.5E-3</v>
      </c>
      <c r="AO17" s="16">
        <v>2.5000000000000001E-2</v>
      </c>
      <c r="AP17" s="16">
        <v>-2.5000000000000001E-2</v>
      </c>
      <c r="AQ17">
        <v>1.4999999999999999E-2</v>
      </c>
      <c r="AR17">
        <v>-1.4999999999999999E-2</v>
      </c>
      <c r="AS17">
        <v>1E-3</v>
      </c>
      <c r="AT17">
        <v>-1E-3</v>
      </c>
      <c r="AU17">
        <v>1E-3</v>
      </c>
      <c r="AV17">
        <v>-1E-3</v>
      </c>
      <c r="AW17" s="16">
        <v>1.4999999999999999E-2</v>
      </c>
      <c r="AX17" s="16">
        <v>-1.4999999999999999E-2</v>
      </c>
    </row>
    <row r="18" spans="1:279" customFormat="1">
      <c r="A18" s="2">
        <v>13</v>
      </c>
      <c r="B18" s="2">
        <v>2.8694500000000001</v>
      </c>
      <c r="C18" s="2">
        <v>0.33090799999999998</v>
      </c>
      <c r="D18" s="2">
        <v>0.34942800000000002</v>
      </c>
      <c r="E18" s="2">
        <v>34.583618090000002</v>
      </c>
      <c r="F18" s="17" t="str">
        <f t="shared" si="0"/>
        <v/>
      </c>
      <c r="G18" s="9"/>
      <c r="H18" s="25">
        <v>1</v>
      </c>
      <c r="I18" s="5"/>
      <c r="J18" s="5"/>
      <c r="K18" s="5"/>
      <c r="L18" s="5"/>
      <c r="M18" s="5">
        <v>2</v>
      </c>
      <c r="N18" s="5"/>
      <c r="O18" s="5"/>
      <c r="P18" s="5"/>
      <c r="Q18" s="5"/>
      <c r="R18" s="5">
        <v>3</v>
      </c>
      <c r="S18" s="5"/>
      <c r="T18" s="5"/>
      <c r="U18" s="5"/>
      <c r="V18" s="5"/>
      <c r="W18" s="22">
        <f t="shared" si="1"/>
        <v>-2.86103</v>
      </c>
      <c r="X18" s="21">
        <f t="shared" si="2"/>
        <v>-0.34194799999999997</v>
      </c>
      <c r="Y18" s="21">
        <f t="shared" si="3"/>
        <v>-0.35478799999999999</v>
      </c>
      <c r="Z18" s="11">
        <f t="shared" si="4"/>
        <v>-1</v>
      </c>
      <c r="AA18" s="22">
        <f t="shared" si="5"/>
        <v>-2.8787199999999999</v>
      </c>
      <c r="AB18" s="21">
        <f t="shared" si="6"/>
        <v>-0.34179399999999999</v>
      </c>
      <c r="AC18" s="21">
        <f t="shared" si="7"/>
        <v>-0.35528399999999999</v>
      </c>
      <c r="AD18" s="11">
        <f t="shared" si="8"/>
        <v>-1</v>
      </c>
      <c r="AE18" s="22">
        <f t="shared" si="9"/>
        <v>-2.87967</v>
      </c>
      <c r="AF18" s="21">
        <f t="shared" si="10"/>
        <v>-0.34108300000000003</v>
      </c>
      <c r="AG18" s="21">
        <f t="shared" si="11"/>
        <v>-0.35443200000000002</v>
      </c>
      <c r="AH18" s="11">
        <f t="shared" si="12"/>
        <v>-1</v>
      </c>
      <c r="AI18">
        <v>2.5000000000000001E-2</v>
      </c>
      <c r="AJ18">
        <v>-2.5000000000000001E-2</v>
      </c>
      <c r="AK18">
        <v>1.5E-3</v>
      </c>
      <c r="AL18">
        <v>-1.5E-3</v>
      </c>
      <c r="AM18">
        <v>1.5E-3</v>
      </c>
      <c r="AN18">
        <v>-1.5E-3</v>
      </c>
      <c r="AO18" s="16">
        <v>2.5000000000000001E-2</v>
      </c>
      <c r="AP18" s="16">
        <v>-2.5000000000000001E-2</v>
      </c>
      <c r="AQ18">
        <v>1.4999999999999999E-2</v>
      </c>
      <c r="AR18">
        <v>-1.4999999999999999E-2</v>
      </c>
      <c r="AS18">
        <v>1E-3</v>
      </c>
      <c r="AT18">
        <v>-1E-3</v>
      </c>
      <c r="AU18">
        <v>1E-3</v>
      </c>
      <c r="AV18">
        <v>-1E-3</v>
      </c>
      <c r="AW18" s="16">
        <v>1.4999999999999999E-2</v>
      </c>
      <c r="AX18" s="16">
        <v>-1.4999999999999999E-2</v>
      </c>
      <c r="JQ18">
        <v>24.187306501547987</v>
      </c>
      <c r="JR18">
        <v>27.64263600176913</v>
      </c>
      <c r="JS18">
        <v>24.187306501547987</v>
      </c>
    </row>
    <row r="19" spans="1:279" customFormat="1">
      <c r="A19" s="2">
        <v>14</v>
      </c>
      <c r="B19" s="2">
        <v>2.8783400000000001</v>
      </c>
      <c r="C19" s="2">
        <v>0.32827200000000001</v>
      </c>
      <c r="D19" s="2">
        <v>0.34728399999999998</v>
      </c>
      <c r="E19" s="2">
        <v>34.495376880000002</v>
      </c>
      <c r="F19" s="17" t="str">
        <f t="shared" si="0"/>
        <v/>
      </c>
      <c r="G19" s="9"/>
      <c r="H19" s="25">
        <v>1</v>
      </c>
      <c r="I19" s="5"/>
      <c r="J19" s="5"/>
      <c r="K19" s="5"/>
      <c r="L19" s="5"/>
      <c r="M19" s="5">
        <v>2</v>
      </c>
      <c r="N19" s="5"/>
      <c r="O19" s="5"/>
      <c r="P19" s="5"/>
      <c r="Q19" s="5"/>
      <c r="R19" s="5">
        <v>3</v>
      </c>
      <c r="S19" s="5"/>
      <c r="T19" s="5"/>
      <c r="U19" s="5"/>
      <c r="V19" s="5"/>
      <c r="W19" s="22">
        <f t="shared" si="1"/>
        <v>-2.86103</v>
      </c>
      <c r="X19" s="21">
        <f t="shared" si="2"/>
        <v>-0.34194799999999997</v>
      </c>
      <c r="Y19" s="21">
        <f t="shared" si="3"/>
        <v>-0.35478799999999999</v>
      </c>
      <c r="Z19" s="11">
        <f t="shared" si="4"/>
        <v>-1</v>
      </c>
      <c r="AA19" s="22">
        <f t="shared" si="5"/>
        <v>-2.8787199999999999</v>
      </c>
      <c r="AB19" s="21">
        <f t="shared" si="6"/>
        <v>-0.34179399999999999</v>
      </c>
      <c r="AC19" s="21">
        <f t="shared" si="7"/>
        <v>-0.35528399999999999</v>
      </c>
      <c r="AD19" s="11">
        <f t="shared" si="8"/>
        <v>-1</v>
      </c>
      <c r="AE19" s="22">
        <f t="shared" si="9"/>
        <v>-2.87967</v>
      </c>
      <c r="AF19" s="21">
        <f t="shared" si="10"/>
        <v>-0.34108300000000003</v>
      </c>
      <c r="AG19" s="21">
        <f t="shared" si="11"/>
        <v>-0.35443200000000002</v>
      </c>
      <c r="AH19" s="11">
        <f t="shared" si="12"/>
        <v>-1</v>
      </c>
      <c r="AI19">
        <v>2.5000000000000001E-2</v>
      </c>
      <c r="AJ19">
        <v>-2.5000000000000001E-2</v>
      </c>
      <c r="AK19">
        <v>1.5E-3</v>
      </c>
      <c r="AL19">
        <v>-1.5E-3</v>
      </c>
      <c r="AM19">
        <v>1.5E-3</v>
      </c>
      <c r="AN19">
        <v>-1.5E-3</v>
      </c>
      <c r="AO19" s="16">
        <v>2.5000000000000001E-2</v>
      </c>
      <c r="AP19" s="16">
        <v>-2.5000000000000001E-2</v>
      </c>
      <c r="AQ19">
        <v>1.4999999999999999E-2</v>
      </c>
      <c r="AR19">
        <v>-1.4999999999999999E-2</v>
      </c>
      <c r="AS19">
        <v>1E-3</v>
      </c>
      <c r="AT19">
        <v>-1E-3</v>
      </c>
      <c r="AU19">
        <v>1E-3</v>
      </c>
      <c r="AV19">
        <v>-1E-3</v>
      </c>
      <c r="AW19" s="16">
        <v>1.4999999999999999E-2</v>
      </c>
      <c r="AX19" s="16">
        <v>-1.4999999999999999E-2</v>
      </c>
    </row>
    <row r="20" spans="1:279" customFormat="1">
      <c r="A20" s="2">
        <v>15</v>
      </c>
      <c r="B20" s="2">
        <v>2.88903</v>
      </c>
      <c r="C20" s="2">
        <v>0.33065099999999997</v>
      </c>
      <c r="D20" s="2">
        <v>0.34909299999999999</v>
      </c>
      <c r="E20" s="2">
        <v>34.684321609999998</v>
      </c>
      <c r="F20" s="17" t="str">
        <f t="shared" si="0"/>
        <v/>
      </c>
      <c r="G20" s="9"/>
      <c r="H20" s="25">
        <v>1</v>
      </c>
      <c r="I20" s="5"/>
      <c r="J20" s="5"/>
      <c r="K20" s="5"/>
      <c r="L20" s="5"/>
      <c r="M20" s="5">
        <v>2</v>
      </c>
      <c r="N20" s="5"/>
      <c r="O20" s="5"/>
      <c r="P20" s="5"/>
      <c r="Q20" s="5"/>
      <c r="R20" s="5">
        <v>3</v>
      </c>
      <c r="S20" s="5"/>
      <c r="T20" s="5"/>
      <c r="U20" s="5"/>
      <c r="V20" s="5"/>
      <c r="W20" s="22">
        <f t="shared" si="1"/>
        <v>-2.86103</v>
      </c>
      <c r="X20" s="21">
        <f t="shared" si="2"/>
        <v>-0.34194799999999997</v>
      </c>
      <c r="Y20" s="21">
        <f t="shared" si="3"/>
        <v>-0.35478799999999999</v>
      </c>
      <c r="Z20" s="11">
        <f t="shared" si="4"/>
        <v>-1</v>
      </c>
      <c r="AA20" s="22">
        <f t="shared" si="5"/>
        <v>-2.8787199999999999</v>
      </c>
      <c r="AB20" s="21">
        <f t="shared" si="6"/>
        <v>-0.34179399999999999</v>
      </c>
      <c r="AC20" s="21">
        <f t="shared" si="7"/>
        <v>-0.35528399999999999</v>
      </c>
      <c r="AD20" s="11">
        <f t="shared" si="8"/>
        <v>-1</v>
      </c>
      <c r="AE20" s="22">
        <f t="shared" si="9"/>
        <v>-2.87967</v>
      </c>
      <c r="AF20" s="21">
        <f t="shared" si="10"/>
        <v>-0.34108300000000003</v>
      </c>
      <c r="AG20" s="21">
        <f t="shared" si="11"/>
        <v>-0.35443200000000002</v>
      </c>
      <c r="AH20" s="11">
        <f t="shared" si="12"/>
        <v>-1</v>
      </c>
      <c r="AI20">
        <v>2.5000000000000001E-2</v>
      </c>
      <c r="AJ20">
        <v>-2.5000000000000001E-2</v>
      </c>
      <c r="AK20">
        <v>1.5E-3</v>
      </c>
      <c r="AL20">
        <v>-1.5E-3</v>
      </c>
      <c r="AM20">
        <v>1.5E-3</v>
      </c>
      <c r="AN20">
        <v>-1.5E-3</v>
      </c>
      <c r="AO20" s="16">
        <v>2.5000000000000001E-2</v>
      </c>
      <c r="AP20" s="16">
        <v>-2.5000000000000001E-2</v>
      </c>
      <c r="AQ20">
        <v>1.4999999999999999E-2</v>
      </c>
      <c r="AR20">
        <v>-1.4999999999999999E-2</v>
      </c>
      <c r="AS20">
        <v>1E-3</v>
      </c>
      <c r="AT20">
        <v>-1E-3</v>
      </c>
      <c r="AU20">
        <v>1E-3</v>
      </c>
      <c r="AV20">
        <v>-1E-3</v>
      </c>
      <c r="AW20" s="16">
        <v>1.4999999999999999E-2</v>
      </c>
      <c r="AX20" s="16">
        <v>-1.4999999999999999E-2</v>
      </c>
      <c r="JP20">
        <v>27.64263600176913</v>
      </c>
      <c r="JQ20">
        <v>26.386152547143258</v>
      </c>
    </row>
    <row r="21" spans="1:279" customFormat="1">
      <c r="A21" s="2">
        <v>16</v>
      </c>
      <c r="B21" s="2">
        <v>2.86774</v>
      </c>
      <c r="C21" s="2">
        <v>0.402175</v>
      </c>
      <c r="D21" s="2">
        <v>0.38803599999999999</v>
      </c>
      <c r="E21" s="2">
        <v>32.713266330000003</v>
      </c>
      <c r="F21" s="17" t="str">
        <f t="shared" si="0"/>
        <v/>
      </c>
      <c r="G21" s="9"/>
      <c r="H21" s="25">
        <v>1</v>
      </c>
      <c r="I21" s="5"/>
      <c r="J21" s="5"/>
      <c r="K21" s="5"/>
      <c r="L21" s="5"/>
      <c r="M21" s="5">
        <v>2</v>
      </c>
      <c r="N21" s="5"/>
      <c r="O21" s="5"/>
      <c r="P21" s="5"/>
      <c r="Q21" s="5"/>
      <c r="R21" s="5">
        <v>3</v>
      </c>
      <c r="S21" s="5"/>
      <c r="T21" s="5"/>
      <c r="U21" s="5"/>
      <c r="V21" s="5"/>
      <c r="W21" s="22">
        <f t="shared" si="1"/>
        <v>-2.86103</v>
      </c>
      <c r="X21" s="21">
        <f t="shared" si="2"/>
        <v>-0.34194799999999997</v>
      </c>
      <c r="Y21" s="21">
        <f t="shared" si="3"/>
        <v>-0.35478799999999999</v>
      </c>
      <c r="Z21" s="11">
        <f t="shared" si="4"/>
        <v>-1</v>
      </c>
      <c r="AA21" s="22">
        <f t="shared" si="5"/>
        <v>-2.8787199999999999</v>
      </c>
      <c r="AB21" s="21">
        <f t="shared" si="6"/>
        <v>-0.34179399999999999</v>
      </c>
      <c r="AC21" s="21">
        <f t="shared" si="7"/>
        <v>-0.35528399999999999</v>
      </c>
      <c r="AD21" s="11">
        <f t="shared" si="8"/>
        <v>-1</v>
      </c>
      <c r="AE21" s="22">
        <f t="shared" si="9"/>
        <v>-2.87967</v>
      </c>
      <c r="AF21" s="21">
        <f t="shared" si="10"/>
        <v>-0.34108300000000003</v>
      </c>
      <c r="AG21" s="21">
        <f t="shared" si="11"/>
        <v>-0.35443200000000002</v>
      </c>
      <c r="AH21" s="11">
        <f t="shared" si="12"/>
        <v>-1</v>
      </c>
      <c r="AI21">
        <v>2.5000000000000001E-2</v>
      </c>
      <c r="AJ21">
        <v>-2.5000000000000001E-2</v>
      </c>
      <c r="AK21">
        <v>1.5E-3</v>
      </c>
      <c r="AL21">
        <v>-1.5E-3</v>
      </c>
      <c r="AM21">
        <v>1.5E-3</v>
      </c>
      <c r="AN21">
        <v>-1.5E-3</v>
      </c>
      <c r="AO21" s="16">
        <v>2.5000000000000001E-2</v>
      </c>
      <c r="AP21" s="16">
        <v>-2.5000000000000001E-2</v>
      </c>
      <c r="AQ21">
        <v>1.4999999999999999E-2</v>
      </c>
      <c r="AR21">
        <v>-1.4999999999999999E-2</v>
      </c>
      <c r="AS21">
        <v>1E-3</v>
      </c>
      <c r="AT21">
        <v>-1E-3</v>
      </c>
      <c r="AU21">
        <v>1E-3</v>
      </c>
      <c r="AV21">
        <v>-1E-3</v>
      </c>
      <c r="AW21" s="16">
        <v>1.4999999999999999E-2</v>
      </c>
      <c r="AX21" s="16">
        <v>-1.4999999999999999E-2</v>
      </c>
      <c r="JP21">
        <v>28.935185185185187</v>
      </c>
      <c r="JQ21">
        <v>28.935185185185187</v>
      </c>
    </row>
    <row r="22" spans="1:279" customFormat="1">
      <c r="A22" s="2">
        <v>17</v>
      </c>
      <c r="B22" s="2">
        <v>2.8931</v>
      </c>
      <c r="C22" s="2">
        <v>0.40152500000000002</v>
      </c>
      <c r="D22" s="2">
        <v>0.38715899999999998</v>
      </c>
      <c r="E22" s="2">
        <v>32.738391960000001</v>
      </c>
      <c r="F22" s="17" t="str">
        <f t="shared" si="0"/>
        <v/>
      </c>
      <c r="G22" s="9"/>
      <c r="H22" s="25">
        <v>1</v>
      </c>
      <c r="I22" s="5"/>
      <c r="J22" s="5"/>
      <c r="K22" s="5"/>
      <c r="L22" s="5"/>
      <c r="M22" s="5">
        <v>2</v>
      </c>
      <c r="N22" s="5"/>
      <c r="O22" s="5"/>
      <c r="P22" s="5"/>
      <c r="Q22" s="5"/>
      <c r="R22" s="5">
        <v>3</v>
      </c>
      <c r="S22" s="5"/>
      <c r="T22" s="5"/>
      <c r="U22" s="5"/>
      <c r="V22" s="5"/>
      <c r="W22" s="22">
        <f t="shared" si="1"/>
        <v>-2.86103</v>
      </c>
      <c r="X22" s="21">
        <f t="shared" si="2"/>
        <v>-0.34194799999999997</v>
      </c>
      <c r="Y22" s="21">
        <f t="shared" si="3"/>
        <v>-0.35478799999999999</v>
      </c>
      <c r="Z22" s="11">
        <f t="shared" si="4"/>
        <v>-1</v>
      </c>
      <c r="AA22" s="22">
        <f t="shared" si="5"/>
        <v>-2.8787199999999999</v>
      </c>
      <c r="AB22" s="21">
        <f t="shared" si="6"/>
        <v>-0.34179399999999999</v>
      </c>
      <c r="AC22" s="21">
        <f t="shared" si="7"/>
        <v>-0.35528399999999999</v>
      </c>
      <c r="AD22" s="11">
        <f t="shared" si="8"/>
        <v>-1</v>
      </c>
      <c r="AE22" s="22">
        <f t="shared" si="9"/>
        <v>-2.87967</v>
      </c>
      <c r="AF22" s="21">
        <f t="shared" si="10"/>
        <v>-0.34108300000000003</v>
      </c>
      <c r="AG22" s="21">
        <f t="shared" si="11"/>
        <v>-0.35443200000000002</v>
      </c>
      <c r="AH22" s="11">
        <f t="shared" si="12"/>
        <v>-1</v>
      </c>
      <c r="AI22">
        <v>2.5000000000000001E-2</v>
      </c>
      <c r="AJ22">
        <v>-2.5000000000000001E-2</v>
      </c>
      <c r="AK22">
        <v>1.5E-3</v>
      </c>
      <c r="AL22">
        <v>-1.5E-3</v>
      </c>
      <c r="AM22">
        <v>1.5E-3</v>
      </c>
      <c r="AN22">
        <v>-1.5E-3</v>
      </c>
      <c r="AO22" s="16">
        <v>2.5000000000000001E-2</v>
      </c>
      <c r="AP22" s="16">
        <v>-2.5000000000000001E-2</v>
      </c>
      <c r="AQ22">
        <v>1.4999999999999999E-2</v>
      </c>
      <c r="AR22">
        <v>-1.4999999999999999E-2</v>
      </c>
      <c r="AS22">
        <v>1E-3</v>
      </c>
      <c r="AT22">
        <v>-1E-3</v>
      </c>
      <c r="AU22">
        <v>1E-3</v>
      </c>
      <c r="AV22">
        <v>-1E-3</v>
      </c>
      <c r="AW22" s="16">
        <v>1.4999999999999999E-2</v>
      </c>
      <c r="AX22" s="16">
        <v>-1.4999999999999999E-2</v>
      </c>
    </row>
    <row r="23" spans="1:279" customFormat="1">
      <c r="A23" s="2">
        <v>18</v>
      </c>
      <c r="B23" s="2">
        <v>2.9159999999999999</v>
      </c>
      <c r="C23" s="2">
        <v>0.40108100000000002</v>
      </c>
      <c r="D23" s="2">
        <v>0.38773099999999999</v>
      </c>
      <c r="E23" s="2">
        <v>32.692462310000003</v>
      </c>
      <c r="F23" s="17" t="str">
        <f t="shared" si="0"/>
        <v/>
      </c>
      <c r="G23" s="9"/>
      <c r="H23" s="25">
        <v>1</v>
      </c>
      <c r="I23" s="5"/>
      <c r="J23" s="5"/>
      <c r="K23" s="5"/>
      <c r="L23" s="5"/>
      <c r="M23" s="5">
        <v>2</v>
      </c>
      <c r="N23" s="5"/>
      <c r="O23" s="5"/>
      <c r="P23" s="5"/>
      <c r="Q23" s="5"/>
      <c r="R23" s="5">
        <v>3</v>
      </c>
      <c r="S23" s="5"/>
      <c r="T23" s="5"/>
      <c r="U23" s="5"/>
      <c r="V23" s="5"/>
      <c r="W23" s="22">
        <f t="shared" si="1"/>
        <v>-2.86103</v>
      </c>
      <c r="X23" s="21">
        <f t="shared" si="2"/>
        <v>-0.34194799999999997</v>
      </c>
      <c r="Y23" s="21">
        <f t="shared" si="3"/>
        <v>-0.35478799999999999</v>
      </c>
      <c r="Z23" s="11">
        <f t="shared" si="4"/>
        <v>-1</v>
      </c>
      <c r="AA23" s="22">
        <f t="shared" si="5"/>
        <v>-2.8787199999999999</v>
      </c>
      <c r="AB23" s="21">
        <f t="shared" si="6"/>
        <v>-0.34179399999999999</v>
      </c>
      <c r="AC23" s="21">
        <f t="shared" si="7"/>
        <v>-0.35528399999999999</v>
      </c>
      <c r="AD23" s="11">
        <f t="shared" si="8"/>
        <v>-1</v>
      </c>
      <c r="AE23" s="22">
        <f t="shared" si="9"/>
        <v>-2.87967</v>
      </c>
      <c r="AF23" s="21">
        <f t="shared" si="10"/>
        <v>-0.34108300000000003</v>
      </c>
      <c r="AG23" s="21">
        <f t="shared" si="11"/>
        <v>-0.35443200000000002</v>
      </c>
      <c r="AH23" s="11">
        <f t="shared" si="12"/>
        <v>-1</v>
      </c>
      <c r="AI23">
        <v>2.5000000000000001E-2</v>
      </c>
      <c r="AJ23">
        <v>-2.5000000000000001E-2</v>
      </c>
      <c r="AK23">
        <v>1.5E-3</v>
      </c>
      <c r="AL23">
        <v>-1.5E-3</v>
      </c>
      <c r="AM23">
        <v>1.5E-3</v>
      </c>
      <c r="AN23">
        <v>-1.5E-3</v>
      </c>
      <c r="AO23" s="16">
        <v>2.5000000000000001E-2</v>
      </c>
      <c r="AP23" s="16">
        <v>-2.5000000000000001E-2</v>
      </c>
      <c r="AQ23">
        <v>1.4999999999999999E-2</v>
      </c>
      <c r="AR23">
        <v>-1.4999999999999999E-2</v>
      </c>
      <c r="AS23">
        <v>1E-3</v>
      </c>
      <c r="AT23">
        <v>-1E-3</v>
      </c>
      <c r="AU23">
        <v>1E-3</v>
      </c>
      <c r="AV23">
        <v>-1E-3</v>
      </c>
      <c r="AW23" s="16">
        <v>1.4999999999999999E-2</v>
      </c>
      <c r="AX23" s="16">
        <v>-1.4999999999999999E-2</v>
      </c>
    </row>
    <row r="24" spans="1:279" customFormat="1">
      <c r="A24" s="2">
        <v>19</v>
      </c>
      <c r="B24" s="2">
        <v>2.8828800000000001</v>
      </c>
      <c r="C24" s="2">
        <v>0.403169</v>
      </c>
      <c r="D24" s="2">
        <v>0.39186700000000002</v>
      </c>
      <c r="E24" s="2">
        <v>32.17085427</v>
      </c>
      <c r="F24" s="17" t="str">
        <f t="shared" si="0"/>
        <v/>
      </c>
      <c r="G24" s="9"/>
      <c r="H24" s="25">
        <v>1</v>
      </c>
      <c r="I24" s="5"/>
      <c r="J24" s="5"/>
      <c r="K24" s="5"/>
      <c r="L24" s="5"/>
      <c r="M24" s="5">
        <v>2</v>
      </c>
      <c r="N24" s="5"/>
      <c r="O24" s="5"/>
      <c r="P24" s="5"/>
      <c r="Q24" s="5"/>
      <c r="R24" s="5">
        <v>3</v>
      </c>
      <c r="S24" s="5"/>
      <c r="T24" s="5"/>
      <c r="U24" s="5"/>
      <c r="V24" s="5"/>
      <c r="W24" s="22">
        <f t="shared" si="1"/>
        <v>-2.86103</v>
      </c>
      <c r="X24" s="21">
        <f t="shared" si="2"/>
        <v>-0.34194799999999997</v>
      </c>
      <c r="Y24" s="21">
        <f t="shared" si="3"/>
        <v>-0.35478799999999999</v>
      </c>
      <c r="Z24" s="11">
        <f t="shared" si="4"/>
        <v>-1</v>
      </c>
      <c r="AA24" s="22">
        <f t="shared" si="5"/>
        <v>-2.8787199999999999</v>
      </c>
      <c r="AB24" s="21">
        <f t="shared" si="6"/>
        <v>-0.34179399999999999</v>
      </c>
      <c r="AC24" s="21">
        <f t="shared" si="7"/>
        <v>-0.35528399999999999</v>
      </c>
      <c r="AD24" s="11">
        <f t="shared" si="8"/>
        <v>-1</v>
      </c>
      <c r="AE24" s="22">
        <f t="shared" si="9"/>
        <v>-2.87967</v>
      </c>
      <c r="AF24" s="21">
        <f t="shared" si="10"/>
        <v>-0.34108300000000003</v>
      </c>
      <c r="AG24" s="21">
        <f t="shared" si="11"/>
        <v>-0.35443200000000002</v>
      </c>
      <c r="AH24" s="11">
        <f t="shared" si="12"/>
        <v>-1</v>
      </c>
      <c r="AI24">
        <v>2.5000000000000001E-2</v>
      </c>
      <c r="AJ24">
        <v>-2.5000000000000001E-2</v>
      </c>
      <c r="AK24">
        <v>1.5E-3</v>
      </c>
      <c r="AL24">
        <v>-1.5E-3</v>
      </c>
      <c r="AM24">
        <v>1.5E-3</v>
      </c>
      <c r="AN24">
        <v>-1.5E-3</v>
      </c>
      <c r="AO24" s="16">
        <v>2.5000000000000001E-2</v>
      </c>
      <c r="AP24" s="16">
        <v>-2.5000000000000001E-2</v>
      </c>
      <c r="AQ24">
        <v>1.4999999999999999E-2</v>
      </c>
      <c r="AR24">
        <v>-1.4999999999999999E-2</v>
      </c>
      <c r="AS24">
        <v>1E-3</v>
      </c>
      <c r="AT24">
        <v>-1E-3</v>
      </c>
      <c r="AU24">
        <v>1E-3</v>
      </c>
      <c r="AV24">
        <v>-1E-3</v>
      </c>
      <c r="AW24" s="16">
        <v>1.4999999999999999E-2</v>
      </c>
      <c r="AX24" s="16">
        <v>-1.4999999999999999E-2</v>
      </c>
    </row>
    <row r="25" spans="1:279" customFormat="1">
      <c r="A25" s="2">
        <v>20</v>
      </c>
      <c r="B25" s="2">
        <v>2.88137</v>
      </c>
      <c r="C25" s="2">
        <v>0.40234300000000001</v>
      </c>
      <c r="D25" s="2">
        <v>0.38802399999999998</v>
      </c>
      <c r="E25" s="2">
        <v>32.606733669999997</v>
      </c>
      <c r="F25" s="17" t="str">
        <f t="shared" si="0"/>
        <v/>
      </c>
      <c r="G25" s="9"/>
      <c r="H25" s="25">
        <v>1</v>
      </c>
      <c r="I25" s="5"/>
      <c r="J25" s="5"/>
      <c r="K25" s="5"/>
      <c r="L25" s="5"/>
      <c r="M25" s="5">
        <v>2</v>
      </c>
      <c r="N25" s="5"/>
      <c r="O25" s="5"/>
      <c r="P25" s="5"/>
      <c r="Q25" s="5"/>
      <c r="R25" s="5">
        <v>3</v>
      </c>
      <c r="S25" s="5"/>
      <c r="T25" s="5"/>
      <c r="U25" s="5"/>
      <c r="V25" s="5"/>
      <c r="W25" s="22">
        <f t="shared" si="1"/>
        <v>-2.86103</v>
      </c>
      <c r="X25" s="21">
        <f t="shared" si="2"/>
        <v>-0.34194799999999997</v>
      </c>
      <c r="Y25" s="21">
        <f t="shared" si="3"/>
        <v>-0.35478799999999999</v>
      </c>
      <c r="Z25" s="11">
        <f t="shared" si="4"/>
        <v>-1</v>
      </c>
      <c r="AA25" s="22">
        <f t="shared" si="5"/>
        <v>-2.8787199999999999</v>
      </c>
      <c r="AB25" s="21">
        <f t="shared" si="6"/>
        <v>-0.34179399999999999</v>
      </c>
      <c r="AC25" s="21">
        <f t="shared" si="7"/>
        <v>-0.35528399999999999</v>
      </c>
      <c r="AD25" s="11">
        <f t="shared" si="8"/>
        <v>-1</v>
      </c>
      <c r="AE25" s="22">
        <f t="shared" si="9"/>
        <v>-2.87967</v>
      </c>
      <c r="AF25" s="21">
        <f t="shared" si="10"/>
        <v>-0.34108300000000003</v>
      </c>
      <c r="AG25" s="21">
        <f t="shared" si="11"/>
        <v>-0.35443200000000002</v>
      </c>
      <c r="AH25" s="11">
        <f t="shared" si="12"/>
        <v>-1</v>
      </c>
      <c r="AI25">
        <v>2.5000000000000001E-2</v>
      </c>
      <c r="AJ25">
        <v>-2.5000000000000001E-2</v>
      </c>
      <c r="AK25">
        <v>1.5E-3</v>
      </c>
      <c r="AL25">
        <v>-1.5E-3</v>
      </c>
      <c r="AM25">
        <v>1.5E-3</v>
      </c>
      <c r="AN25">
        <v>-1.5E-3</v>
      </c>
      <c r="AO25" s="16">
        <v>2.5000000000000001E-2</v>
      </c>
      <c r="AP25" s="16">
        <v>-2.5000000000000001E-2</v>
      </c>
      <c r="AQ25">
        <v>1.4999999999999999E-2</v>
      </c>
      <c r="AR25">
        <v>-1.4999999999999999E-2</v>
      </c>
      <c r="AS25">
        <v>1E-3</v>
      </c>
      <c r="AT25">
        <v>-1E-3</v>
      </c>
      <c r="AU25">
        <v>1E-3</v>
      </c>
      <c r="AV25">
        <v>-1E-3</v>
      </c>
      <c r="AW25" s="16">
        <v>1.4999999999999999E-2</v>
      </c>
      <c r="AX25" s="16">
        <v>-1.4999999999999999E-2</v>
      </c>
    </row>
    <row r="26" spans="1:279" customFormat="1">
      <c r="A26" s="2">
        <v>21</v>
      </c>
      <c r="B26" s="2">
        <v>2.8786200000000002</v>
      </c>
      <c r="C26" s="2">
        <v>0.30793399999999999</v>
      </c>
      <c r="D26" s="2">
        <v>0.32305600000000001</v>
      </c>
      <c r="E26" s="2">
        <v>33.165628140000003</v>
      </c>
      <c r="F26" s="17" t="str">
        <f t="shared" si="0"/>
        <v/>
      </c>
      <c r="G26" s="9"/>
      <c r="H26" s="25">
        <v>1</v>
      </c>
      <c r="I26" s="5"/>
      <c r="J26" s="5"/>
      <c r="K26" s="5"/>
      <c r="L26" s="5"/>
      <c r="M26" s="5">
        <v>2</v>
      </c>
      <c r="N26" s="5"/>
      <c r="O26" s="5"/>
      <c r="P26" s="5"/>
      <c r="Q26" s="5"/>
      <c r="R26" s="5">
        <v>3</v>
      </c>
      <c r="S26" s="5"/>
      <c r="T26" s="5"/>
      <c r="U26" s="5"/>
      <c r="V26" s="5"/>
      <c r="W26" s="22">
        <f t="shared" si="1"/>
        <v>-2.86103</v>
      </c>
      <c r="X26" s="21">
        <f t="shared" si="2"/>
        <v>-0.34194799999999997</v>
      </c>
      <c r="Y26" s="21">
        <f t="shared" si="3"/>
        <v>-0.35478799999999999</v>
      </c>
      <c r="Z26" s="11">
        <f t="shared" si="4"/>
        <v>-1</v>
      </c>
      <c r="AA26" s="22">
        <f t="shared" si="5"/>
        <v>-2.8787199999999999</v>
      </c>
      <c r="AB26" s="21">
        <f t="shared" si="6"/>
        <v>-0.34179399999999999</v>
      </c>
      <c r="AC26" s="21">
        <f t="shared" si="7"/>
        <v>-0.35528399999999999</v>
      </c>
      <c r="AD26" s="11">
        <f t="shared" si="8"/>
        <v>-1</v>
      </c>
      <c r="AE26" s="22">
        <f t="shared" si="9"/>
        <v>-2.87967</v>
      </c>
      <c r="AF26" s="21">
        <f t="shared" si="10"/>
        <v>-0.34108300000000003</v>
      </c>
      <c r="AG26" s="21">
        <f t="shared" si="11"/>
        <v>-0.35443200000000002</v>
      </c>
      <c r="AH26" s="11">
        <f t="shared" si="12"/>
        <v>-1</v>
      </c>
      <c r="AI26">
        <v>2.5000000000000001E-2</v>
      </c>
      <c r="AJ26">
        <v>-2.5000000000000001E-2</v>
      </c>
      <c r="AK26">
        <v>1.5E-3</v>
      </c>
      <c r="AL26">
        <v>-1.5E-3</v>
      </c>
      <c r="AM26">
        <v>1.5E-3</v>
      </c>
      <c r="AN26">
        <v>-1.5E-3</v>
      </c>
      <c r="AO26" s="16">
        <v>2.5000000000000001E-2</v>
      </c>
      <c r="AP26" s="16">
        <v>-2.5000000000000001E-2</v>
      </c>
      <c r="AQ26">
        <v>1.4999999999999999E-2</v>
      </c>
      <c r="AR26">
        <v>-1.4999999999999999E-2</v>
      </c>
      <c r="AS26">
        <v>1E-3</v>
      </c>
      <c r="AT26">
        <v>-1E-3</v>
      </c>
      <c r="AU26">
        <v>1E-3</v>
      </c>
      <c r="AV26">
        <v>-1E-3</v>
      </c>
      <c r="AW26" s="16">
        <v>1.4999999999999999E-2</v>
      </c>
      <c r="AX26" s="16">
        <v>-1.4999999999999999E-2</v>
      </c>
    </row>
    <row r="27" spans="1:279" customFormat="1">
      <c r="A27" s="2">
        <v>22</v>
      </c>
      <c r="B27" s="2">
        <v>2.8761700000000001</v>
      </c>
      <c r="C27" s="2">
        <v>0.30982300000000002</v>
      </c>
      <c r="D27" s="2">
        <v>0.32214799999999999</v>
      </c>
      <c r="E27" s="2">
        <v>33.221105530000003</v>
      </c>
      <c r="F27" s="17" t="str">
        <f t="shared" si="0"/>
        <v/>
      </c>
      <c r="G27" s="9"/>
      <c r="H27" s="25">
        <v>1</v>
      </c>
      <c r="I27" s="5"/>
      <c r="J27" s="5"/>
      <c r="K27" s="5"/>
      <c r="L27" s="5"/>
      <c r="M27" s="5">
        <v>2</v>
      </c>
      <c r="N27" s="5"/>
      <c r="O27" s="5"/>
      <c r="P27" s="5"/>
      <c r="Q27" s="5"/>
      <c r="R27" s="5">
        <v>3</v>
      </c>
      <c r="S27" s="5"/>
      <c r="T27" s="5"/>
      <c r="U27" s="5"/>
      <c r="V27" s="5"/>
      <c r="W27" s="22">
        <f t="shared" si="1"/>
        <v>-2.86103</v>
      </c>
      <c r="X27" s="21">
        <f t="shared" si="2"/>
        <v>-0.34194799999999997</v>
      </c>
      <c r="Y27" s="21">
        <f t="shared" si="3"/>
        <v>-0.35478799999999999</v>
      </c>
      <c r="Z27" s="11">
        <f t="shared" si="4"/>
        <v>-1</v>
      </c>
      <c r="AA27" s="22">
        <f t="shared" si="5"/>
        <v>-2.8787199999999999</v>
      </c>
      <c r="AB27" s="21">
        <f t="shared" si="6"/>
        <v>-0.34179399999999999</v>
      </c>
      <c r="AC27" s="21">
        <f t="shared" si="7"/>
        <v>-0.35528399999999999</v>
      </c>
      <c r="AD27" s="11">
        <f t="shared" si="8"/>
        <v>-1</v>
      </c>
      <c r="AE27" s="22">
        <f t="shared" si="9"/>
        <v>-2.87967</v>
      </c>
      <c r="AF27" s="21">
        <f t="shared" si="10"/>
        <v>-0.34108300000000003</v>
      </c>
      <c r="AG27" s="21">
        <f t="shared" si="11"/>
        <v>-0.35443200000000002</v>
      </c>
      <c r="AH27" s="11">
        <f t="shared" si="12"/>
        <v>-1</v>
      </c>
      <c r="AI27">
        <v>2.5000000000000001E-2</v>
      </c>
      <c r="AJ27">
        <v>-2.5000000000000001E-2</v>
      </c>
      <c r="AK27">
        <v>1.5E-3</v>
      </c>
      <c r="AL27">
        <v>-1.5E-3</v>
      </c>
      <c r="AM27">
        <v>1.5E-3</v>
      </c>
      <c r="AN27">
        <v>-1.5E-3</v>
      </c>
      <c r="AO27" s="16">
        <v>2.5000000000000001E-2</v>
      </c>
      <c r="AP27" s="16">
        <v>-2.5000000000000001E-2</v>
      </c>
      <c r="AQ27">
        <v>1.4999999999999999E-2</v>
      </c>
      <c r="AR27">
        <v>-1.4999999999999999E-2</v>
      </c>
      <c r="AS27">
        <v>1E-3</v>
      </c>
      <c r="AT27">
        <v>-1E-3</v>
      </c>
      <c r="AU27">
        <v>1E-3</v>
      </c>
      <c r="AV27">
        <v>-1E-3</v>
      </c>
      <c r="AW27" s="16">
        <v>1.4999999999999999E-2</v>
      </c>
      <c r="AX27" s="16">
        <v>-1.4999999999999999E-2</v>
      </c>
    </row>
    <row r="28" spans="1:279" customFormat="1">
      <c r="A28" s="2">
        <v>23</v>
      </c>
      <c r="B28" s="2">
        <v>2.8791899999999999</v>
      </c>
      <c r="C28" s="2">
        <v>0.307863</v>
      </c>
      <c r="D28" s="2">
        <v>0.32122699999999998</v>
      </c>
      <c r="E28" s="2">
        <v>33.177085429999998</v>
      </c>
      <c r="F28" s="17" t="str">
        <f t="shared" si="0"/>
        <v/>
      </c>
      <c r="G28" s="9"/>
      <c r="H28" s="25">
        <v>1</v>
      </c>
      <c r="I28" s="5"/>
      <c r="J28" s="5"/>
      <c r="K28" s="5"/>
      <c r="L28" s="5"/>
      <c r="M28" s="5">
        <v>2</v>
      </c>
      <c r="N28" s="5"/>
      <c r="O28" s="5"/>
      <c r="P28" s="5"/>
      <c r="Q28" s="5"/>
      <c r="R28" s="5">
        <v>3</v>
      </c>
      <c r="S28" s="5"/>
      <c r="T28" s="5"/>
      <c r="U28" s="5"/>
      <c r="V28" s="5"/>
      <c r="W28" s="22">
        <f t="shared" si="1"/>
        <v>-2.86103</v>
      </c>
      <c r="X28" s="21">
        <f t="shared" si="2"/>
        <v>-0.34194799999999997</v>
      </c>
      <c r="Y28" s="21">
        <f t="shared" si="3"/>
        <v>-0.35478799999999999</v>
      </c>
      <c r="Z28" s="11">
        <f t="shared" si="4"/>
        <v>-1</v>
      </c>
      <c r="AA28" s="22">
        <f t="shared" si="5"/>
        <v>-2.8787199999999999</v>
      </c>
      <c r="AB28" s="21">
        <f t="shared" si="6"/>
        <v>-0.34179399999999999</v>
      </c>
      <c r="AC28" s="21">
        <f t="shared" si="7"/>
        <v>-0.35528399999999999</v>
      </c>
      <c r="AD28" s="11">
        <f t="shared" si="8"/>
        <v>-1</v>
      </c>
      <c r="AE28" s="22">
        <f t="shared" si="9"/>
        <v>-2.87967</v>
      </c>
      <c r="AF28" s="21">
        <f t="shared" si="10"/>
        <v>-0.34108300000000003</v>
      </c>
      <c r="AG28" s="21">
        <f t="shared" si="11"/>
        <v>-0.35443200000000002</v>
      </c>
      <c r="AH28" s="11">
        <f t="shared" si="12"/>
        <v>-1</v>
      </c>
      <c r="AI28">
        <v>2.5000000000000001E-2</v>
      </c>
      <c r="AJ28">
        <v>-2.5000000000000001E-2</v>
      </c>
      <c r="AK28">
        <v>1.5E-3</v>
      </c>
      <c r="AL28">
        <v>-1.5E-3</v>
      </c>
      <c r="AM28">
        <v>1.5E-3</v>
      </c>
      <c r="AN28">
        <v>-1.5E-3</v>
      </c>
      <c r="AO28" s="16">
        <v>2.5000000000000001E-2</v>
      </c>
      <c r="AP28" s="16">
        <v>-2.5000000000000001E-2</v>
      </c>
      <c r="AQ28">
        <v>1.4999999999999999E-2</v>
      </c>
      <c r="AR28">
        <v>-1.4999999999999999E-2</v>
      </c>
      <c r="AS28">
        <v>1E-3</v>
      </c>
      <c r="AT28">
        <v>-1E-3</v>
      </c>
      <c r="AU28">
        <v>1E-3</v>
      </c>
      <c r="AV28">
        <v>-1E-3</v>
      </c>
      <c r="AW28" s="16">
        <v>1.4999999999999999E-2</v>
      </c>
      <c r="AX28" s="16">
        <v>-1.4999999999999999E-2</v>
      </c>
    </row>
    <row r="29" spans="1:279" customFormat="1">
      <c r="A29" s="2">
        <v>24</v>
      </c>
      <c r="B29" s="2">
        <v>2.8745599999999998</v>
      </c>
      <c r="C29" s="2">
        <v>0.30936200000000003</v>
      </c>
      <c r="D29" s="2">
        <v>0.32103500000000001</v>
      </c>
      <c r="E29" s="2">
        <v>33.195678389999998</v>
      </c>
      <c r="F29" s="17" t="str">
        <f t="shared" si="0"/>
        <v/>
      </c>
      <c r="G29" s="9"/>
      <c r="H29" s="25">
        <v>1</v>
      </c>
      <c r="I29" s="5"/>
      <c r="J29" s="5"/>
      <c r="K29" s="5"/>
      <c r="L29" s="5"/>
      <c r="M29" s="5">
        <v>2</v>
      </c>
      <c r="N29" s="5"/>
      <c r="O29" s="5"/>
      <c r="P29" s="5"/>
      <c r="Q29" s="5"/>
      <c r="R29" s="5">
        <v>3</v>
      </c>
      <c r="S29" s="5"/>
      <c r="T29" s="5"/>
      <c r="U29" s="5"/>
      <c r="V29" s="5"/>
      <c r="W29" s="22">
        <f t="shared" si="1"/>
        <v>-2.86103</v>
      </c>
      <c r="X29" s="21">
        <f t="shared" si="2"/>
        <v>-0.34194799999999997</v>
      </c>
      <c r="Y29" s="21">
        <f t="shared" si="3"/>
        <v>-0.35478799999999999</v>
      </c>
      <c r="Z29" s="11">
        <f t="shared" si="4"/>
        <v>-1</v>
      </c>
      <c r="AA29" s="22">
        <f t="shared" si="5"/>
        <v>-2.8787199999999999</v>
      </c>
      <c r="AB29" s="21">
        <f t="shared" si="6"/>
        <v>-0.34179399999999999</v>
      </c>
      <c r="AC29" s="21">
        <f t="shared" si="7"/>
        <v>-0.35528399999999999</v>
      </c>
      <c r="AD29" s="11">
        <f t="shared" si="8"/>
        <v>-1</v>
      </c>
      <c r="AE29" s="22">
        <f t="shared" si="9"/>
        <v>-2.87967</v>
      </c>
      <c r="AF29" s="21">
        <f t="shared" si="10"/>
        <v>-0.34108300000000003</v>
      </c>
      <c r="AG29" s="21">
        <f t="shared" si="11"/>
        <v>-0.35443200000000002</v>
      </c>
      <c r="AH29" s="11">
        <f t="shared" si="12"/>
        <v>-1</v>
      </c>
      <c r="AI29">
        <v>2.5000000000000001E-2</v>
      </c>
      <c r="AJ29">
        <v>-2.5000000000000001E-2</v>
      </c>
      <c r="AK29">
        <v>1.5E-3</v>
      </c>
      <c r="AL29">
        <v>-1.5E-3</v>
      </c>
      <c r="AM29">
        <v>1.5E-3</v>
      </c>
      <c r="AN29">
        <v>-1.5E-3</v>
      </c>
      <c r="AO29" s="16">
        <v>2.5000000000000001E-2</v>
      </c>
      <c r="AP29" s="16">
        <v>-2.5000000000000001E-2</v>
      </c>
      <c r="AQ29">
        <v>1.4999999999999999E-2</v>
      </c>
      <c r="AR29">
        <v>-1.4999999999999999E-2</v>
      </c>
      <c r="AS29">
        <v>1E-3</v>
      </c>
      <c r="AT29">
        <v>-1E-3</v>
      </c>
      <c r="AU29">
        <v>1E-3</v>
      </c>
      <c r="AV29">
        <v>-1E-3</v>
      </c>
      <c r="AW29" s="16">
        <v>1.4999999999999999E-2</v>
      </c>
      <c r="AX29" s="16">
        <v>-1.4999999999999999E-2</v>
      </c>
    </row>
    <row r="30" spans="1:279" customFormat="1">
      <c r="A30" s="2">
        <v>25</v>
      </c>
      <c r="B30" s="2">
        <v>2.8801399999999999</v>
      </c>
      <c r="C30" s="2">
        <v>0.30900699999999998</v>
      </c>
      <c r="D30" s="2">
        <v>0.32467699999999999</v>
      </c>
      <c r="E30" s="2">
        <v>33.416381909999998</v>
      </c>
      <c r="F30" s="17" t="str">
        <f t="shared" si="0"/>
        <v/>
      </c>
      <c r="G30" s="9"/>
      <c r="H30" s="25">
        <v>1</v>
      </c>
      <c r="I30" s="5"/>
      <c r="J30" s="5"/>
      <c r="K30" s="5"/>
      <c r="L30" s="5"/>
      <c r="M30" s="5">
        <v>2</v>
      </c>
      <c r="N30" s="5"/>
      <c r="O30" s="5"/>
      <c r="P30" s="5"/>
      <c r="Q30" s="5"/>
      <c r="R30" s="5">
        <v>3</v>
      </c>
      <c r="S30" s="5"/>
      <c r="T30" s="5"/>
      <c r="U30" s="5"/>
      <c r="V30" s="5"/>
      <c r="W30" s="22">
        <f t="shared" si="1"/>
        <v>-2.86103</v>
      </c>
      <c r="X30" s="21">
        <f t="shared" si="2"/>
        <v>-0.34194799999999997</v>
      </c>
      <c r="Y30" s="21">
        <f t="shared" si="3"/>
        <v>-0.35478799999999999</v>
      </c>
      <c r="Z30" s="11">
        <f t="shared" si="4"/>
        <v>-1</v>
      </c>
      <c r="AA30" s="22">
        <f t="shared" si="5"/>
        <v>-2.8787199999999999</v>
      </c>
      <c r="AB30" s="21">
        <f t="shared" si="6"/>
        <v>-0.34179399999999999</v>
      </c>
      <c r="AC30" s="21">
        <f t="shared" si="7"/>
        <v>-0.35528399999999999</v>
      </c>
      <c r="AD30" s="11">
        <f t="shared" si="8"/>
        <v>-1</v>
      </c>
      <c r="AE30" s="22">
        <f t="shared" si="9"/>
        <v>-2.87967</v>
      </c>
      <c r="AF30" s="21">
        <f t="shared" si="10"/>
        <v>-0.34108300000000003</v>
      </c>
      <c r="AG30" s="21">
        <f t="shared" si="11"/>
        <v>-0.35443200000000002</v>
      </c>
      <c r="AH30" s="11">
        <f t="shared" si="12"/>
        <v>-1</v>
      </c>
      <c r="AI30">
        <v>2.5000000000000001E-2</v>
      </c>
      <c r="AJ30">
        <v>-2.5000000000000001E-2</v>
      </c>
      <c r="AK30">
        <v>1.5E-3</v>
      </c>
      <c r="AL30">
        <v>-1.5E-3</v>
      </c>
      <c r="AM30">
        <v>1.5E-3</v>
      </c>
      <c r="AN30">
        <v>-1.5E-3</v>
      </c>
      <c r="AO30" s="16">
        <v>2.5000000000000001E-2</v>
      </c>
      <c r="AP30" s="16">
        <v>-2.5000000000000001E-2</v>
      </c>
      <c r="AQ30">
        <v>1.4999999999999999E-2</v>
      </c>
      <c r="AR30">
        <v>-1.4999999999999999E-2</v>
      </c>
      <c r="AS30">
        <v>1E-3</v>
      </c>
      <c r="AT30">
        <v>-1E-3</v>
      </c>
      <c r="AU30">
        <v>1E-3</v>
      </c>
      <c r="AV30">
        <v>-1E-3</v>
      </c>
      <c r="AW30" s="16">
        <v>1.4999999999999999E-2</v>
      </c>
      <c r="AX30" s="16">
        <v>-1.4999999999999999E-2</v>
      </c>
    </row>
    <row r="31" spans="1:279" customFormat="1">
      <c r="A31" s="2">
        <v>26</v>
      </c>
      <c r="B31" s="2">
        <v>2.8701099999999999</v>
      </c>
      <c r="C31" s="2">
        <v>0.388992</v>
      </c>
      <c r="D31" s="2">
        <v>0.38349</v>
      </c>
      <c r="E31" s="2">
        <v>32.646030150000001</v>
      </c>
      <c r="F31" s="17" t="str">
        <f t="shared" si="0"/>
        <v/>
      </c>
      <c r="G31" s="9"/>
      <c r="H31" s="25">
        <v>1</v>
      </c>
      <c r="I31" s="5"/>
      <c r="J31" s="5"/>
      <c r="K31" s="5"/>
      <c r="L31" s="5"/>
      <c r="M31" s="5">
        <v>2</v>
      </c>
      <c r="N31" s="5"/>
      <c r="O31" s="5"/>
      <c r="P31" s="5"/>
      <c r="Q31" s="5"/>
      <c r="R31" s="5">
        <v>3</v>
      </c>
      <c r="S31" s="5"/>
      <c r="T31" s="5"/>
      <c r="U31" s="5"/>
      <c r="V31" s="5"/>
      <c r="W31" s="22">
        <f t="shared" si="1"/>
        <v>-2.86103</v>
      </c>
      <c r="X31" s="21">
        <f t="shared" si="2"/>
        <v>-0.34194799999999997</v>
      </c>
      <c r="Y31" s="21">
        <f t="shared" si="3"/>
        <v>-0.35478799999999999</v>
      </c>
      <c r="Z31" s="11">
        <f t="shared" si="4"/>
        <v>-1</v>
      </c>
      <c r="AA31" s="22">
        <f t="shared" si="5"/>
        <v>-2.8787199999999999</v>
      </c>
      <c r="AB31" s="21">
        <f t="shared" si="6"/>
        <v>-0.34179399999999999</v>
      </c>
      <c r="AC31" s="21">
        <f t="shared" si="7"/>
        <v>-0.35528399999999999</v>
      </c>
      <c r="AD31" s="11">
        <f t="shared" si="8"/>
        <v>-1</v>
      </c>
      <c r="AE31" s="22">
        <f t="shared" si="9"/>
        <v>-2.87967</v>
      </c>
      <c r="AF31" s="21">
        <f t="shared" si="10"/>
        <v>-0.34108300000000003</v>
      </c>
      <c r="AG31" s="21">
        <f t="shared" si="11"/>
        <v>-0.35443200000000002</v>
      </c>
      <c r="AH31" s="11">
        <f t="shared" si="12"/>
        <v>-1</v>
      </c>
      <c r="AI31">
        <v>2.5000000000000001E-2</v>
      </c>
      <c r="AJ31">
        <v>-2.5000000000000001E-2</v>
      </c>
      <c r="AK31">
        <v>1.5E-3</v>
      </c>
      <c r="AL31">
        <v>-1.5E-3</v>
      </c>
      <c r="AM31">
        <v>1.5E-3</v>
      </c>
      <c r="AN31">
        <v>-1.5E-3</v>
      </c>
      <c r="AO31" s="16">
        <v>2.5000000000000001E-2</v>
      </c>
      <c r="AP31" s="16">
        <v>-2.5000000000000001E-2</v>
      </c>
      <c r="AQ31">
        <v>1.4999999999999999E-2</v>
      </c>
      <c r="AR31">
        <v>-1.4999999999999999E-2</v>
      </c>
      <c r="AS31">
        <v>1E-3</v>
      </c>
      <c r="AT31">
        <v>-1E-3</v>
      </c>
      <c r="AU31">
        <v>1E-3</v>
      </c>
      <c r="AV31">
        <v>-1E-3</v>
      </c>
      <c r="AW31" s="16">
        <v>1.4999999999999999E-2</v>
      </c>
      <c r="AX31" s="16">
        <v>-1.4999999999999999E-2</v>
      </c>
    </row>
    <row r="32" spans="1:279" customFormat="1">
      <c r="A32" s="2">
        <v>27</v>
      </c>
      <c r="B32" s="2">
        <v>2.8812799999999998</v>
      </c>
      <c r="C32" s="2">
        <v>0.389233</v>
      </c>
      <c r="D32" s="2">
        <v>0.38497700000000001</v>
      </c>
      <c r="E32" s="2">
        <v>32.88241206</v>
      </c>
      <c r="F32" s="17" t="str">
        <f t="shared" si="0"/>
        <v/>
      </c>
      <c r="G32" s="9"/>
      <c r="H32" s="25">
        <v>1</v>
      </c>
      <c r="I32" s="5"/>
      <c r="J32" s="5"/>
      <c r="K32" s="5"/>
      <c r="L32" s="5"/>
      <c r="M32" s="5">
        <v>2</v>
      </c>
      <c r="N32" s="5"/>
      <c r="O32" s="5"/>
      <c r="P32" s="5"/>
      <c r="Q32" s="5"/>
      <c r="R32" s="5">
        <v>3</v>
      </c>
      <c r="S32" s="5"/>
      <c r="T32" s="5"/>
      <c r="U32" s="5"/>
      <c r="V32" s="5"/>
      <c r="W32" s="22">
        <f t="shared" si="1"/>
        <v>-2.86103</v>
      </c>
      <c r="X32" s="21">
        <f t="shared" si="2"/>
        <v>-0.34194799999999997</v>
      </c>
      <c r="Y32" s="21">
        <f t="shared" si="3"/>
        <v>-0.35478799999999999</v>
      </c>
      <c r="Z32" s="11">
        <f t="shared" si="4"/>
        <v>-1</v>
      </c>
      <c r="AA32" s="22">
        <f t="shared" si="5"/>
        <v>-2.8787199999999999</v>
      </c>
      <c r="AB32" s="21">
        <f t="shared" si="6"/>
        <v>-0.34179399999999999</v>
      </c>
      <c r="AC32" s="21">
        <f t="shared" si="7"/>
        <v>-0.35528399999999999</v>
      </c>
      <c r="AD32" s="11">
        <f t="shared" si="8"/>
        <v>-1</v>
      </c>
      <c r="AE32" s="22">
        <f t="shared" si="9"/>
        <v>-2.87967</v>
      </c>
      <c r="AF32" s="21">
        <f t="shared" si="10"/>
        <v>-0.34108300000000003</v>
      </c>
      <c r="AG32" s="21">
        <f t="shared" si="11"/>
        <v>-0.35443200000000002</v>
      </c>
      <c r="AH32" s="11">
        <f t="shared" si="12"/>
        <v>-1</v>
      </c>
      <c r="AI32">
        <v>2.5000000000000001E-2</v>
      </c>
      <c r="AJ32">
        <v>-2.5000000000000001E-2</v>
      </c>
      <c r="AK32">
        <v>1.5E-3</v>
      </c>
      <c r="AL32">
        <v>-1.5E-3</v>
      </c>
      <c r="AM32">
        <v>1.5E-3</v>
      </c>
      <c r="AN32">
        <v>-1.5E-3</v>
      </c>
      <c r="AO32" s="16">
        <v>2.5000000000000001E-2</v>
      </c>
      <c r="AP32" s="16">
        <v>-2.5000000000000001E-2</v>
      </c>
      <c r="AQ32">
        <v>1.4999999999999999E-2</v>
      </c>
      <c r="AR32">
        <v>-1.4999999999999999E-2</v>
      </c>
      <c r="AS32">
        <v>1E-3</v>
      </c>
      <c r="AT32">
        <v>-1E-3</v>
      </c>
      <c r="AU32">
        <v>1E-3</v>
      </c>
      <c r="AV32">
        <v>-1E-3</v>
      </c>
      <c r="AW32" s="16">
        <v>1.4999999999999999E-2</v>
      </c>
      <c r="AX32" s="16">
        <v>-1.4999999999999999E-2</v>
      </c>
    </row>
    <row r="33" spans="1:279" customFormat="1">
      <c r="A33" s="2">
        <v>28</v>
      </c>
      <c r="B33" s="2">
        <v>2.8702999999999999</v>
      </c>
      <c r="C33" s="2">
        <v>0.38863900000000001</v>
      </c>
      <c r="D33" s="2">
        <v>0.38361800000000001</v>
      </c>
      <c r="E33" s="2">
        <v>32.816080399999997</v>
      </c>
      <c r="F33" s="17" t="str">
        <f t="shared" si="0"/>
        <v/>
      </c>
      <c r="G33" s="9"/>
      <c r="H33" s="25">
        <v>1</v>
      </c>
      <c r="I33" s="5"/>
      <c r="J33" s="5"/>
      <c r="K33" s="5"/>
      <c r="L33" s="5"/>
      <c r="M33" s="5">
        <v>2</v>
      </c>
      <c r="N33" s="5"/>
      <c r="O33" s="5"/>
      <c r="P33" s="5"/>
      <c r="Q33" s="5"/>
      <c r="R33" s="5">
        <v>3</v>
      </c>
      <c r="S33" s="5"/>
      <c r="T33" s="5"/>
      <c r="U33" s="5"/>
      <c r="V33" s="5"/>
      <c r="W33" s="22">
        <f t="shared" si="1"/>
        <v>-2.86103</v>
      </c>
      <c r="X33" s="21">
        <f t="shared" si="2"/>
        <v>-0.34194799999999997</v>
      </c>
      <c r="Y33" s="21">
        <f t="shared" si="3"/>
        <v>-0.35478799999999999</v>
      </c>
      <c r="Z33" s="11">
        <f t="shared" si="4"/>
        <v>-1</v>
      </c>
      <c r="AA33" s="22">
        <f t="shared" si="5"/>
        <v>-2.8787199999999999</v>
      </c>
      <c r="AB33" s="21">
        <f t="shared" si="6"/>
        <v>-0.34179399999999999</v>
      </c>
      <c r="AC33" s="21">
        <f t="shared" si="7"/>
        <v>-0.35528399999999999</v>
      </c>
      <c r="AD33" s="11">
        <f t="shared" si="8"/>
        <v>-1</v>
      </c>
      <c r="AE33" s="22">
        <f t="shared" si="9"/>
        <v>-2.87967</v>
      </c>
      <c r="AF33" s="21">
        <f t="shared" si="10"/>
        <v>-0.34108300000000003</v>
      </c>
      <c r="AG33" s="21">
        <f t="shared" si="11"/>
        <v>-0.35443200000000002</v>
      </c>
      <c r="AH33" s="11">
        <f t="shared" si="12"/>
        <v>-1</v>
      </c>
      <c r="AI33">
        <v>2.5000000000000001E-2</v>
      </c>
      <c r="AJ33">
        <v>-2.5000000000000001E-2</v>
      </c>
      <c r="AK33">
        <v>1.5E-3</v>
      </c>
      <c r="AL33">
        <v>-1.5E-3</v>
      </c>
      <c r="AM33">
        <v>1.5E-3</v>
      </c>
      <c r="AN33">
        <v>-1.5E-3</v>
      </c>
      <c r="AO33" s="16">
        <v>2.5000000000000001E-2</v>
      </c>
      <c r="AP33" s="16">
        <v>-2.5000000000000001E-2</v>
      </c>
      <c r="AQ33">
        <v>1.4999999999999999E-2</v>
      </c>
      <c r="AR33">
        <v>-1.4999999999999999E-2</v>
      </c>
      <c r="AS33">
        <v>1E-3</v>
      </c>
      <c r="AT33">
        <v>-1E-3</v>
      </c>
      <c r="AU33">
        <v>1E-3</v>
      </c>
      <c r="AV33">
        <v>-1E-3</v>
      </c>
      <c r="AW33" s="16">
        <v>1.4999999999999999E-2</v>
      </c>
      <c r="AX33" s="16">
        <v>-1.4999999999999999E-2</v>
      </c>
      <c r="JR33">
        <v>12.849506578947368</v>
      </c>
    </row>
    <row r="34" spans="1:279" customFormat="1">
      <c r="A34" s="2">
        <v>29</v>
      </c>
      <c r="B34" s="2">
        <v>2.87636</v>
      </c>
      <c r="C34" s="2">
        <v>0.38904</v>
      </c>
      <c r="D34" s="2">
        <v>0.38475399999999998</v>
      </c>
      <c r="E34" s="2">
        <v>33.006432160000003</v>
      </c>
      <c r="F34" s="17" t="str">
        <f t="shared" si="0"/>
        <v/>
      </c>
      <c r="G34" s="9"/>
      <c r="H34" s="25">
        <v>1</v>
      </c>
      <c r="I34" s="5"/>
      <c r="J34" s="5"/>
      <c r="K34" s="5"/>
      <c r="L34" s="5"/>
      <c r="M34" s="5">
        <v>2</v>
      </c>
      <c r="N34" s="5"/>
      <c r="O34" s="5"/>
      <c r="P34" s="5"/>
      <c r="Q34" s="5"/>
      <c r="R34" s="5">
        <v>3</v>
      </c>
      <c r="S34" s="5"/>
      <c r="T34" s="5"/>
      <c r="U34" s="5"/>
      <c r="V34" s="5"/>
      <c r="W34" s="22">
        <f t="shared" si="1"/>
        <v>-2.86103</v>
      </c>
      <c r="X34" s="21">
        <f t="shared" si="2"/>
        <v>-0.34194799999999997</v>
      </c>
      <c r="Y34" s="21">
        <f t="shared" si="3"/>
        <v>-0.35478799999999999</v>
      </c>
      <c r="Z34" s="11">
        <f t="shared" si="4"/>
        <v>-1</v>
      </c>
      <c r="AA34" s="22">
        <f t="shared" si="5"/>
        <v>-2.8787199999999999</v>
      </c>
      <c r="AB34" s="21">
        <f t="shared" si="6"/>
        <v>-0.34179399999999999</v>
      </c>
      <c r="AC34" s="21">
        <f t="shared" si="7"/>
        <v>-0.35528399999999999</v>
      </c>
      <c r="AD34" s="11">
        <f t="shared" si="8"/>
        <v>-1</v>
      </c>
      <c r="AE34" s="22">
        <f t="shared" si="9"/>
        <v>-2.87967</v>
      </c>
      <c r="AF34" s="21">
        <f t="shared" si="10"/>
        <v>-0.34108300000000003</v>
      </c>
      <c r="AG34" s="21">
        <f t="shared" si="11"/>
        <v>-0.35443200000000002</v>
      </c>
      <c r="AH34" s="11">
        <f t="shared" si="12"/>
        <v>-1</v>
      </c>
      <c r="AI34">
        <v>2.5000000000000001E-2</v>
      </c>
      <c r="AJ34">
        <v>-2.5000000000000001E-2</v>
      </c>
      <c r="AK34">
        <v>1.5E-3</v>
      </c>
      <c r="AL34">
        <v>-1.5E-3</v>
      </c>
      <c r="AM34">
        <v>1.5E-3</v>
      </c>
      <c r="AN34">
        <v>-1.5E-3</v>
      </c>
      <c r="AO34" s="16">
        <v>2.5000000000000001E-2</v>
      </c>
      <c r="AP34" s="16">
        <v>-2.5000000000000001E-2</v>
      </c>
      <c r="AQ34">
        <v>1.4999999999999999E-2</v>
      </c>
      <c r="AR34">
        <v>-1.4999999999999999E-2</v>
      </c>
      <c r="AS34">
        <v>1E-3</v>
      </c>
      <c r="AT34">
        <v>-1E-3</v>
      </c>
      <c r="AU34">
        <v>1E-3</v>
      </c>
      <c r="AV34">
        <v>-1E-3</v>
      </c>
      <c r="AW34" s="16">
        <v>1.4999999999999999E-2</v>
      </c>
      <c r="AX34" s="16">
        <v>-1.4999999999999999E-2</v>
      </c>
      <c r="JR34">
        <v>12.849506578947368</v>
      </c>
      <c r="JS34">
        <v>12.849506578947368</v>
      </c>
    </row>
    <row r="35" spans="1:279" customFormat="1">
      <c r="A35" s="2">
        <v>30</v>
      </c>
      <c r="B35" s="2">
        <v>2.8702000000000001</v>
      </c>
      <c r="C35" s="2">
        <v>0.38963500000000001</v>
      </c>
      <c r="D35" s="2">
        <v>0.38296400000000003</v>
      </c>
      <c r="E35" s="2">
        <v>32.577688440000003</v>
      </c>
      <c r="F35" s="17" t="str">
        <f t="shared" si="0"/>
        <v/>
      </c>
      <c r="G35" s="9"/>
      <c r="H35" s="25">
        <v>1</v>
      </c>
      <c r="I35" s="5"/>
      <c r="J35" s="5"/>
      <c r="K35" s="5"/>
      <c r="L35" s="5"/>
      <c r="M35" s="5">
        <v>2</v>
      </c>
      <c r="N35" s="5"/>
      <c r="O35" s="5"/>
      <c r="P35" s="5"/>
      <c r="Q35" s="5"/>
      <c r="R35" s="5">
        <v>3</v>
      </c>
      <c r="S35" s="5"/>
      <c r="T35" s="5"/>
      <c r="U35" s="5"/>
      <c r="V35" s="5"/>
      <c r="W35" s="22">
        <f t="shared" si="1"/>
        <v>-2.86103</v>
      </c>
      <c r="X35" s="21">
        <f t="shared" si="2"/>
        <v>-0.34194799999999997</v>
      </c>
      <c r="Y35" s="21">
        <f t="shared" si="3"/>
        <v>-0.35478799999999999</v>
      </c>
      <c r="Z35" s="11">
        <f t="shared" si="4"/>
        <v>-1</v>
      </c>
      <c r="AA35" s="22">
        <f t="shared" si="5"/>
        <v>-2.8787199999999999</v>
      </c>
      <c r="AB35" s="21">
        <f t="shared" si="6"/>
        <v>-0.34179399999999999</v>
      </c>
      <c r="AC35" s="21">
        <f t="shared" si="7"/>
        <v>-0.35528399999999999</v>
      </c>
      <c r="AD35" s="11">
        <f t="shared" si="8"/>
        <v>-1</v>
      </c>
      <c r="AE35" s="22">
        <f t="shared" si="9"/>
        <v>-2.87967</v>
      </c>
      <c r="AF35" s="21">
        <f t="shared" si="10"/>
        <v>-0.34108300000000003</v>
      </c>
      <c r="AG35" s="21">
        <f t="shared" si="11"/>
        <v>-0.35443200000000002</v>
      </c>
      <c r="AH35" s="11">
        <f t="shared" si="12"/>
        <v>-1</v>
      </c>
      <c r="AI35">
        <v>2.5000000000000001E-2</v>
      </c>
      <c r="AJ35">
        <v>-2.5000000000000001E-2</v>
      </c>
      <c r="AK35">
        <v>1.5E-3</v>
      </c>
      <c r="AL35">
        <v>-1.5E-3</v>
      </c>
      <c r="AM35">
        <v>1.5E-3</v>
      </c>
      <c r="AN35">
        <v>-1.5E-3</v>
      </c>
      <c r="AO35" s="16">
        <v>2.5000000000000001E-2</v>
      </c>
      <c r="AP35" s="16">
        <v>-2.5000000000000001E-2</v>
      </c>
      <c r="AQ35">
        <v>1.4999999999999999E-2</v>
      </c>
      <c r="AR35">
        <v>-1.4999999999999999E-2</v>
      </c>
      <c r="AS35">
        <v>1E-3</v>
      </c>
      <c r="AT35">
        <v>-1E-3</v>
      </c>
      <c r="AU35">
        <v>1E-3</v>
      </c>
      <c r="AV35">
        <v>-1E-3</v>
      </c>
      <c r="AW35" s="16">
        <v>1.4999999999999999E-2</v>
      </c>
      <c r="AX35" s="16">
        <v>-1.4999999999999999E-2</v>
      </c>
    </row>
    <row r="36" spans="1:279" customFormat="1">
      <c r="F36" s="17" t="str">
        <f t="shared" si="0"/>
        <v/>
      </c>
      <c r="G36" s="9"/>
      <c r="H36" s="25">
        <v>1</v>
      </c>
      <c r="I36" s="5"/>
      <c r="J36" s="5"/>
      <c r="K36" s="5"/>
      <c r="L36" s="5"/>
      <c r="M36" s="5">
        <v>2</v>
      </c>
      <c r="N36" s="5"/>
      <c r="O36" s="5"/>
      <c r="P36" s="5"/>
      <c r="Q36" s="5"/>
      <c r="R36" s="5">
        <v>3</v>
      </c>
      <c r="S36" s="5"/>
      <c r="T36" s="5"/>
      <c r="U36" s="5"/>
      <c r="V36" s="5"/>
      <c r="W36" s="22">
        <f t="shared" si="1"/>
        <v>-2.86103</v>
      </c>
      <c r="X36" s="21">
        <f t="shared" si="2"/>
        <v>-0.34194799999999997</v>
      </c>
      <c r="Y36" s="21">
        <f t="shared" si="3"/>
        <v>-0.35478799999999999</v>
      </c>
      <c r="Z36" s="11">
        <f t="shared" si="4"/>
        <v>-1</v>
      </c>
      <c r="AA36" s="22">
        <f t="shared" si="5"/>
        <v>-2.8787199999999999</v>
      </c>
      <c r="AB36" s="21">
        <f t="shared" si="6"/>
        <v>-0.34179399999999999</v>
      </c>
      <c r="AC36" s="21">
        <f t="shared" si="7"/>
        <v>-0.35528399999999999</v>
      </c>
      <c r="AD36" s="11">
        <f t="shared" si="8"/>
        <v>-1</v>
      </c>
      <c r="AE36" s="22">
        <f t="shared" si="9"/>
        <v>-2.87967</v>
      </c>
      <c r="AF36" s="21">
        <f t="shared" si="10"/>
        <v>-0.34108300000000003</v>
      </c>
      <c r="AG36" s="21">
        <f t="shared" si="11"/>
        <v>-0.35443200000000002</v>
      </c>
      <c r="AH36" s="11">
        <f t="shared" si="12"/>
        <v>-1</v>
      </c>
      <c r="AI36">
        <v>2.5000000000000001E-2</v>
      </c>
      <c r="AJ36">
        <v>-2.5000000000000001E-2</v>
      </c>
      <c r="AK36">
        <v>1.5E-3</v>
      </c>
      <c r="AL36">
        <v>-1.5E-3</v>
      </c>
      <c r="AM36">
        <v>1.5E-3</v>
      </c>
      <c r="AN36">
        <v>-1.5E-3</v>
      </c>
      <c r="AO36" s="16">
        <v>2.5000000000000001E-2</v>
      </c>
      <c r="AP36" s="16">
        <v>-2.5000000000000001E-2</v>
      </c>
      <c r="AQ36">
        <v>1.4999999999999999E-2</v>
      </c>
      <c r="AR36">
        <v>-1.4999999999999999E-2</v>
      </c>
      <c r="AS36">
        <v>1E-3</v>
      </c>
      <c r="AT36">
        <v>-1E-3</v>
      </c>
      <c r="AU36">
        <v>1E-3</v>
      </c>
      <c r="AV36">
        <v>-1E-3</v>
      </c>
      <c r="AW36" s="16">
        <v>1.4999999999999999E-2</v>
      </c>
      <c r="AX36" s="16">
        <v>-1.4999999999999999E-2</v>
      </c>
    </row>
    <row r="37" spans="1:279" customFormat="1">
      <c r="F37" s="17" t="str">
        <f t="shared" si="0"/>
        <v/>
      </c>
      <c r="G37" s="9"/>
      <c r="H37" s="25">
        <v>1</v>
      </c>
      <c r="I37" s="5"/>
      <c r="J37" s="5"/>
      <c r="K37" s="5"/>
      <c r="L37" s="5"/>
      <c r="M37" s="5">
        <v>2</v>
      </c>
      <c r="N37" s="5"/>
      <c r="O37" s="5"/>
      <c r="P37" s="5"/>
      <c r="Q37" s="5"/>
      <c r="R37" s="5">
        <v>3</v>
      </c>
      <c r="S37" s="5"/>
      <c r="T37" s="5"/>
      <c r="U37" s="5"/>
      <c r="V37" s="5"/>
      <c r="W37" s="22">
        <f t="shared" si="1"/>
        <v>-2.86103</v>
      </c>
      <c r="X37" s="21">
        <f t="shared" si="2"/>
        <v>-0.34194799999999997</v>
      </c>
      <c r="Y37" s="21">
        <f t="shared" si="3"/>
        <v>-0.35478799999999999</v>
      </c>
      <c r="Z37" s="11">
        <f t="shared" si="4"/>
        <v>-1</v>
      </c>
      <c r="AA37" s="22">
        <f t="shared" si="5"/>
        <v>-2.8787199999999999</v>
      </c>
      <c r="AB37" s="21">
        <f t="shared" si="6"/>
        <v>-0.34179399999999999</v>
      </c>
      <c r="AC37" s="21">
        <f t="shared" si="7"/>
        <v>-0.35528399999999999</v>
      </c>
      <c r="AD37" s="11">
        <f t="shared" si="8"/>
        <v>-1</v>
      </c>
      <c r="AE37" s="22">
        <f t="shared" si="9"/>
        <v>-2.87967</v>
      </c>
      <c r="AF37" s="21">
        <f t="shared" si="10"/>
        <v>-0.34108300000000003</v>
      </c>
      <c r="AG37" s="21">
        <f t="shared" si="11"/>
        <v>-0.35443200000000002</v>
      </c>
      <c r="AH37" s="11">
        <f t="shared" si="12"/>
        <v>-1</v>
      </c>
      <c r="AI37">
        <v>2.5000000000000001E-2</v>
      </c>
      <c r="AJ37">
        <v>-2.5000000000000001E-2</v>
      </c>
      <c r="AK37">
        <v>1.5E-3</v>
      </c>
      <c r="AL37">
        <v>-1.5E-3</v>
      </c>
      <c r="AM37">
        <v>1.5E-3</v>
      </c>
      <c r="AN37">
        <v>-1.5E-3</v>
      </c>
      <c r="AO37" s="16">
        <v>2.5000000000000001E-2</v>
      </c>
      <c r="AP37" s="16">
        <v>-2.5000000000000001E-2</v>
      </c>
      <c r="AQ37">
        <v>1.4999999999999999E-2</v>
      </c>
      <c r="AR37">
        <v>-1.4999999999999999E-2</v>
      </c>
      <c r="AS37">
        <v>1E-3</v>
      </c>
      <c r="AT37">
        <v>-1E-3</v>
      </c>
      <c r="AU37">
        <v>1E-3</v>
      </c>
      <c r="AV37">
        <v>-1E-3</v>
      </c>
      <c r="AW37" s="16">
        <v>1.4999999999999999E-2</v>
      </c>
      <c r="AX37" s="16">
        <v>-1.4999999999999999E-2</v>
      </c>
    </row>
    <row r="38" spans="1:279" customFormat="1">
      <c r="F38" s="17" t="str">
        <f t="shared" si="0"/>
        <v/>
      </c>
      <c r="G38" s="9"/>
      <c r="H38" s="25">
        <v>1</v>
      </c>
      <c r="I38" s="5"/>
      <c r="J38" s="5"/>
      <c r="K38" s="5"/>
      <c r="L38" s="5"/>
      <c r="M38" s="5">
        <v>2</v>
      </c>
      <c r="N38" s="5"/>
      <c r="O38" s="5"/>
      <c r="P38" s="5"/>
      <c r="Q38" s="5"/>
      <c r="R38" s="5">
        <v>3</v>
      </c>
      <c r="S38" s="5"/>
      <c r="T38" s="5"/>
      <c r="U38" s="5"/>
      <c r="V38" s="5"/>
      <c r="W38" s="22">
        <f t="shared" si="1"/>
        <v>-2.86103</v>
      </c>
      <c r="X38" s="21">
        <f t="shared" si="2"/>
        <v>-0.34194799999999997</v>
      </c>
      <c r="Y38" s="21">
        <f t="shared" si="3"/>
        <v>-0.35478799999999999</v>
      </c>
      <c r="Z38" s="11">
        <f t="shared" si="4"/>
        <v>-1</v>
      </c>
      <c r="AA38" s="22">
        <f t="shared" si="5"/>
        <v>-2.8787199999999999</v>
      </c>
      <c r="AB38" s="21">
        <f t="shared" si="6"/>
        <v>-0.34179399999999999</v>
      </c>
      <c r="AC38" s="21">
        <f t="shared" si="7"/>
        <v>-0.35528399999999999</v>
      </c>
      <c r="AD38" s="11">
        <f t="shared" si="8"/>
        <v>-1</v>
      </c>
      <c r="AE38" s="22">
        <f t="shared" si="9"/>
        <v>-2.87967</v>
      </c>
      <c r="AF38" s="21">
        <f t="shared" si="10"/>
        <v>-0.34108300000000003</v>
      </c>
      <c r="AG38" s="21">
        <f t="shared" si="11"/>
        <v>-0.35443200000000002</v>
      </c>
      <c r="AH38" s="11">
        <f t="shared" si="12"/>
        <v>-1</v>
      </c>
      <c r="AI38">
        <v>2.5000000000000001E-2</v>
      </c>
      <c r="AJ38">
        <v>-2.5000000000000001E-2</v>
      </c>
      <c r="AK38">
        <v>1.5E-3</v>
      </c>
      <c r="AL38">
        <v>-1.5E-3</v>
      </c>
      <c r="AM38">
        <v>1.5E-3</v>
      </c>
      <c r="AN38">
        <v>-1.5E-3</v>
      </c>
      <c r="AO38" s="16">
        <v>2.5000000000000001E-2</v>
      </c>
      <c r="AP38" s="16">
        <v>-2.5000000000000001E-2</v>
      </c>
      <c r="AQ38">
        <v>1.4999999999999999E-2</v>
      </c>
      <c r="AR38">
        <v>-1.4999999999999999E-2</v>
      </c>
      <c r="AS38">
        <v>1E-3</v>
      </c>
      <c r="AT38">
        <v>-1E-3</v>
      </c>
      <c r="AU38">
        <v>1E-3</v>
      </c>
      <c r="AV38">
        <v>-1E-3</v>
      </c>
      <c r="AW38" s="16">
        <v>1.4999999999999999E-2</v>
      </c>
      <c r="AX38" s="16">
        <v>-1.4999999999999999E-2</v>
      </c>
    </row>
    <row r="39" spans="1:279" customFormat="1">
      <c r="F39" s="17" t="str">
        <f t="shared" si="0"/>
        <v/>
      </c>
      <c r="G39" s="9"/>
      <c r="H39" s="25">
        <v>1</v>
      </c>
      <c r="I39" s="5"/>
      <c r="J39" s="5"/>
      <c r="K39" s="5"/>
      <c r="L39" s="5"/>
      <c r="M39" s="5">
        <v>2</v>
      </c>
      <c r="N39" s="5"/>
      <c r="O39" s="5"/>
      <c r="P39" s="5"/>
      <c r="Q39" s="5"/>
      <c r="R39" s="5">
        <v>3</v>
      </c>
      <c r="S39" s="5"/>
      <c r="T39" s="5"/>
      <c r="U39" s="5"/>
      <c r="V39" s="5"/>
      <c r="W39" s="22">
        <f t="shared" si="1"/>
        <v>-2.86103</v>
      </c>
      <c r="X39" s="21">
        <f t="shared" si="2"/>
        <v>-0.34194799999999997</v>
      </c>
      <c r="Y39" s="21">
        <f t="shared" si="3"/>
        <v>-0.35478799999999999</v>
      </c>
      <c r="Z39" s="11">
        <f t="shared" si="4"/>
        <v>-1</v>
      </c>
      <c r="AA39" s="22">
        <f t="shared" si="5"/>
        <v>-2.8787199999999999</v>
      </c>
      <c r="AB39" s="21">
        <f t="shared" si="6"/>
        <v>-0.34179399999999999</v>
      </c>
      <c r="AC39" s="21">
        <f t="shared" si="7"/>
        <v>-0.35528399999999999</v>
      </c>
      <c r="AD39" s="11">
        <f t="shared" si="8"/>
        <v>-1</v>
      </c>
      <c r="AE39" s="22">
        <f t="shared" si="9"/>
        <v>-2.87967</v>
      </c>
      <c r="AF39" s="21">
        <f t="shared" si="10"/>
        <v>-0.34108300000000003</v>
      </c>
      <c r="AG39" s="21">
        <f t="shared" si="11"/>
        <v>-0.35443200000000002</v>
      </c>
      <c r="AH39" s="11">
        <f t="shared" si="12"/>
        <v>-1</v>
      </c>
      <c r="AI39">
        <v>2.5000000000000001E-2</v>
      </c>
      <c r="AJ39">
        <v>-2.5000000000000001E-2</v>
      </c>
      <c r="AK39">
        <v>1.5E-3</v>
      </c>
      <c r="AL39">
        <v>-1.5E-3</v>
      </c>
      <c r="AM39">
        <v>1.5E-3</v>
      </c>
      <c r="AN39">
        <v>-1.5E-3</v>
      </c>
      <c r="AO39" s="16">
        <v>2.5000000000000001E-2</v>
      </c>
      <c r="AP39" s="16">
        <v>-2.5000000000000001E-2</v>
      </c>
      <c r="AQ39">
        <v>1.4999999999999999E-2</v>
      </c>
      <c r="AR39">
        <v>-1.4999999999999999E-2</v>
      </c>
      <c r="AS39">
        <v>1E-3</v>
      </c>
      <c r="AT39">
        <v>-1E-3</v>
      </c>
      <c r="AU39">
        <v>1E-3</v>
      </c>
      <c r="AV39">
        <v>-1E-3</v>
      </c>
      <c r="AW39" s="16">
        <v>1.4999999999999999E-2</v>
      </c>
      <c r="AX39" s="16">
        <v>-1.4999999999999999E-2</v>
      </c>
    </row>
    <row r="40" spans="1:279" customFormat="1">
      <c r="F40" s="17" t="str">
        <f t="shared" si="0"/>
        <v/>
      </c>
      <c r="G40" s="9"/>
      <c r="H40" s="2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22" t="e">
        <f t="shared" si="1"/>
        <v>#N/A</v>
      </c>
      <c r="X40" s="21" t="e">
        <f t="shared" si="2"/>
        <v>#N/A</v>
      </c>
      <c r="Y40" s="21" t="e">
        <f t="shared" si="3"/>
        <v>#N/A</v>
      </c>
      <c r="Z40" s="11" t="e">
        <f t="shared" si="4"/>
        <v>#N/A</v>
      </c>
      <c r="AA40" s="22" t="e">
        <f t="shared" si="5"/>
        <v>#N/A</v>
      </c>
      <c r="AB40" s="21" t="e">
        <f t="shared" si="6"/>
        <v>#N/A</v>
      </c>
      <c r="AC40" s="21" t="e">
        <f t="shared" si="7"/>
        <v>#N/A</v>
      </c>
      <c r="AD40" s="11" t="e">
        <f t="shared" si="8"/>
        <v>#N/A</v>
      </c>
      <c r="AE40" s="22" t="e">
        <f t="shared" si="9"/>
        <v>#N/A</v>
      </c>
      <c r="AF40" s="21" t="e">
        <f t="shared" si="10"/>
        <v>#N/A</v>
      </c>
      <c r="AG40" s="21" t="e">
        <f t="shared" si="11"/>
        <v>#N/A</v>
      </c>
      <c r="AH40" s="11" t="e">
        <f t="shared" si="12"/>
        <v>#N/A</v>
      </c>
      <c r="AI40">
        <v>2.5000000000000001E-2</v>
      </c>
      <c r="AJ40">
        <v>-2.5000000000000001E-2</v>
      </c>
      <c r="AK40">
        <v>1.5E-3</v>
      </c>
      <c r="AL40">
        <v>-1.5E-3</v>
      </c>
      <c r="AM40">
        <v>1.5E-3</v>
      </c>
      <c r="AN40">
        <v>-1.5E-3</v>
      </c>
      <c r="AO40" s="16">
        <v>2.5000000000000001E-2</v>
      </c>
      <c r="AP40" s="16">
        <v>-2.5000000000000001E-2</v>
      </c>
      <c r="AQ40">
        <v>1.4999999999999999E-2</v>
      </c>
      <c r="AR40">
        <v>-1.4999999999999999E-2</v>
      </c>
      <c r="AS40">
        <v>1E-3</v>
      </c>
      <c r="AT40">
        <v>-1E-3</v>
      </c>
      <c r="AU40">
        <v>1E-3</v>
      </c>
      <c r="AV40">
        <v>-1E-3</v>
      </c>
      <c r="AW40" s="16">
        <v>1.4999999999999999E-2</v>
      </c>
      <c r="AX40" s="16">
        <v>-1.4999999999999999E-2</v>
      </c>
    </row>
    <row r="41" spans="1:279" customFormat="1">
      <c r="F41" s="17" t="str">
        <f t="shared" si="0"/>
        <v/>
      </c>
      <c r="G41" s="9"/>
      <c r="H41" s="2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22" t="e">
        <f t="shared" si="1"/>
        <v>#N/A</v>
      </c>
      <c r="X41" s="21" t="e">
        <f t="shared" si="2"/>
        <v>#N/A</v>
      </c>
      <c r="Y41" s="21" t="e">
        <f t="shared" si="3"/>
        <v>#N/A</v>
      </c>
      <c r="Z41" s="11" t="e">
        <f t="shared" si="4"/>
        <v>#N/A</v>
      </c>
      <c r="AA41" s="22" t="e">
        <f t="shared" si="5"/>
        <v>#N/A</v>
      </c>
      <c r="AB41" s="21" t="e">
        <f t="shared" si="6"/>
        <v>#N/A</v>
      </c>
      <c r="AC41" s="21" t="e">
        <f t="shared" si="7"/>
        <v>#N/A</v>
      </c>
      <c r="AD41" s="11" t="e">
        <f t="shared" si="8"/>
        <v>#N/A</v>
      </c>
      <c r="AE41" s="22" t="e">
        <f t="shared" si="9"/>
        <v>#N/A</v>
      </c>
      <c r="AF41" s="21" t="e">
        <f t="shared" si="10"/>
        <v>#N/A</v>
      </c>
      <c r="AG41" s="21" t="e">
        <f t="shared" si="11"/>
        <v>#N/A</v>
      </c>
      <c r="AH41" s="11" t="e">
        <f t="shared" si="12"/>
        <v>#N/A</v>
      </c>
      <c r="AI41">
        <v>2.5000000000000001E-2</v>
      </c>
      <c r="AJ41">
        <v>-2.5000000000000001E-2</v>
      </c>
      <c r="AK41">
        <v>1.5E-3</v>
      </c>
      <c r="AL41">
        <v>-1.5E-3</v>
      </c>
      <c r="AM41">
        <v>1.5E-3</v>
      </c>
      <c r="AN41">
        <v>-1.5E-3</v>
      </c>
      <c r="AO41" s="16">
        <v>2.5000000000000001E-2</v>
      </c>
      <c r="AP41" s="16">
        <v>-2.5000000000000001E-2</v>
      </c>
      <c r="AQ41">
        <v>1.4999999999999999E-2</v>
      </c>
      <c r="AR41">
        <v>-1.4999999999999999E-2</v>
      </c>
      <c r="AS41">
        <v>1E-3</v>
      </c>
      <c r="AT41">
        <v>-1E-3</v>
      </c>
      <c r="AU41">
        <v>1E-3</v>
      </c>
      <c r="AV41">
        <v>-1E-3</v>
      </c>
      <c r="AW41" s="16">
        <v>1.4999999999999999E-2</v>
      </c>
      <c r="AX41" s="16">
        <v>-1.4999999999999999E-2</v>
      </c>
    </row>
    <row r="42" spans="1:279" customFormat="1">
      <c r="F42" s="17" t="str">
        <f t="shared" si="0"/>
        <v/>
      </c>
      <c r="G42" s="9"/>
      <c r="H42" s="2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22" t="e">
        <f t="shared" si="1"/>
        <v>#N/A</v>
      </c>
      <c r="X42" s="21" t="e">
        <f t="shared" si="2"/>
        <v>#N/A</v>
      </c>
      <c r="Y42" s="21" t="e">
        <f t="shared" si="3"/>
        <v>#N/A</v>
      </c>
      <c r="Z42" s="11" t="e">
        <f t="shared" si="4"/>
        <v>#N/A</v>
      </c>
      <c r="AA42" s="22" t="e">
        <f t="shared" si="5"/>
        <v>#N/A</v>
      </c>
      <c r="AB42" s="21" t="e">
        <f t="shared" si="6"/>
        <v>#N/A</v>
      </c>
      <c r="AC42" s="21" t="e">
        <f t="shared" si="7"/>
        <v>#N/A</v>
      </c>
      <c r="AD42" s="11" t="e">
        <f t="shared" si="8"/>
        <v>#N/A</v>
      </c>
      <c r="AE42" s="22" t="e">
        <f t="shared" si="9"/>
        <v>#N/A</v>
      </c>
      <c r="AF42" s="21" t="e">
        <f t="shared" si="10"/>
        <v>#N/A</v>
      </c>
      <c r="AG42" s="21" t="e">
        <f t="shared" si="11"/>
        <v>#N/A</v>
      </c>
      <c r="AH42" s="11" t="e">
        <f t="shared" si="12"/>
        <v>#N/A</v>
      </c>
      <c r="AI42">
        <v>2.5000000000000001E-2</v>
      </c>
      <c r="AJ42">
        <v>-2.5000000000000001E-2</v>
      </c>
      <c r="AK42">
        <v>1.5E-3</v>
      </c>
      <c r="AL42">
        <v>-1.5E-3</v>
      </c>
      <c r="AM42">
        <v>1.5E-3</v>
      </c>
      <c r="AN42">
        <v>-1.5E-3</v>
      </c>
      <c r="AO42" s="16">
        <v>2.5000000000000001E-2</v>
      </c>
      <c r="AP42" s="16">
        <v>-2.5000000000000001E-2</v>
      </c>
      <c r="AQ42">
        <v>1.4999999999999999E-2</v>
      </c>
      <c r="AR42">
        <v>-1.4999999999999999E-2</v>
      </c>
      <c r="AS42">
        <v>1E-3</v>
      </c>
      <c r="AT42">
        <v>-1E-3</v>
      </c>
      <c r="AU42">
        <v>1E-3</v>
      </c>
      <c r="AV42">
        <v>-1E-3</v>
      </c>
      <c r="AW42" s="16">
        <v>1.4999999999999999E-2</v>
      </c>
      <c r="AX42" s="16">
        <v>-1.4999999999999999E-2</v>
      </c>
    </row>
    <row r="43" spans="1:279" customFormat="1">
      <c r="F43" s="17" t="str">
        <f t="shared" si="0"/>
        <v/>
      </c>
      <c r="G43" s="9"/>
      <c r="H43" s="2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22" t="e">
        <f t="shared" si="1"/>
        <v>#N/A</v>
      </c>
      <c r="X43" s="21" t="e">
        <f t="shared" si="2"/>
        <v>#N/A</v>
      </c>
      <c r="Y43" s="21" t="e">
        <f t="shared" si="3"/>
        <v>#N/A</v>
      </c>
      <c r="Z43" s="11" t="e">
        <f t="shared" si="4"/>
        <v>#N/A</v>
      </c>
      <c r="AA43" s="22" t="e">
        <f t="shared" si="5"/>
        <v>#N/A</v>
      </c>
      <c r="AB43" s="21" t="e">
        <f t="shared" si="6"/>
        <v>#N/A</v>
      </c>
      <c r="AC43" s="21" t="e">
        <f t="shared" si="7"/>
        <v>#N/A</v>
      </c>
      <c r="AD43" s="11" t="e">
        <f t="shared" si="8"/>
        <v>#N/A</v>
      </c>
      <c r="AE43" s="22" t="e">
        <f t="shared" si="9"/>
        <v>#N/A</v>
      </c>
      <c r="AF43" s="21" t="e">
        <f t="shared" si="10"/>
        <v>#N/A</v>
      </c>
      <c r="AG43" s="21" t="e">
        <f t="shared" si="11"/>
        <v>#N/A</v>
      </c>
      <c r="AH43" s="11" t="e">
        <f t="shared" si="12"/>
        <v>#N/A</v>
      </c>
      <c r="AI43">
        <v>2.5000000000000001E-2</v>
      </c>
      <c r="AJ43">
        <v>-2.5000000000000001E-2</v>
      </c>
      <c r="AK43">
        <v>1.5E-3</v>
      </c>
      <c r="AL43">
        <v>-1.5E-3</v>
      </c>
      <c r="AM43">
        <v>1.5E-3</v>
      </c>
      <c r="AN43">
        <v>-1.5E-3</v>
      </c>
      <c r="AO43" s="16">
        <v>2.5000000000000001E-2</v>
      </c>
      <c r="AP43" s="16">
        <v>-2.5000000000000001E-2</v>
      </c>
      <c r="AQ43">
        <v>1.4999999999999999E-2</v>
      </c>
      <c r="AR43">
        <v>-1.4999999999999999E-2</v>
      </c>
      <c r="AS43">
        <v>1E-3</v>
      </c>
      <c r="AT43">
        <v>-1E-3</v>
      </c>
      <c r="AU43">
        <v>1E-3</v>
      </c>
      <c r="AV43">
        <v>-1E-3</v>
      </c>
      <c r="AW43" s="16">
        <v>1.4999999999999999E-2</v>
      </c>
      <c r="AX43" s="16">
        <v>-1.4999999999999999E-2</v>
      </c>
    </row>
    <row r="44" spans="1:279" customFormat="1">
      <c r="F44" s="17" t="str">
        <f t="shared" si="0"/>
        <v/>
      </c>
      <c r="G44" s="9"/>
      <c r="H44" s="2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22" t="e">
        <f t="shared" si="1"/>
        <v>#N/A</v>
      </c>
      <c r="X44" s="21" t="e">
        <f t="shared" si="2"/>
        <v>#N/A</v>
      </c>
      <c r="Y44" s="21" t="e">
        <f t="shared" si="3"/>
        <v>#N/A</v>
      </c>
      <c r="Z44" s="11" t="e">
        <f t="shared" si="4"/>
        <v>#N/A</v>
      </c>
      <c r="AA44" s="22" t="e">
        <f t="shared" si="5"/>
        <v>#N/A</v>
      </c>
      <c r="AB44" s="21" t="e">
        <f t="shared" si="6"/>
        <v>#N/A</v>
      </c>
      <c r="AC44" s="21" t="e">
        <f t="shared" si="7"/>
        <v>#N/A</v>
      </c>
      <c r="AD44" s="11" t="e">
        <f t="shared" si="8"/>
        <v>#N/A</v>
      </c>
      <c r="AE44" s="22" t="e">
        <f t="shared" si="9"/>
        <v>#N/A</v>
      </c>
      <c r="AF44" s="21" t="e">
        <f t="shared" si="10"/>
        <v>#N/A</v>
      </c>
      <c r="AG44" s="21" t="e">
        <f t="shared" si="11"/>
        <v>#N/A</v>
      </c>
      <c r="AH44" s="11" t="e">
        <f t="shared" si="12"/>
        <v>#N/A</v>
      </c>
      <c r="AI44">
        <v>2.5000000000000001E-2</v>
      </c>
      <c r="AJ44">
        <v>-2.5000000000000001E-2</v>
      </c>
      <c r="AK44">
        <v>1.5E-3</v>
      </c>
      <c r="AL44">
        <v>-1.5E-3</v>
      </c>
      <c r="AM44">
        <v>1.5E-3</v>
      </c>
      <c r="AN44">
        <v>-1.5E-3</v>
      </c>
      <c r="AO44" s="16">
        <v>2.5000000000000001E-2</v>
      </c>
      <c r="AP44" s="16">
        <v>-2.5000000000000001E-2</v>
      </c>
      <c r="AQ44">
        <v>1.4999999999999999E-2</v>
      </c>
      <c r="AR44">
        <v>-1.4999999999999999E-2</v>
      </c>
      <c r="AS44">
        <v>1E-3</v>
      </c>
      <c r="AT44">
        <v>-1E-3</v>
      </c>
      <c r="AU44">
        <v>1E-3</v>
      </c>
      <c r="AV44">
        <v>-1E-3</v>
      </c>
      <c r="AW44" s="16">
        <v>1.4999999999999999E-2</v>
      </c>
      <c r="AX44" s="16">
        <v>-1.4999999999999999E-2</v>
      </c>
    </row>
    <row r="45" spans="1:279" customFormat="1">
      <c r="F45" s="17" t="str">
        <f t="shared" si="0"/>
        <v/>
      </c>
      <c r="G45" s="9"/>
      <c r="H45" s="2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22" t="e">
        <f t="shared" si="1"/>
        <v>#N/A</v>
      </c>
      <c r="X45" s="21" t="e">
        <f t="shared" si="2"/>
        <v>#N/A</v>
      </c>
      <c r="Y45" s="21" t="e">
        <f t="shared" si="3"/>
        <v>#N/A</v>
      </c>
      <c r="Z45" s="11" t="e">
        <f t="shared" si="4"/>
        <v>#N/A</v>
      </c>
      <c r="AA45" s="22" t="e">
        <f t="shared" si="5"/>
        <v>#N/A</v>
      </c>
      <c r="AB45" s="21" t="e">
        <f t="shared" si="6"/>
        <v>#N/A</v>
      </c>
      <c r="AC45" s="21" t="e">
        <f t="shared" si="7"/>
        <v>#N/A</v>
      </c>
      <c r="AD45" s="11" t="e">
        <f t="shared" si="8"/>
        <v>#N/A</v>
      </c>
      <c r="AE45" s="22" t="e">
        <f t="shared" si="9"/>
        <v>#N/A</v>
      </c>
      <c r="AF45" s="21" t="e">
        <f t="shared" si="10"/>
        <v>#N/A</v>
      </c>
      <c r="AG45" s="21" t="e">
        <f t="shared" si="11"/>
        <v>#N/A</v>
      </c>
      <c r="AH45" s="11" t="e">
        <f t="shared" si="12"/>
        <v>#N/A</v>
      </c>
      <c r="AI45">
        <v>2.5000000000000001E-2</v>
      </c>
      <c r="AJ45">
        <v>-2.5000000000000001E-2</v>
      </c>
      <c r="AK45">
        <v>1.5E-3</v>
      </c>
      <c r="AL45">
        <v>-1.5E-3</v>
      </c>
      <c r="AM45">
        <v>1.5E-3</v>
      </c>
      <c r="AN45">
        <v>-1.5E-3</v>
      </c>
      <c r="AO45" s="16">
        <v>2.5000000000000001E-2</v>
      </c>
      <c r="AP45" s="16">
        <v>-2.5000000000000001E-2</v>
      </c>
      <c r="AQ45">
        <v>1.4999999999999999E-2</v>
      </c>
      <c r="AR45">
        <v>-1.4999999999999999E-2</v>
      </c>
      <c r="AS45">
        <v>1E-3</v>
      </c>
      <c r="AT45">
        <v>-1E-3</v>
      </c>
      <c r="AU45">
        <v>1E-3</v>
      </c>
      <c r="AV45">
        <v>-1E-3</v>
      </c>
      <c r="AW45" s="16">
        <v>1.4999999999999999E-2</v>
      </c>
      <c r="AX45" s="16">
        <v>-1.4999999999999999E-2</v>
      </c>
    </row>
    <row r="46" spans="1:279" customFormat="1">
      <c r="F46" s="17" t="str">
        <f t="shared" si="0"/>
        <v/>
      </c>
      <c r="G46" s="9"/>
      <c r="H46" s="2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22" t="e">
        <f t="shared" si="1"/>
        <v>#N/A</v>
      </c>
      <c r="X46" s="21" t="e">
        <f t="shared" si="2"/>
        <v>#N/A</v>
      </c>
      <c r="Y46" s="21" t="e">
        <f t="shared" si="3"/>
        <v>#N/A</v>
      </c>
      <c r="Z46" s="11" t="e">
        <f t="shared" si="4"/>
        <v>#N/A</v>
      </c>
      <c r="AA46" s="22" t="e">
        <f t="shared" si="5"/>
        <v>#N/A</v>
      </c>
      <c r="AB46" s="21" t="e">
        <f t="shared" si="6"/>
        <v>#N/A</v>
      </c>
      <c r="AC46" s="21" t="e">
        <f t="shared" si="7"/>
        <v>#N/A</v>
      </c>
      <c r="AD46" s="11" t="e">
        <f t="shared" si="8"/>
        <v>#N/A</v>
      </c>
      <c r="AE46" s="22" t="e">
        <f t="shared" si="9"/>
        <v>#N/A</v>
      </c>
      <c r="AF46" s="21" t="e">
        <f t="shared" si="10"/>
        <v>#N/A</v>
      </c>
      <c r="AG46" s="21" t="e">
        <f t="shared" si="11"/>
        <v>#N/A</v>
      </c>
      <c r="AH46" s="11" t="e">
        <f t="shared" si="12"/>
        <v>#N/A</v>
      </c>
      <c r="AI46">
        <v>2.5000000000000001E-2</v>
      </c>
      <c r="AJ46">
        <v>-2.5000000000000001E-2</v>
      </c>
      <c r="AK46">
        <v>1.5E-3</v>
      </c>
      <c r="AL46">
        <v>-1.5E-3</v>
      </c>
      <c r="AM46">
        <v>1.5E-3</v>
      </c>
      <c r="AN46">
        <v>-1.5E-3</v>
      </c>
      <c r="AO46" s="16">
        <v>2.5000000000000001E-2</v>
      </c>
      <c r="AP46" s="16">
        <v>-2.5000000000000001E-2</v>
      </c>
      <c r="AQ46">
        <v>1.4999999999999999E-2</v>
      </c>
      <c r="AR46">
        <v>-1.4999999999999999E-2</v>
      </c>
      <c r="AS46">
        <v>1E-3</v>
      </c>
      <c r="AT46">
        <v>-1E-3</v>
      </c>
      <c r="AU46">
        <v>1E-3</v>
      </c>
      <c r="AV46">
        <v>-1E-3</v>
      </c>
      <c r="AW46" s="16">
        <v>1.4999999999999999E-2</v>
      </c>
      <c r="AX46" s="16">
        <v>-1.4999999999999999E-2</v>
      </c>
      <c r="JR46">
        <v>12.849506578947368</v>
      </c>
      <c r="JS46">
        <v>25.699013157894736</v>
      </c>
    </row>
    <row r="47" spans="1:279" customFormat="1">
      <c r="F47" s="17" t="str">
        <f t="shared" si="0"/>
        <v/>
      </c>
      <c r="G47" s="9"/>
      <c r="H47" s="2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22" t="e">
        <f t="shared" si="1"/>
        <v>#N/A</v>
      </c>
      <c r="X47" s="21" t="e">
        <f t="shared" si="2"/>
        <v>#N/A</v>
      </c>
      <c r="Y47" s="21" t="e">
        <f t="shared" si="3"/>
        <v>#N/A</v>
      </c>
      <c r="Z47" s="11" t="e">
        <f t="shared" si="4"/>
        <v>#N/A</v>
      </c>
      <c r="AA47" s="22" t="e">
        <f t="shared" si="5"/>
        <v>#N/A</v>
      </c>
      <c r="AB47" s="21" t="e">
        <f t="shared" si="6"/>
        <v>#N/A</v>
      </c>
      <c r="AC47" s="21" t="e">
        <f t="shared" si="7"/>
        <v>#N/A</v>
      </c>
      <c r="AD47" s="11" t="e">
        <f t="shared" si="8"/>
        <v>#N/A</v>
      </c>
      <c r="AE47" s="22" t="e">
        <f t="shared" si="9"/>
        <v>#N/A</v>
      </c>
      <c r="AF47" s="21" t="e">
        <f t="shared" si="10"/>
        <v>#N/A</v>
      </c>
      <c r="AG47" s="21" t="e">
        <f t="shared" si="11"/>
        <v>#N/A</v>
      </c>
      <c r="AH47" s="11" t="e">
        <f t="shared" si="12"/>
        <v>#N/A</v>
      </c>
      <c r="AI47">
        <v>2.5000000000000001E-2</v>
      </c>
      <c r="AJ47">
        <v>-2.5000000000000001E-2</v>
      </c>
      <c r="AK47">
        <v>1.5E-3</v>
      </c>
      <c r="AL47">
        <v>-1.5E-3</v>
      </c>
      <c r="AM47">
        <v>1.5E-3</v>
      </c>
      <c r="AN47">
        <v>-1.5E-3</v>
      </c>
      <c r="AO47" s="16">
        <v>2.5000000000000001E-2</v>
      </c>
      <c r="AP47" s="16">
        <v>-2.5000000000000001E-2</v>
      </c>
      <c r="AQ47">
        <v>1.4999999999999999E-2</v>
      </c>
      <c r="AR47">
        <v>-1.4999999999999999E-2</v>
      </c>
      <c r="AS47">
        <v>1E-3</v>
      </c>
      <c r="AT47">
        <v>-1E-3</v>
      </c>
      <c r="AU47">
        <v>1E-3</v>
      </c>
      <c r="AV47">
        <v>-1E-3</v>
      </c>
      <c r="AW47" s="16">
        <v>1.4999999999999999E-2</v>
      </c>
      <c r="AX47" s="16">
        <v>-1.4999999999999999E-2</v>
      </c>
    </row>
    <row r="48" spans="1:279" customFormat="1">
      <c r="F48" s="17" t="str">
        <f t="shared" si="0"/>
        <v/>
      </c>
      <c r="G48" s="9"/>
      <c r="H48" s="2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22" t="e">
        <f t="shared" si="1"/>
        <v>#N/A</v>
      </c>
      <c r="X48" s="21" t="e">
        <f t="shared" si="2"/>
        <v>#N/A</v>
      </c>
      <c r="Y48" s="21" t="e">
        <f t="shared" si="3"/>
        <v>#N/A</v>
      </c>
      <c r="Z48" s="11" t="e">
        <f t="shared" si="4"/>
        <v>#N/A</v>
      </c>
      <c r="AA48" s="22" t="e">
        <f t="shared" si="5"/>
        <v>#N/A</v>
      </c>
      <c r="AB48" s="21" t="e">
        <f t="shared" si="6"/>
        <v>#N/A</v>
      </c>
      <c r="AC48" s="21" t="e">
        <f t="shared" si="7"/>
        <v>#N/A</v>
      </c>
      <c r="AD48" s="11" t="e">
        <f t="shared" si="8"/>
        <v>#N/A</v>
      </c>
      <c r="AE48" s="22" t="e">
        <f t="shared" si="9"/>
        <v>#N/A</v>
      </c>
      <c r="AF48" s="21" t="e">
        <f t="shared" si="10"/>
        <v>#N/A</v>
      </c>
      <c r="AG48" s="21" t="e">
        <f t="shared" si="11"/>
        <v>#N/A</v>
      </c>
      <c r="AH48" s="11" t="e">
        <f t="shared" si="12"/>
        <v>#N/A</v>
      </c>
      <c r="AI48">
        <v>2.5000000000000001E-2</v>
      </c>
      <c r="AJ48">
        <v>-2.5000000000000001E-2</v>
      </c>
      <c r="AK48">
        <v>1.5E-3</v>
      </c>
      <c r="AL48">
        <v>-1.5E-3</v>
      </c>
      <c r="AM48">
        <v>1.5E-3</v>
      </c>
      <c r="AN48">
        <v>-1.5E-3</v>
      </c>
      <c r="AO48" s="16">
        <v>2.5000000000000001E-2</v>
      </c>
      <c r="AP48" s="16">
        <v>-2.5000000000000001E-2</v>
      </c>
      <c r="AQ48">
        <v>1.4999999999999999E-2</v>
      </c>
      <c r="AR48">
        <v>-1.4999999999999999E-2</v>
      </c>
      <c r="AS48">
        <v>1E-3</v>
      </c>
      <c r="AT48">
        <v>-1E-3</v>
      </c>
      <c r="AU48">
        <v>1E-3</v>
      </c>
      <c r="AV48">
        <v>-1E-3</v>
      </c>
      <c r="AW48" s="16">
        <v>1.4999999999999999E-2</v>
      </c>
      <c r="AX48" s="16">
        <v>-1.4999999999999999E-2</v>
      </c>
      <c r="JQ48">
        <v>12.849506578947368</v>
      </c>
      <c r="JR48">
        <v>12.849506578947368</v>
      </c>
      <c r="JS48">
        <v>12.849506578947368</v>
      </c>
    </row>
    <row r="49" spans="6:279" customFormat="1">
      <c r="F49" s="17" t="str">
        <f t="shared" si="0"/>
        <v/>
      </c>
      <c r="G49" s="9"/>
      <c r="H49" s="2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22" t="e">
        <f t="shared" si="1"/>
        <v>#N/A</v>
      </c>
      <c r="X49" s="21" t="e">
        <f t="shared" si="2"/>
        <v>#N/A</v>
      </c>
      <c r="Y49" s="21" t="e">
        <f t="shared" si="3"/>
        <v>#N/A</v>
      </c>
      <c r="Z49" s="11" t="e">
        <f t="shared" si="4"/>
        <v>#N/A</v>
      </c>
      <c r="AA49" s="22" t="e">
        <f t="shared" si="5"/>
        <v>#N/A</v>
      </c>
      <c r="AB49" s="21" t="e">
        <f t="shared" si="6"/>
        <v>#N/A</v>
      </c>
      <c r="AC49" s="21" t="e">
        <f t="shared" si="7"/>
        <v>#N/A</v>
      </c>
      <c r="AD49" s="11" t="e">
        <f t="shared" si="8"/>
        <v>#N/A</v>
      </c>
      <c r="AE49" s="22" t="e">
        <f t="shared" si="9"/>
        <v>#N/A</v>
      </c>
      <c r="AF49" s="21" t="e">
        <f t="shared" si="10"/>
        <v>#N/A</v>
      </c>
      <c r="AG49" s="21" t="e">
        <f t="shared" si="11"/>
        <v>#N/A</v>
      </c>
      <c r="AH49" s="11" t="e">
        <f t="shared" si="12"/>
        <v>#N/A</v>
      </c>
      <c r="AI49">
        <v>2.5000000000000001E-2</v>
      </c>
      <c r="AJ49">
        <v>-2.5000000000000001E-2</v>
      </c>
      <c r="AK49">
        <v>1.5E-3</v>
      </c>
      <c r="AL49">
        <v>-1.5E-3</v>
      </c>
      <c r="AM49">
        <v>1.5E-3</v>
      </c>
      <c r="AN49">
        <v>-1.5E-3</v>
      </c>
      <c r="AO49" s="16">
        <v>2.5000000000000001E-2</v>
      </c>
      <c r="AP49" s="16">
        <v>-2.5000000000000001E-2</v>
      </c>
      <c r="AQ49">
        <v>1.4999999999999999E-2</v>
      </c>
      <c r="AR49">
        <v>-1.4999999999999999E-2</v>
      </c>
      <c r="AS49">
        <v>1E-3</v>
      </c>
      <c r="AT49">
        <v>-1E-3</v>
      </c>
      <c r="AU49">
        <v>1E-3</v>
      </c>
      <c r="AV49">
        <v>-1E-3</v>
      </c>
      <c r="AW49" s="16">
        <v>1.4999999999999999E-2</v>
      </c>
      <c r="AX49" s="16">
        <v>-1.4999999999999999E-2</v>
      </c>
    </row>
    <row r="50" spans="6:279" customFormat="1">
      <c r="F50" s="17" t="str">
        <f t="shared" si="0"/>
        <v/>
      </c>
      <c r="G50" s="9"/>
      <c r="H50" s="2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22" t="e">
        <f t="shared" si="1"/>
        <v>#N/A</v>
      </c>
      <c r="X50" s="21" t="e">
        <f t="shared" si="2"/>
        <v>#N/A</v>
      </c>
      <c r="Y50" s="21" t="e">
        <f t="shared" si="3"/>
        <v>#N/A</v>
      </c>
      <c r="Z50" s="11" t="e">
        <f t="shared" si="4"/>
        <v>#N/A</v>
      </c>
      <c r="AA50" s="22" t="e">
        <f t="shared" si="5"/>
        <v>#N/A</v>
      </c>
      <c r="AB50" s="21" t="e">
        <f t="shared" si="6"/>
        <v>#N/A</v>
      </c>
      <c r="AC50" s="21" t="e">
        <f t="shared" si="7"/>
        <v>#N/A</v>
      </c>
      <c r="AD50" s="11" t="e">
        <f t="shared" si="8"/>
        <v>#N/A</v>
      </c>
      <c r="AE50" s="22" t="e">
        <f t="shared" si="9"/>
        <v>#N/A</v>
      </c>
      <c r="AF50" s="21" t="e">
        <f t="shared" si="10"/>
        <v>#N/A</v>
      </c>
      <c r="AG50" s="21" t="e">
        <f t="shared" si="11"/>
        <v>#N/A</v>
      </c>
      <c r="AH50" s="11" t="e">
        <f t="shared" si="12"/>
        <v>#N/A</v>
      </c>
      <c r="AI50">
        <v>2.5000000000000001E-2</v>
      </c>
      <c r="AJ50">
        <v>-2.5000000000000001E-2</v>
      </c>
      <c r="AK50">
        <v>1.5E-3</v>
      </c>
      <c r="AL50">
        <v>-1.5E-3</v>
      </c>
      <c r="AM50">
        <v>1.5E-3</v>
      </c>
      <c r="AN50">
        <v>-1.5E-3</v>
      </c>
      <c r="AO50" s="16">
        <v>2.5000000000000001E-2</v>
      </c>
      <c r="AP50" s="16">
        <v>-2.5000000000000001E-2</v>
      </c>
      <c r="AQ50">
        <v>1.4999999999999999E-2</v>
      </c>
      <c r="AR50">
        <v>-1.4999999999999999E-2</v>
      </c>
      <c r="AS50">
        <v>1E-3</v>
      </c>
      <c r="AT50">
        <v>-1E-3</v>
      </c>
      <c r="AU50">
        <v>1E-3</v>
      </c>
      <c r="AV50">
        <v>-1E-3</v>
      </c>
      <c r="AW50" s="16">
        <v>1.4999999999999999E-2</v>
      </c>
      <c r="AX50" s="16">
        <v>-1.4999999999999999E-2</v>
      </c>
    </row>
    <row r="51" spans="6:279" customFormat="1">
      <c r="F51" s="17" t="str">
        <f t="shared" si="0"/>
        <v/>
      </c>
      <c r="G51" s="9"/>
      <c r="H51" s="2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22" t="e">
        <f t="shared" si="1"/>
        <v>#N/A</v>
      </c>
      <c r="X51" s="21" t="e">
        <f t="shared" si="2"/>
        <v>#N/A</v>
      </c>
      <c r="Y51" s="21" t="e">
        <f t="shared" si="3"/>
        <v>#N/A</v>
      </c>
      <c r="Z51" s="11" t="e">
        <f t="shared" si="4"/>
        <v>#N/A</v>
      </c>
      <c r="AA51" s="22" t="e">
        <f t="shared" si="5"/>
        <v>#N/A</v>
      </c>
      <c r="AB51" s="21" t="e">
        <f t="shared" si="6"/>
        <v>#N/A</v>
      </c>
      <c r="AC51" s="21" t="e">
        <f t="shared" si="7"/>
        <v>#N/A</v>
      </c>
      <c r="AD51" s="11" t="e">
        <f t="shared" si="8"/>
        <v>#N/A</v>
      </c>
      <c r="AE51" s="22" t="e">
        <f t="shared" si="9"/>
        <v>#N/A</v>
      </c>
      <c r="AF51" s="21" t="e">
        <f t="shared" si="10"/>
        <v>#N/A</v>
      </c>
      <c r="AG51" s="21" t="e">
        <f t="shared" si="11"/>
        <v>#N/A</v>
      </c>
      <c r="AH51" s="11" t="e">
        <f t="shared" si="12"/>
        <v>#N/A</v>
      </c>
      <c r="AI51">
        <v>2.5000000000000001E-2</v>
      </c>
      <c r="AJ51">
        <v>-2.5000000000000001E-2</v>
      </c>
      <c r="AK51">
        <v>1.5E-3</v>
      </c>
      <c r="AL51">
        <v>-1.5E-3</v>
      </c>
      <c r="AM51">
        <v>1.5E-3</v>
      </c>
      <c r="AN51">
        <v>-1.5E-3</v>
      </c>
      <c r="AO51" s="16">
        <v>2.5000000000000001E-2</v>
      </c>
      <c r="AP51" s="16">
        <v>-2.5000000000000001E-2</v>
      </c>
      <c r="AQ51">
        <v>1.4999999999999999E-2</v>
      </c>
      <c r="AR51">
        <v>-1.4999999999999999E-2</v>
      </c>
      <c r="AS51">
        <v>1E-3</v>
      </c>
      <c r="AT51">
        <v>-1E-3</v>
      </c>
      <c r="AU51">
        <v>1E-3</v>
      </c>
      <c r="AV51">
        <v>-1E-3</v>
      </c>
      <c r="AW51" s="16">
        <v>1.4999999999999999E-2</v>
      </c>
      <c r="AX51" s="16">
        <v>-1.4999999999999999E-2</v>
      </c>
    </row>
    <row r="52" spans="6:279" customFormat="1">
      <c r="F52" s="17" t="str">
        <f t="shared" si="0"/>
        <v/>
      </c>
      <c r="G52" s="9"/>
      <c r="H52" s="2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22" t="e">
        <f t="shared" si="1"/>
        <v>#N/A</v>
      </c>
      <c r="X52" s="21" t="e">
        <f t="shared" si="2"/>
        <v>#N/A</v>
      </c>
      <c r="Y52" s="21" t="e">
        <f t="shared" si="3"/>
        <v>#N/A</v>
      </c>
      <c r="Z52" s="11" t="e">
        <f t="shared" si="4"/>
        <v>#N/A</v>
      </c>
      <c r="AA52" s="22" t="e">
        <f t="shared" si="5"/>
        <v>#N/A</v>
      </c>
      <c r="AB52" s="21" t="e">
        <f t="shared" si="6"/>
        <v>#N/A</v>
      </c>
      <c r="AC52" s="21" t="e">
        <f t="shared" si="7"/>
        <v>#N/A</v>
      </c>
      <c r="AD52" s="11" t="e">
        <f t="shared" si="8"/>
        <v>#N/A</v>
      </c>
      <c r="AE52" s="22" t="e">
        <f t="shared" si="9"/>
        <v>#N/A</v>
      </c>
      <c r="AF52" s="21" t="e">
        <f t="shared" si="10"/>
        <v>#N/A</v>
      </c>
      <c r="AG52" s="21" t="e">
        <f t="shared" si="11"/>
        <v>#N/A</v>
      </c>
      <c r="AH52" s="11" t="e">
        <f t="shared" si="12"/>
        <v>#N/A</v>
      </c>
      <c r="AI52">
        <v>2.5000000000000001E-2</v>
      </c>
      <c r="AJ52">
        <v>-2.5000000000000001E-2</v>
      </c>
      <c r="AK52">
        <v>1.5E-3</v>
      </c>
      <c r="AL52">
        <v>-1.5E-3</v>
      </c>
      <c r="AM52">
        <v>1.5E-3</v>
      </c>
      <c r="AN52">
        <v>-1.5E-3</v>
      </c>
      <c r="AO52" s="16">
        <v>2.5000000000000001E-2</v>
      </c>
      <c r="AP52" s="16">
        <v>-2.5000000000000001E-2</v>
      </c>
      <c r="AQ52">
        <v>1.4999999999999999E-2</v>
      </c>
      <c r="AR52">
        <v>-1.4999999999999999E-2</v>
      </c>
      <c r="AS52">
        <v>1E-3</v>
      </c>
      <c r="AT52">
        <v>-1E-3</v>
      </c>
      <c r="AU52">
        <v>1E-3</v>
      </c>
      <c r="AV52">
        <v>-1E-3</v>
      </c>
      <c r="AW52" s="16">
        <v>1.4999999999999999E-2</v>
      </c>
      <c r="AX52" s="16">
        <v>-1.4999999999999999E-2</v>
      </c>
    </row>
    <row r="53" spans="6:279" customFormat="1">
      <c r="F53" s="17" t="str">
        <f t="shared" si="0"/>
        <v/>
      </c>
      <c r="G53" s="9"/>
      <c r="H53" s="2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22" t="e">
        <f t="shared" si="1"/>
        <v>#N/A</v>
      </c>
      <c r="X53" s="21" t="e">
        <f t="shared" si="2"/>
        <v>#N/A</v>
      </c>
      <c r="Y53" s="21" t="e">
        <f t="shared" si="3"/>
        <v>#N/A</v>
      </c>
      <c r="Z53" s="11" t="e">
        <f t="shared" si="4"/>
        <v>#N/A</v>
      </c>
      <c r="AA53" s="22" t="e">
        <f t="shared" si="5"/>
        <v>#N/A</v>
      </c>
      <c r="AB53" s="21" t="e">
        <f t="shared" si="6"/>
        <v>#N/A</v>
      </c>
      <c r="AC53" s="21" t="e">
        <f t="shared" si="7"/>
        <v>#N/A</v>
      </c>
      <c r="AD53" s="11" t="e">
        <f t="shared" si="8"/>
        <v>#N/A</v>
      </c>
      <c r="AE53" s="22" t="e">
        <f t="shared" si="9"/>
        <v>#N/A</v>
      </c>
      <c r="AF53" s="21" t="e">
        <f t="shared" si="10"/>
        <v>#N/A</v>
      </c>
      <c r="AG53" s="21" t="e">
        <f t="shared" si="11"/>
        <v>#N/A</v>
      </c>
      <c r="AH53" s="11" t="e">
        <f t="shared" si="12"/>
        <v>#N/A</v>
      </c>
      <c r="AI53">
        <v>2.5000000000000001E-2</v>
      </c>
      <c r="AJ53">
        <v>-2.5000000000000001E-2</v>
      </c>
      <c r="AK53">
        <v>1.5E-3</v>
      </c>
      <c r="AL53">
        <v>-1.5E-3</v>
      </c>
      <c r="AM53">
        <v>1.5E-3</v>
      </c>
      <c r="AN53">
        <v>-1.5E-3</v>
      </c>
      <c r="AO53" s="16">
        <v>2.5000000000000001E-2</v>
      </c>
      <c r="AP53" s="16">
        <v>-2.5000000000000001E-2</v>
      </c>
      <c r="AQ53">
        <v>1.4999999999999999E-2</v>
      </c>
      <c r="AR53">
        <v>-1.4999999999999999E-2</v>
      </c>
      <c r="AS53">
        <v>1E-3</v>
      </c>
      <c r="AT53">
        <v>-1E-3</v>
      </c>
      <c r="AU53">
        <v>1E-3</v>
      </c>
      <c r="AV53">
        <v>-1E-3</v>
      </c>
      <c r="AW53" s="16">
        <v>1.4999999999999999E-2</v>
      </c>
      <c r="AX53" s="16">
        <v>-1.4999999999999999E-2</v>
      </c>
      <c r="JR53">
        <v>12.849506578947368</v>
      </c>
    </row>
    <row r="54" spans="6:279" customFormat="1">
      <c r="F54" s="17" t="str">
        <f t="shared" si="0"/>
        <v/>
      </c>
      <c r="G54" s="9"/>
      <c r="H54" s="2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22" t="e">
        <f t="shared" si="1"/>
        <v>#N/A</v>
      </c>
      <c r="X54" s="21" t="e">
        <f t="shared" si="2"/>
        <v>#N/A</v>
      </c>
      <c r="Y54" s="21" t="e">
        <f t="shared" si="3"/>
        <v>#N/A</v>
      </c>
      <c r="Z54" s="11" t="e">
        <f t="shared" si="4"/>
        <v>#N/A</v>
      </c>
      <c r="AA54" s="22" t="e">
        <f t="shared" si="5"/>
        <v>#N/A</v>
      </c>
      <c r="AB54" s="21" t="e">
        <f t="shared" si="6"/>
        <v>#N/A</v>
      </c>
      <c r="AC54" s="21" t="e">
        <f t="shared" si="7"/>
        <v>#N/A</v>
      </c>
      <c r="AD54" s="11" t="e">
        <f t="shared" si="8"/>
        <v>#N/A</v>
      </c>
      <c r="AE54" s="22" t="e">
        <f t="shared" si="9"/>
        <v>#N/A</v>
      </c>
      <c r="AF54" s="21" t="e">
        <f t="shared" si="10"/>
        <v>#N/A</v>
      </c>
      <c r="AG54" s="21" t="e">
        <f t="shared" si="11"/>
        <v>#N/A</v>
      </c>
      <c r="AH54" s="11" t="e">
        <f t="shared" si="12"/>
        <v>#N/A</v>
      </c>
      <c r="AI54">
        <v>2.5000000000000001E-2</v>
      </c>
      <c r="AJ54">
        <v>-2.5000000000000001E-2</v>
      </c>
      <c r="AK54">
        <v>1.5E-3</v>
      </c>
      <c r="AL54">
        <v>-1.5E-3</v>
      </c>
      <c r="AM54">
        <v>1.5E-3</v>
      </c>
      <c r="AN54">
        <v>-1.5E-3</v>
      </c>
      <c r="AO54" s="16">
        <v>2.5000000000000001E-2</v>
      </c>
      <c r="AP54" s="16">
        <v>-2.5000000000000001E-2</v>
      </c>
      <c r="AQ54">
        <v>1.4999999999999999E-2</v>
      </c>
      <c r="AR54">
        <v>-1.4999999999999999E-2</v>
      </c>
      <c r="AS54">
        <v>1E-3</v>
      </c>
      <c r="AT54">
        <v>-1E-3</v>
      </c>
      <c r="AU54">
        <v>1E-3</v>
      </c>
      <c r="AV54">
        <v>-1E-3</v>
      </c>
      <c r="AW54" s="16">
        <v>1.4999999999999999E-2</v>
      </c>
      <c r="AX54" s="16">
        <v>-1.4999999999999999E-2</v>
      </c>
    </row>
    <row r="55" spans="6:279" customFormat="1">
      <c r="F55" s="17" t="str">
        <f t="shared" si="0"/>
        <v/>
      </c>
      <c r="G55" s="9"/>
      <c r="H55" s="2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22" t="e">
        <f t="shared" si="1"/>
        <v>#N/A</v>
      </c>
      <c r="X55" s="21" t="e">
        <f t="shared" si="2"/>
        <v>#N/A</v>
      </c>
      <c r="Y55" s="21" t="e">
        <f t="shared" si="3"/>
        <v>#N/A</v>
      </c>
      <c r="Z55" s="11" t="e">
        <f t="shared" si="4"/>
        <v>#N/A</v>
      </c>
      <c r="AA55" s="22" t="e">
        <f t="shared" si="5"/>
        <v>#N/A</v>
      </c>
      <c r="AB55" s="21" t="e">
        <f t="shared" si="6"/>
        <v>#N/A</v>
      </c>
      <c r="AC55" s="21" t="e">
        <f t="shared" si="7"/>
        <v>#N/A</v>
      </c>
      <c r="AD55" s="11" t="e">
        <f t="shared" si="8"/>
        <v>#N/A</v>
      </c>
      <c r="AE55" s="22" t="e">
        <f t="shared" si="9"/>
        <v>#N/A</v>
      </c>
      <c r="AF55" s="21" t="e">
        <f t="shared" si="10"/>
        <v>#N/A</v>
      </c>
      <c r="AG55" s="21" t="e">
        <f t="shared" si="11"/>
        <v>#N/A</v>
      </c>
      <c r="AH55" s="11" t="e">
        <f t="shared" si="12"/>
        <v>#N/A</v>
      </c>
      <c r="AI55">
        <v>2.5000000000000001E-2</v>
      </c>
      <c r="AJ55">
        <v>-2.5000000000000001E-2</v>
      </c>
      <c r="AK55">
        <v>1.5E-3</v>
      </c>
      <c r="AL55">
        <v>-1.5E-3</v>
      </c>
      <c r="AM55">
        <v>1.5E-3</v>
      </c>
      <c r="AN55">
        <v>-1.5E-3</v>
      </c>
      <c r="AO55" s="16">
        <v>2.5000000000000001E-2</v>
      </c>
      <c r="AP55" s="16">
        <v>-2.5000000000000001E-2</v>
      </c>
      <c r="AQ55">
        <v>1.4999999999999999E-2</v>
      </c>
      <c r="AR55">
        <v>-1.4999999999999999E-2</v>
      </c>
      <c r="AS55">
        <v>1E-3</v>
      </c>
      <c r="AT55">
        <v>-1E-3</v>
      </c>
      <c r="AU55">
        <v>1E-3</v>
      </c>
      <c r="AV55">
        <v>-1E-3</v>
      </c>
      <c r="AW55" s="16">
        <v>1.4999999999999999E-2</v>
      </c>
      <c r="AX55" s="16">
        <v>-1.4999999999999999E-2</v>
      </c>
      <c r="JR55">
        <v>12.849506578947368</v>
      </c>
      <c r="JS55">
        <v>12.849506578947368</v>
      </c>
    </row>
    <row r="56" spans="6:279" customFormat="1">
      <c r="F56" s="17" t="str">
        <f t="shared" si="0"/>
        <v/>
      </c>
      <c r="G56" s="9"/>
      <c r="H56" s="2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22" t="e">
        <f t="shared" si="1"/>
        <v>#N/A</v>
      </c>
      <c r="X56" s="21" t="e">
        <f t="shared" si="2"/>
        <v>#N/A</v>
      </c>
      <c r="Y56" s="21" t="e">
        <f t="shared" si="3"/>
        <v>#N/A</v>
      </c>
      <c r="Z56" s="11" t="e">
        <f t="shared" si="4"/>
        <v>#N/A</v>
      </c>
      <c r="AA56" s="22" t="e">
        <f t="shared" si="5"/>
        <v>#N/A</v>
      </c>
      <c r="AB56" s="21" t="e">
        <f t="shared" si="6"/>
        <v>#N/A</v>
      </c>
      <c r="AC56" s="21" t="e">
        <f t="shared" si="7"/>
        <v>#N/A</v>
      </c>
      <c r="AD56" s="11" t="e">
        <f t="shared" si="8"/>
        <v>#N/A</v>
      </c>
      <c r="AE56" s="22" t="e">
        <f t="shared" si="9"/>
        <v>#N/A</v>
      </c>
      <c r="AF56" s="21" t="e">
        <f t="shared" si="10"/>
        <v>#N/A</v>
      </c>
      <c r="AG56" s="21" t="e">
        <f t="shared" si="11"/>
        <v>#N/A</v>
      </c>
      <c r="AH56" s="11" t="e">
        <f t="shared" si="12"/>
        <v>#N/A</v>
      </c>
      <c r="AI56">
        <v>2.5000000000000001E-2</v>
      </c>
      <c r="AJ56">
        <v>-2.5000000000000001E-2</v>
      </c>
      <c r="AK56">
        <v>1.5E-3</v>
      </c>
      <c r="AL56">
        <v>-1.5E-3</v>
      </c>
      <c r="AM56">
        <v>1.5E-3</v>
      </c>
      <c r="AN56">
        <v>-1.5E-3</v>
      </c>
      <c r="AO56" s="16">
        <v>2.5000000000000001E-2</v>
      </c>
      <c r="AP56" s="16">
        <v>-2.5000000000000001E-2</v>
      </c>
      <c r="AQ56">
        <v>1.4999999999999999E-2</v>
      </c>
      <c r="AR56">
        <v>-1.4999999999999999E-2</v>
      </c>
      <c r="AS56">
        <v>1E-3</v>
      </c>
      <c r="AT56">
        <v>-1E-3</v>
      </c>
      <c r="AU56">
        <v>1E-3</v>
      </c>
      <c r="AV56">
        <v>-1E-3</v>
      </c>
      <c r="AW56" s="16">
        <v>1.4999999999999999E-2</v>
      </c>
      <c r="AX56" s="16">
        <v>-1.4999999999999999E-2</v>
      </c>
      <c r="JP56">
        <v>12.849506578947368</v>
      </c>
    </row>
    <row r="57" spans="6:279" customFormat="1">
      <c r="F57" s="17" t="str">
        <f t="shared" si="0"/>
        <v/>
      </c>
      <c r="G57" s="9"/>
      <c r="H57" s="2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22" t="e">
        <f t="shared" si="1"/>
        <v>#N/A</v>
      </c>
      <c r="X57" s="21" t="e">
        <f t="shared" si="2"/>
        <v>#N/A</v>
      </c>
      <c r="Y57" s="21" t="e">
        <f t="shared" si="3"/>
        <v>#N/A</v>
      </c>
      <c r="Z57" s="11" t="e">
        <f t="shared" si="4"/>
        <v>#N/A</v>
      </c>
      <c r="AA57" s="22" t="e">
        <f t="shared" si="5"/>
        <v>#N/A</v>
      </c>
      <c r="AB57" s="21" t="e">
        <f t="shared" si="6"/>
        <v>#N/A</v>
      </c>
      <c r="AC57" s="21" t="e">
        <f t="shared" si="7"/>
        <v>#N/A</v>
      </c>
      <c r="AD57" s="11" t="e">
        <f t="shared" si="8"/>
        <v>#N/A</v>
      </c>
      <c r="AE57" s="22" t="e">
        <f t="shared" si="9"/>
        <v>#N/A</v>
      </c>
      <c r="AF57" s="21" t="e">
        <f t="shared" si="10"/>
        <v>#N/A</v>
      </c>
      <c r="AG57" s="21" t="e">
        <f t="shared" si="11"/>
        <v>#N/A</v>
      </c>
      <c r="AH57" s="11" t="e">
        <f t="shared" si="12"/>
        <v>#N/A</v>
      </c>
      <c r="AI57">
        <v>2.5000000000000001E-2</v>
      </c>
      <c r="AJ57">
        <v>-2.5000000000000001E-2</v>
      </c>
      <c r="AK57">
        <v>1.5E-3</v>
      </c>
      <c r="AL57">
        <v>-1.5E-3</v>
      </c>
      <c r="AM57">
        <v>1.5E-3</v>
      </c>
      <c r="AN57">
        <v>-1.5E-3</v>
      </c>
      <c r="AO57" s="16">
        <v>2.5000000000000001E-2</v>
      </c>
      <c r="AP57" s="16">
        <v>-2.5000000000000001E-2</v>
      </c>
      <c r="AQ57">
        <v>1.4999999999999999E-2</v>
      </c>
      <c r="AR57">
        <v>-1.4999999999999999E-2</v>
      </c>
      <c r="AS57">
        <v>1E-3</v>
      </c>
      <c r="AT57">
        <v>-1E-3</v>
      </c>
      <c r="AU57">
        <v>1E-3</v>
      </c>
      <c r="AV57">
        <v>-1E-3</v>
      </c>
      <c r="AW57" s="16">
        <v>1.4999999999999999E-2</v>
      </c>
      <c r="AX57" s="16">
        <v>-1.4999999999999999E-2</v>
      </c>
      <c r="JP57">
        <v>38.548519736842103</v>
      </c>
      <c r="JR57">
        <v>12.849506578947368</v>
      </c>
      <c r="JS57">
        <v>12.849506578947368</v>
      </c>
    </row>
    <row r="58" spans="6:279" customFormat="1">
      <c r="F58" s="17" t="str">
        <f t="shared" si="0"/>
        <v/>
      </c>
      <c r="G58" s="9"/>
      <c r="H58" s="2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22" t="e">
        <f t="shared" si="1"/>
        <v>#N/A</v>
      </c>
      <c r="X58" s="21" t="e">
        <f t="shared" si="2"/>
        <v>#N/A</v>
      </c>
      <c r="Y58" s="21" t="e">
        <f t="shared" si="3"/>
        <v>#N/A</v>
      </c>
      <c r="Z58" s="11" t="e">
        <f t="shared" si="4"/>
        <v>#N/A</v>
      </c>
      <c r="AA58" s="22" t="e">
        <f t="shared" si="5"/>
        <v>#N/A</v>
      </c>
      <c r="AB58" s="21" t="e">
        <f t="shared" si="6"/>
        <v>#N/A</v>
      </c>
      <c r="AC58" s="21" t="e">
        <f t="shared" si="7"/>
        <v>#N/A</v>
      </c>
      <c r="AD58" s="11" t="e">
        <f t="shared" si="8"/>
        <v>#N/A</v>
      </c>
      <c r="AE58" s="22" t="e">
        <f t="shared" si="9"/>
        <v>#N/A</v>
      </c>
      <c r="AF58" s="21" t="e">
        <f t="shared" si="10"/>
        <v>#N/A</v>
      </c>
      <c r="AG58" s="21" t="e">
        <f t="shared" si="11"/>
        <v>#N/A</v>
      </c>
      <c r="AH58" s="11" t="e">
        <f t="shared" si="12"/>
        <v>#N/A</v>
      </c>
      <c r="AI58">
        <v>2.5000000000000001E-2</v>
      </c>
      <c r="AJ58">
        <v>-2.5000000000000001E-2</v>
      </c>
      <c r="AK58">
        <v>1.5E-3</v>
      </c>
      <c r="AL58">
        <v>-1.5E-3</v>
      </c>
      <c r="AM58">
        <v>1.5E-3</v>
      </c>
      <c r="AN58">
        <v>-1.5E-3</v>
      </c>
      <c r="AO58" s="16">
        <v>2.5000000000000001E-2</v>
      </c>
      <c r="AP58" s="16">
        <v>-2.5000000000000001E-2</v>
      </c>
      <c r="AQ58">
        <v>1.4999999999999999E-2</v>
      </c>
      <c r="AR58">
        <v>-1.4999999999999999E-2</v>
      </c>
      <c r="AS58">
        <v>1E-3</v>
      </c>
      <c r="AT58">
        <v>-1E-3</v>
      </c>
      <c r="AU58">
        <v>1E-3</v>
      </c>
      <c r="AV58">
        <v>-1E-3</v>
      </c>
      <c r="AW58" s="16">
        <v>1.4999999999999999E-2</v>
      </c>
      <c r="AX58" s="16">
        <v>-1.4999999999999999E-2</v>
      </c>
    </row>
    <row r="59" spans="6:279" customFormat="1">
      <c r="F59" s="17" t="str">
        <f t="shared" si="0"/>
        <v/>
      </c>
      <c r="G59" s="9"/>
      <c r="H59" s="2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22" t="e">
        <f t="shared" si="1"/>
        <v>#N/A</v>
      </c>
      <c r="X59" s="21" t="e">
        <f t="shared" si="2"/>
        <v>#N/A</v>
      </c>
      <c r="Y59" s="21" t="e">
        <f t="shared" si="3"/>
        <v>#N/A</v>
      </c>
      <c r="Z59" s="11" t="e">
        <f t="shared" si="4"/>
        <v>#N/A</v>
      </c>
      <c r="AA59" s="22" t="e">
        <f t="shared" si="5"/>
        <v>#N/A</v>
      </c>
      <c r="AB59" s="21" t="e">
        <f t="shared" si="6"/>
        <v>#N/A</v>
      </c>
      <c r="AC59" s="21" t="e">
        <f t="shared" si="7"/>
        <v>#N/A</v>
      </c>
      <c r="AD59" s="11" t="e">
        <f t="shared" si="8"/>
        <v>#N/A</v>
      </c>
      <c r="AE59" s="22" t="e">
        <f t="shared" si="9"/>
        <v>#N/A</v>
      </c>
      <c r="AF59" s="21" t="e">
        <f t="shared" si="10"/>
        <v>#N/A</v>
      </c>
      <c r="AG59" s="21" t="e">
        <f t="shared" si="11"/>
        <v>#N/A</v>
      </c>
      <c r="AH59" s="11" t="e">
        <f t="shared" si="12"/>
        <v>#N/A</v>
      </c>
      <c r="AI59">
        <v>2.5000000000000001E-2</v>
      </c>
      <c r="AJ59">
        <v>-2.5000000000000001E-2</v>
      </c>
      <c r="AK59">
        <v>1.5E-3</v>
      </c>
      <c r="AL59">
        <v>-1.5E-3</v>
      </c>
      <c r="AM59">
        <v>1.5E-3</v>
      </c>
      <c r="AN59">
        <v>-1.5E-3</v>
      </c>
      <c r="AO59" s="16">
        <v>2.5000000000000001E-2</v>
      </c>
      <c r="AP59" s="16">
        <v>-2.5000000000000001E-2</v>
      </c>
      <c r="AQ59">
        <v>1.4999999999999999E-2</v>
      </c>
      <c r="AR59">
        <v>-1.4999999999999999E-2</v>
      </c>
      <c r="AS59">
        <v>1E-3</v>
      </c>
      <c r="AT59">
        <v>-1E-3</v>
      </c>
      <c r="AU59">
        <v>1E-3</v>
      </c>
      <c r="AV59">
        <v>-1E-3</v>
      </c>
      <c r="AW59" s="16">
        <v>1.4999999999999999E-2</v>
      </c>
      <c r="AX59" s="16">
        <v>-1.4999999999999999E-2</v>
      </c>
      <c r="JQ59">
        <v>12.849506578947368</v>
      </c>
      <c r="JR59">
        <v>12.849506578947368</v>
      </c>
      <c r="JS59">
        <v>38.548519736842103</v>
      </c>
    </row>
    <row r="60" spans="6:279" customFormat="1">
      <c r="F60" s="17" t="str">
        <f t="shared" si="0"/>
        <v/>
      </c>
      <c r="G60" s="9"/>
      <c r="H60" s="2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22" t="e">
        <f t="shared" si="1"/>
        <v>#N/A</v>
      </c>
      <c r="X60" s="21" t="e">
        <f t="shared" si="2"/>
        <v>#N/A</v>
      </c>
      <c r="Y60" s="21" t="e">
        <f t="shared" si="3"/>
        <v>#N/A</v>
      </c>
      <c r="Z60" s="11" t="e">
        <f t="shared" si="4"/>
        <v>#N/A</v>
      </c>
      <c r="AA60" s="22" t="e">
        <f t="shared" si="5"/>
        <v>#N/A</v>
      </c>
      <c r="AB60" s="21" t="e">
        <f t="shared" si="6"/>
        <v>#N/A</v>
      </c>
      <c r="AC60" s="21" t="e">
        <f t="shared" si="7"/>
        <v>#N/A</v>
      </c>
      <c r="AD60" s="11" t="e">
        <f t="shared" si="8"/>
        <v>#N/A</v>
      </c>
      <c r="AE60" s="22" t="e">
        <f t="shared" si="9"/>
        <v>#N/A</v>
      </c>
      <c r="AF60" s="21" t="e">
        <f t="shared" si="10"/>
        <v>#N/A</v>
      </c>
      <c r="AG60" s="21" t="e">
        <f t="shared" si="11"/>
        <v>#N/A</v>
      </c>
      <c r="AH60" s="11" t="e">
        <f t="shared" si="12"/>
        <v>#N/A</v>
      </c>
      <c r="AI60">
        <v>2.5000000000000001E-2</v>
      </c>
      <c r="AJ60">
        <v>-2.5000000000000001E-2</v>
      </c>
      <c r="AK60">
        <v>1.5E-3</v>
      </c>
      <c r="AL60">
        <v>-1.5E-3</v>
      </c>
      <c r="AM60">
        <v>1.5E-3</v>
      </c>
      <c r="AN60">
        <v>-1.5E-3</v>
      </c>
      <c r="AO60" s="16">
        <v>2.5000000000000001E-2</v>
      </c>
      <c r="AP60" s="16">
        <v>-2.5000000000000001E-2</v>
      </c>
      <c r="AQ60">
        <v>1.4999999999999999E-2</v>
      </c>
      <c r="AR60">
        <v>-1.4999999999999999E-2</v>
      </c>
      <c r="AS60">
        <v>1E-3</v>
      </c>
      <c r="AT60">
        <v>-1E-3</v>
      </c>
      <c r="AU60">
        <v>1E-3</v>
      </c>
      <c r="AV60">
        <v>-1E-3</v>
      </c>
      <c r="AW60" s="16">
        <v>1.4999999999999999E-2</v>
      </c>
      <c r="AX60" s="16">
        <v>-1.4999999999999999E-2</v>
      </c>
    </row>
    <row r="61" spans="6:279" customFormat="1">
      <c r="F61" s="17" t="str">
        <f t="shared" si="0"/>
        <v/>
      </c>
      <c r="G61" s="9"/>
      <c r="H61" s="2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22" t="e">
        <f t="shared" si="1"/>
        <v>#N/A</v>
      </c>
      <c r="X61" s="21" t="e">
        <f t="shared" si="2"/>
        <v>#N/A</v>
      </c>
      <c r="Y61" s="21" t="e">
        <f t="shared" si="3"/>
        <v>#N/A</v>
      </c>
      <c r="Z61" s="11" t="e">
        <f t="shared" si="4"/>
        <v>#N/A</v>
      </c>
      <c r="AA61" s="22" t="e">
        <f t="shared" si="5"/>
        <v>#N/A</v>
      </c>
      <c r="AB61" s="21" t="e">
        <f t="shared" si="6"/>
        <v>#N/A</v>
      </c>
      <c r="AC61" s="21" t="e">
        <f t="shared" si="7"/>
        <v>#N/A</v>
      </c>
      <c r="AD61" s="11" t="e">
        <f t="shared" si="8"/>
        <v>#N/A</v>
      </c>
      <c r="AE61" s="22" t="e">
        <f t="shared" si="9"/>
        <v>#N/A</v>
      </c>
      <c r="AF61" s="21" t="e">
        <f t="shared" si="10"/>
        <v>#N/A</v>
      </c>
      <c r="AG61" s="21" t="e">
        <f t="shared" si="11"/>
        <v>#N/A</v>
      </c>
      <c r="AH61" s="11" t="e">
        <f t="shared" si="12"/>
        <v>#N/A</v>
      </c>
      <c r="AI61">
        <v>2.5000000000000001E-2</v>
      </c>
      <c r="AJ61">
        <v>-2.5000000000000001E-2</v>
      </c>
      <c r="AK61">
        <v>1.5E-3</v>
      </c>
      <c r="AL61">
        <v>-1.5E-3</v>
      </c>
      <c r="AM61">
        <v>1.5E-3</v>
      </c>
      <c r="AN61">
        <v>-1.5E-3</v>
      </c>
      <c r="AO61" s="16">
        <v>2.5000000000000001E-2</v>
      </c>
      <c r="AP61" s="16">
        <v>-2.5000000000000001E-2</v>
      </c>
      <c r="AQ61">
        <v>1.4999999999999999E-2</v>
      </c>
      <c r="AR61">
        <v>-1.4999999999999999E-2</v>
      </c>
      <c r="AS61">
        <v>1E-3</v>
      </c>
      <c r="AT61">
        <v>-1E-3</v>
      </c>
      <c r="AU61">
        <v>1E-3</v>
      </c>
      <c r="AV61">
        <v>-1E-3</v>
      </c>
      <c r="AW61" s="16">
        <v>1.4999999999999999E-2</v>
      </c>
      <c r="AX61" s="16">
        <v>-1.4999999999999999E-2</v>
      </c>
      <c r="JS61">
        <v>12.849506578947368</v>
      </c>
    </row>
    <row r="62" spans="6:279" customFormat="1">
      <c r="F62" s="17" t="str">
        <f t="shared" si="0"/>
        <v/>
      </c>
      <c r="G62" s="9"/>
      <c r="H62" s="2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22" t="e">
        <f t="shared" si="1"/>
        <v>#N/A</v>
      </c>
      <c r="X62" s="21" t="e">
        <f t="shared" si="2"/>
        <v>#N/A</v>
      </c>
      <c r="Y62" s="21" t="e">
        <f t="shared" si="3"/>
        <v>#N/A</v>
      </c>
      <c r="Z62" s="11" t="e">
        <f t="shared" si="4"/>
        <v>#N/A</v>
      </c>
      <c r="AA62" s="22" t="e">
        <f t="shared" si="5"/>
        <v>#N/A</v>
      </c>
      <c r="AB62" s="21" t="e">
        <f t="shared" si="6"/>
        <v>#N/A</v>
      </c>
      <c r="AC62" s="21" t="e">
        <f t="shared" si="7"/>
        <v>#N/A</v>
      </c>
      <c r="AD62" s="11" t="e">
        <f t="shared" si="8"/>
        <v>#N/A</v>
      </c>
      <c r="AE62" s="22" t="e">
        <f t="shared" si="9"/>
        <v>#N/A</v>
      </c>
      <c r="AF62" s="21" t="e">
        <f t="shared" si="10"/>
        <v>#N/A</v>
      </c>
      <c r="AG62" s="21" t="e">
        <f t="shared" si="11"/>
        <v>#N/A</v>
      </c>
      <c r="AH62" s="11" t="e">
        <f t="shared" si="12"/>
        <v>#N/A</v>
      </c>
      <c r="AI62">
        <v>2.5000000000000001E-2</v>
      </c>
      <c r="AJ62">
        <v>-2.5000000000000001E-2</v>
      </c>
      <c r="AK62">
        <v>1.5E-3</v>
      </c>
      <c r="AL62">
        <v>-1.5E-3</v>
      </c>
      <c r="AM62">
        <v>1.5E-3</v>
      </c>
      <c r="AN62">
        <v>-1.5E-3</v>
      </c>
      <c r="AO62" s="16">
        <v>2.5000000000000001E-2</v>
      </c>
      <c r="AP62" s="16">
        <v>-2.5000000000000001E-2</v>
      </c>
      <c r="AQ62">
        <v>1.4999999999999999E-2</v>
      </c>
      <c r="AR62">
        <v>-1.4999999999999999E-2</v>
      </c>
      <c r="AS62">
        <v>1E-3</v>
      </c>
      <c r="AT62">
        <v>-1E-3</v>
      </c>
      <c r="AU62">
        <v>1E-3</v>
      </c>
      <c r="AV62">
        <v>-1E-3</v>
      </c>
      <c r="AW62" s="16">
        <v>1.4999999999999999E-2</v>
      </c>
      <c r="AX62" s="16">
        <v>-1.4999999999999999E-2</v>
      </c>
      <c r="JS62">
        <v>12.849506578947368</v>
      </c>
    </row>
    <row r="63" spans="6:279" customFormat="1">
      <c r="F63" s="17" t="str">
        <f t="shared" si="0"/>
        <v/>
      </c>
      <c r="G63" s="9"/>
      <c r="H63" s="2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22" t="e">
        <f t="shared" si="1"/>
        <v>#N/A</v>
      </c>
      <c r="X63" s="21" t="e">
        <f t="shared" si="2"/>
        <v>#N/A</v>
      </c>
      <c r="Y63" s="21" t="e">
        <f t="shared" si="3"/>
        <v>#N/A</v>
      </c>
      <c r="Z63" s="11" t="e">
        <f t="shared" si="4"/>
        <v>#N/A</v>
      </c>
      <c r="AA63" s="22" t="e">
        <f t="shared" si="5"/>
        <v>#N/A</v>
      </c>
      <c r="AB63" s="21" t="e">
        <f t="shared" si="6"/>
        <v>#N/A</v>
      </c>
      <c r="AC63" s="21" t="e">
        <f t="shared" si="7"/>
        <v>#N/A</v>
      </c>
      <c r="AD63" s="11" t="e">
        <f t="shared" si="8"/>
        <v>#N/A</v>
      </c>
      <c r="AE63" s="22" t="e">
        <f t="shared" si="9"/>
        <v>#N/A</v>
      </c>
      <c r="AF63" s="21" t="e">
        <f t="shared" si="10"/>
        <v>#N/A</v>
      </c>
      <c r="AG63" s="21" t="e">
        <f t="shared" si="11"/>
        <v>#N/A</v>
      </c>
      <c r="AH63" s="11" t="e">
        <f t="shared" si="12"/>
        <v>#N/A</v>
      </c>
      <c r="AI63">
        <v>2.5000000000000001E-2</v>
      </c>
      <c r="AJ63">
        <v>-2.5000000000000001E-2</v>
      </c>
      <c r="AK63">
        <v>1.5E-3</v>
      </c>
      <c r="AL63">
        <v>-1.5E-3</v>
      </c>
      <c r="AM63">
        <v>1.5E-3</v>
      </c>
      <c r="AN63">
        <v>-1.5E-3</v>
      </c>
      <c r="AO63" s="16">
        <v>2.5000000000000001E-2</v>
      </c>
      <c r="AP63" s="16">
        <v>-2.5000000000000001E-2</v>
      </c>
      <c r="AQ63">
        <v>1.4999999999999999E-2</v>
      </c>
      <c r="AR63">
        <v>-1.4999999999999999E-2</v>
      </c>
      <c r="AS63">
        <v>1E-3</v>
      </c>
      <c r="AT63">
        <v>-1E-3</v>
      </c>
      <c r="AU63">
        <v>1E-3</v>
      </c>
      <c r="AV63">
        <v>-1E-3</v>
      </c>
      <c r="AW63" s="16">
        <v>1.4999999999999999E-2</v>
      </c>
      <c r="AX63" s="16">
        <v>-1.4999999999999999E-2</v>
      </c>
      <c r="JR63">
        <v>12.849506578947368</v>
      </c>
    </row>
    <row r="64" spans="6:279" customFormat="1">
      <c r="F64" s="17" t="str">
        <f t="shared" si="0"/>
        <v/>
      </c>
      <c r="G64" s="9"/>
      <c r="H64" s="2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22" t="e">
        <f t="shared" si="1"/>
        <v>#N/A</v>
      </c>
      <c r="X64" s="21" t="e">
        <f t="shared" si="2"/>
        <v>#N/A</v>
      </c>
      <c r="Y64" s="21" t="e">
        <f t="shared" si="3"/>
        <v>#N/A</v>
      </c>
      <c r="Z64" s="11" t="e">
        <f t="shared" si="4"/>
        <v>#N/A</v>
      </c>
      <c r="AA64" s="22" t="e">
        <f t="shared" si="5"/>
        <v>#N/A</v>
      </c>
      <c r="AB64" s="21" t="e">
        <f t="shared" si="6"/>
        <v>#N/A</v>
      </c>
      <c r="AC64" s="21" t="e">
        <f t="shared" si="7"/>
        <v>#N/A</v>
      </c>
      <c r="AD64" s="11" t="e">
        <f t="shared" si="8"/>
        <v>#N/A</v>
      </c>
      <c r="AE64" s="22" t="e">
        <f t="shared" si="9"/>
        <v>#N/A</v>
      </c>
      <c r="AF64" s="21" t="e">
        <f t="shared" si="10"/>
        <v>#N/A</v>
      </c>
      <c r="AG64" s="21" t="e">
        <f t="shared" si="11"/>
        <v>#N/A</v>
      </c>
      <c r="AH64" s="11" t="e">
        <f t="shared" si="12"/>
        <v>#N/A</v>
      </c>
      <c r="AI64">
        <v>2.5000000000000001E-2</v>
      </c>
      <c r="AJ64">
        <v>-2.5000000000000001E-2</v>
      </c>
      <c r="AK64">
        <v>1.5E-3</v>
      </c>
      <c r="AL64">
        <v>-1.5E-3</v>
      </c>
      <c r="AM64">
        <v>1.5E-3</v>
      </c>
      <c r="AN64">
        <v>-1.5E-3</v>
      </c>
      <c r="AO64" s="16">
        <v>2.5000000000000001E-2</v>
      </c>
      <c r="AP64" s="16">
        <v>-2.5000000000000001E-2</v>
      </c>
      <c r="AQ64">
        <v>1.4999999999999999E-2</v>
      </c>
      <c r="AR64">
        <v>-1.4999999999999999E-2</v>
      </c>
      <c r="AS64">
        <v>1E-3</v>
      </c>
      <c r="AT64">
        <v>-1E-3</v>
      </c>
      <c r="AU64">
        <v>1E-3</v>
      </c>
      <c r="AV64">
        <v>-1E-3</v>
      </c>
      <c r="AW64" s="16">
        <v>1.4999999999999999E-2</v>
      </c>
      <c r="AX64" s="16">
        <v>-1.4999999999999999E-2</v>
      </c>
    </row>
    <row r="65" spans="6:278" customFormat="1">
      <c r="F65" s="17" t="str">
        <f t="shared" si="0"/>
        <v/>
      </c>
      <c r="G65" s="9"/>
      <c r="H65" s="2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22" t="e">
        <f t="shared" si="1"/>
        <v>#N/A</v>
      </c>
      <c r="X65" s="21" t="e">
        <f t="shared" si="2"/>
        <v>#N/A</v>
      </c>
      <c r="Y65" s="21" t="e">
        <f t="shared" si="3"/>
        <v>#N/A</v>
      </c>
      <c r="Z65" s="11" t="e">
        <f t="shared" si="4"/>
        <v>#N/A</v>
      </c>
      <c r="AA65" s="22" t="e">
        <f t="shared" si="5"/>
        <v>#N/A</v>
      </c>
      <c r="AB65" s="21" t="e">
        <f t="shared" si="6"/>
        <v>#N/A</v>
      </c>
      <c r="AC65" s="21" t="e">
        <f t="shared" si="7"/>
        <v>#N/A</v>
      </c>
      <c r="AD65" s="11" t="e">
        <f t="shared" si="8"/>
        <v>#N/A</v>
      </c>
      <c r="AE65" s="22" t="e">
        <f t="shared" si="9"/>
        <v>#N/A</v>
      </c>
      <c r="AF65" s="21" t="e">
        <f t="shared" si="10"/>
        <v>#N/A</v>
      </c>
      <c r="AG65" s="21" t="e">
        <f t="shared" si="11"/>
        <v>#N/A</v>
      </c>
      <c r="AH65" s="11" t="e">
        <f t="shared" si="12"/>
        <v>#N/A</v>
      </c>
      <c r="AI65">
        <v>2.5000000000000001E-2</v>
      </c>
      <c r="AJ65">
        <v>-2.5000000000000001E-2</v>
      </c>
      <c r="AK65">
        <v>1.5E-3</v>
      </c>
      <c r="AL65">
        <v>-1.5E-3</v>
      </c>
      <c r="AM65">
        <v>1.5E-3</v>
      </c>
      <c r="AN65">
        <v>-1.5E-3</v>
      </c>
      <c r="AO65" s="16">
        <v>2.5000000000000001E-2</v>
      </c>
      <c r="AP65" s="16">
        <v>-2.5000000000000001E-2</v>
      </c>
      <c r="AQ65">
        <v>1.4999999999999999E-2</v>
      </c>
      <c r="AR65">
        <v>-1.4999999999999999E-2</v>
      </c>
      <c r="AS65">
        <v>1E-3</v>
      </c>
      <c r="AT65">
        <v>-1E-3</v>
      </c>
      <c r="AU65">
        <v>1E-3</v>
      </c>
      <c r="AV65">
        <v>-1E-3</v>
      </c>
      <c r="AW65" s="16">
        <v>1.4999999999999999E-2</v>
      </c>
      <c r="AX65" s="16">
        <v>-1.4999999999999999E-2</v>
      </c>
      <c r="JR65">
        <v>12.849506578947368</v>
      </c>
    </row>
    <row r="66" spans="6:278" customFormat="1">
      <c r="F66" s="17" t="str">
        <f t="shared" si="0"/>
        <v/>
      </c>
      <c r="G66" s="9"/>
      <c r="H66" s="2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22" t="e">
        <f t="shared" si="1"/>
        <v>#N/A</v>
      </c>
      <c r="X66" s="21" t="e">
        <f t="shared" si="2"/>
        <v>#N/A</v>
      </c>
      <c r="Y66" s="21" t="e">
        <f t="shared" si="3"/>
        <v>#N/A</v>
      </c>
      <c r="Z66" s="11" t="e">
        <f t="shared" si="4"/>
        <v>#N/A</v>
      </c>
      <c r="AA66" s="22" t="e">
        <f t="shared" si="5"/>
        <v>#N/A</v>
      </c>
      <c r="AB66" s="21" t="e">
        <f t="shared" si="6"/>
        <v>#N/A</v>
      </c>
      <c r="AC66" s="21" t="e">
        <f t="shared" si="7"/>
        <v>#N/A</v>
      </c>
      <c r="AD66" s="11" t="e">
        <f t="shared" si="8"/>
        <v>#N/A</v>
      </c>
      <c r="AE66" s="22" t="e">
        <f t="shared" si="9"/>
        <v>#N/A</v>
      </c>
      <c r="AF66" s="21" t="e">
        <f t="shared" si="10"/>
        <v>#N/A</v>
      </c>
      <c r="AG66" s="21" t="e">
        <f t="shared" si="11"/>
        <v>#N/A</v>
      </c>
      <c r="AH66" s="11" t="e">
        <f t="shared" si="12"/>
        <v>#N/A</v>
      </c>
      <c r="AI66">
        <v>2.5000000000000001E-2</v>
      </c>
      <c r="AJ66">
        <v>-2.5000000000000001E-2</v>
      </c>
      <c r="AK66">
        <v>1.5E-3</v>
      </c>
      <c r="AL66">
        <v>-1.5E-3</v>
      </c>
      <c r="AM66">
        <v>1.5E-3</v>
      </c>
      <c r="AN66">
        <v>-1.5E-3</v>
      </c>
      <c r="AO66" s="16">
        <v>2.5000000000000001E-2</v>
      </c>
      <c r="AP66" s="16">
        <v>-2.5000000000000001E-2</v>
      </c>
      <c r="AQ66">
        <v>1.4999999999999999E-2</v>
      </c>
      <c r="AR66">
        <v>-1.4999999999999999E-2</v>
      </c>
      <c r="AS66">
        <v>1E-3</v>
      </c>
      <c r="AT66">
        <v>-1E-3</v>
      </c>
      <c r="AU66">
        <v>1E-3</v>
      </c>
      <c r="AV66">
        <v>-1E-3</v>
      </c>
      <c r="AW66" s="16">
        <v>1.4999999999999999E-2</v>
      </c>
      <c r="AX66" s="16">
        <v>-1.4999999999999999E-2</v>
      </c>
      <c r="JR66">
        <v>24.187306501547987</v>
      </c>
    </row>
    <row r="67" spans="6:278" customFormat="1">
      <c r="F67" s="17" t="str">
        <f t="shared" si="0"/>
        <v/>
      </c>
      <c r="G67" s="9"/>
      <c r="H67" s="2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22" t="e">
        <f t="shared" si="1"/>
        <v>#N/A</v>
      </c>
      <c r="X67" s="21" t="e">
        <f t="shared" si="2"/>
        <v>#N/A</v>
      </c>
      <c r="Y67" s="21" t="e">
        <f t="shared" si="3"/>
        <v>#N/A</v>
      </c>
      <c r="Z67" s="11" t="e">
        <f t="shared" si="4"/>
        <v>#N/A</v>
      </c>
      <c r="AA67" s="22" t="e">
        <f t="shared" si="5"/>
        <v>#N/A</v>
      </c>
      <c r="AB67" s="21" t="e">
        <f t="shared" si="6"/>
        <v>#N/A</v>
      </c>
      <c r="AC67" s="21" t="e">
        <f t="shared" si="7"/>
        <v>#N/A</v>
      </c>
      <c r="AD67" s="11" t="e">
        <f t="shared" si="8"/>
        <v>#N/A</v>
      </c>
      <c r="AE67" s="22" t="e">
        <f t="shared" si="9"/>
        <v>#N/A</v>
      </c>
      <c r="AF67" s="21" t="e">
        <f t="shared" si="10"/>
        <v>#N/A</v>
      </c>
      <c r="AG67" s="21" t="e">
        <f t="shared" si="11"/>
        <v>#N/A</v>
      </c>
      <c r="AH67" s="11" t="e">
        <f t="shared" si="12"/>
        <v>#N/A</v>
      </c>
      <c r="AI67">
        <v>2.5000000000000001E-2</v>
      </c>
      <c r="AJ67">
        <v>-2.5000000000000001E-2</v>
      </c>
      <c r="AK67">
        <v>1.5E-3</v>
      </c>
      <c r="AL67">
        <v>-1.5E-3</v>
      </c>
      <c r="AM67">
        <v>1.5E-3</v>
      </c>
      <c r="AN67">
        <v>-1.5E-3</v>
      </c>
      <c r="AO67" s="16">
        <v>2.5000000000000001E-2</v>
      </c>
      <c r="AP67" s="16">
        <v>-2.5000000000000001E-2</v>
      </c>
      <c r="AQ67">
        <v>1.4999999999999999E-2</v>
      </c>
      <c r="AR67">
        <v>-1.4999999999999999E-2</v>
      </c>
      <c r="AS67">
        <v>1E-3</v>
      </c>
      <c r="AT67">
        <v>-1E-3</v>
      </c>
      <c r="AU67">
        <v>1E-3</v>
      </c>
      <c r="AV67">
        <v>-1E-3</v>
      </c>
      <c r="AW67" s="16">
        <v>1.4999999999999999E-2</v>
      </c>
      <c r="AX67" s="16">
        <v>-1.4999999999999999E-2</v>
      </c>
    </row>
    <row r="68" spans="6:278" customFormat="1">
      <c r="F68" s="17" t="str">
        <f t="shared" si="0"/>
        <v/>
      </c>
      <c r="G68" s="9"/>
      <c r="H68" s="2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22" t="e">
        <f t="shared" si="1"/>
        <v>#N/A</v>
      </c>
      <c r="X68" s="21" t="e">
        <f t="shared" si="2"/>
        <v>#N/A</v>
      </c>
      <c r="Y68" s="21" t="e">
        <f t="shared" si="3"/>
        <v>#N/A</v>
      </c>
      <c r="Z68" s="11" t="e">
        <f t="shared" si="4"/>
        <v>#N/A</v>
      </c>
      <c r="AA68" s="22" t="e">
        <f t="shared" si="5"/>
        <v>#N/A</v>
      </c>
      <c r="AB68" s="21" t="e">
        <f t="shared" si="6"/>
        <v>#N/A</v>
      </c>
      <c r="AC68" s="21" t="e">
        <f t="shared" si="7"/>
        <v>#N/A</v>
      </c>
      <c r="AD68" s="11" t="e">
        <f t="shared" si="8"/>
        <v>#N/A</v>
      </c>
      <c r="AE68" s="22" t="e">
        <f t="shared" si="9"/>
        <v>#N/A</v>
      </c>
      <c r="AF68" s="21" t="e">
        <f t="shared" si="10"/>
        <v>#N/A</v>
      </c>
      <c r="AG68" s="21" t="e">
        <f t="shared" si="11"/>
        <v>#N/A</v>
      </c>
      <c r="AH68" s="11" t="e">
        <f t="shared" si="12"/>
        <v>#N/A</v>
      </c>
      <c r="AI68">
        <v>2.5000000000000001E-2</v>
      </c>
      <c r="AJ68">
        <v>-2.5000000000000001E-2</v>
      </c>
      <c r="AK68">
        <v>1.5E-3</v>
      </c>
      <c r="AL68">
        <v>-1.5E-3</v>
      </c>
      <c r="AM68">
        <v>1.5E-3</v>
      </c>
      <c r="AN68">
        <v>-1.5E-3</v>
      </c>
      <c r="AO68" s="16">
        <v>2.5000000000000001E-2</v>
      </c>
      <c r="AP68" s="16">
        <v>-2.5000000000000001E-2</v>
      </c>
      <c r="AQ68">
        <v>1.4999999999999999E-2</v>
      </c>
      <c r="AR68">
        <v>-1.4999999999999999E-2</v>
      </c>
      <c r="AS68">
        <v>1E-3</v>
      </c>
      <c r="AT68">
        <v>-1E-3</v>
      </c>
      <c r="AU68">
        <v>1E-3</v>
      </c>
      <c r="AV68">
        <v>-1E-3</v>
      </c>
      <c r="AW68" s="16">
        <v>1.4999999999999999E-2</v>
      </c>
      <c r="AX68" s="16">
        <v>-1.4999999999999999E-2</v>
      </c>
    </row>
    <row r="69" spans="6:278" customFormat="1">
      <c r="F69" s="17" t="str">
        <f t="shared" si="0"/>
        <v/>
      </c>
      <c r="G69" s="9"/>
      <c r="H69" s="2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22" t="e">
        <f t="shared" si="1"/>
        <v>#N/A</v>
      </c>
      <c r="X69" s="21" t="e">
        <f t="shared" si="2"/>
        <v>#N/A</v>
      </c>
      <c r="Y69" s="21" t="e">
        <f t="shared" si="3"/>
        <v>#N/A</v>
      </c>
      <c r="Z69" s="11" t="e">
        <f t="shared" si="4"/>
        <v>#N/A</v>
      </c>
      <c r="AA69" s="22" t="e">
        <f t="shared" si="5"/>
        <v>#N/A</v>
      </c>
      <c r="AB69" s="21" t="e">
        <f t="shared" si="6"/>
        <v>#N/A</v>
      </c>
      <c r="AC69" s="21" t="e">
        <f t="shared" si="7"/>
        <v>#N/A</v>
      </c>
      <c r="AD69" s="11" t="e">
        <f t="shared" si="8"/>
        <v>#N/A</v>
      </c>
      <c r="AE69" s="22" t="e">
        <f t="shared" si="9"/>
        <v>#N/A</v>
      </c>
      <c r="AF69" s="21" t="e">
        <f t="shared" si="10"/>
        <v>#N/A</v>
      </c>
      <c r="AG69" s="21" t="e">
        <f t="shared" si="11"/>
        <v>#N/A</v>
      </c>
      <c r="AH69" s="11" t="e">
        <f t="shared" si="12"/>
        <v>#N/A</v>
      </c>
      <c r="AI69">
        <v>2.5000000000000001E-2</v>
      </c>
      <c r="AJ69">
        <v>-2.5000000000000001E-2</v>
      </c>
      <c r="AK69">
        <v>1.5E-3</v>
      </c>
      <c r="AL69">
        <v>-1.5E-3</v>
      </c>
      <c r="AM69">
        <v>1.5E-3</v>
      </c>
      <c r="AN69">
        <v>-1.5E-3</v>
      </c>
      <c r="AO69" s="16">
        <v>2.5000000000000001E-2</v>
      </c>
      <c r="AP69" s="16">
        <v>-2.5000000000000001E-2</v>
      </c>
      <c r="AQ69">
        <v>1.4999999999999999E-2</v>
      </c>
      <c r="AR69">
        <v>-1.4999999999999999E-2</v>
      </c>
      <c r="AS69">
        <v>1E-3</v>
      </c>
      <c r="AT69">
        <v>-1E-3</v>
      </c>
      <c r="AU69">
        <v>1E-3</v>
      </c>
      <c r="AV69">
        <v>-1E-3</v>
      </c>
      <c r="AW69" s="16">
        <v>1.4999999999999999E-2</v>
      </c>
      <c r="AX69" s="16">
        <v>-1.4999999999999999E-2</v>
      </c>
    </row>
    <row r="70" spans="6:278" customFormat="1">
      <c r="F70" s="17" t="str">
        <f t="shared" si="0"/>
        <v/>
      </c>
      <c r="G70" s="9"/>
      <c r="H70" s="2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22" t="e">
        <f t="shared" si="1"/>
        <v>#N/A</v>
      </c>
      <c r="X70" s="21" t="e">
        <f t="shared" si="2"/>
        <v>#N/A</v>
      </c>
      <c r="Y70" s="21" t="e">
        <f t="shared" si="3"/>
        <v>#N/A</v>
      </c>
      <c r="Z70" s="11" t="e">
        <f t="shared" si="4"/>
        <v>#N/A</v>
      </c>
      <c r="AA70" s="22" t="e">
        <f t="shared" si="5"/>
        <v>#N/A</v>
      </c>
      <c r="AB70" s="21" t="e">
        <f t="shared" si="6"/>
        <v>#N/A</v>
      </c>
      <c r="AC70" s="21" t="e">
        <f t="shared" si="7"/>
        <v>#N/A</v>
      </c>
      <c r="AD70" s="11" t="e">
        <f t="shared" si="8"/>
        <v>#N/A</v>
      </c>
      <c r="AE70" s="22" t="e">
        <f t="shared" si="9"/>
        <v>#N/A</v>
      </c>
      <c r="AF70" s="21" t="e">
        <f t="shared" si="10"/>
        <v>#N/A</v>
      </c>
      <c r="AG70" s="21" t="e">
        <f t="shared" si="11"/>
        <v>#N/A</v>
      </c>
      <c r="AH70" s="11" t="e">
        <f t="shared" si="12"/>
        <v>#N/A</v>
      </c>
      <c r="AI70">
        <v>2.5000000000000001E-2</v>
      </c>
      <c r="AJ70">
        <v>-2.5000000000000001E-2</v>
      </c>
      <c r="AK70">
        <v>1.5E-3</v>
      </c>
      <c r="AL70">
        <v>-1.5E-3</v>
      </c>
      <c r="AM70">
        <v>1.5E-3</v>
      </c>
      <c r="AN70">
        <v>-1.5E-3</v>
      </c>
      <c r="AO70" s="16">
        <v>2.5000000000000001E-2</v>
      </c>
      <c r="AP70" s="16">
        <v>-2.5000000000000001E-2</v>
      </c>
      <c r="AQ70">
        <v>1.4999999999999999E-2</v>
      </c>
      <c r="AR70">
        <v>-1.4999999999999999E-2</v>
      </c>
      <c r="AS70">
        <v>1E-3</v>
      </c>
      <c r="AT70">
        <v>-1E-3</v>
      </c>
      <c r="AU70">
        <v>1E-3</v>
      </c>
      <c r="AV70">
        <v>-1E-3</v>
      </c>
      <c r="AW70" s="16">
        <v>1.4999999999999999E-2</v>
      </c>
      <c r="AX70" s="16">
        <v>-1.4999999999999999E-2</v>
      </c>
    </row>
    <row r="71" spans="6:278" customFormat="1">
      <c r="F71" s="17" t="str">
        <f t="shared" ref="F71:F100" si="13">IF(G71="","",G71)</f>
        <v/>
      </c>
      <c r="G71" s="9"/>
      <c r="H71" s="2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22" t="e">
        <f t="shared" ref="W71:W100" si="14">IF(H71="",NA(),I71-VLOOKUP(H71,$A$6:$E$35,2,FALSE))</f>
        <v>#N/A</v>
      </c>
      <c r="X71" s="21" t="e">
        <f t="shared" ref="X71:X100" si="15">IF(H71="",NA(),J71-VLOOKUP(H71,$A$6:$E$35,3,FALSE))</f>
        <v>#N/A</v>
      </c>
      <c r="Y71" s="21" t="e">
        <f t="shared" ref="Y71:Y100" si="16">IF(H71="",NA(),K71-VLOOKUP(H71,$A$6:$E$35,4,FALSE))</f>
        <v>#N/A</v>
      </c>
      <c r="Z71" s="11" t="e">
        <f t="shared" ref="Z71:Z100" si="17">IF(H71="",NA(),L71/VLOOKUP(H71,$A$6:$E$35,5,FALSE)-1)</f>
        <v>#N/A</v>
      </c>
      <c r="AA71" s="22" t="e">
        <f t="shared" ref="AA71:AA100" si="18">IF(M71="",NA(),N71-VLOOKUP(M71,$A$6:$E$35,2,FALSE))</f>
        <v>#N/A</v>
      </c>
      <c r="AB71" s="21" t="e">
        <f t="shared" ref="AB71:AB100" si="19">IF(M71="",NA(),O71-VLOOKUP(M71,$A$6:$E$35,3,FALSE))</f>
        <v>#N/A</v>
      </c>
      <c r="AC71" s="21" t="e">
        <f t="shared" ref="AC71:AC100" si="20">IF(M71="",NA(),P71-VLOOKUP(M71,$A$6:$E$35,4,FALSE))</f>
        <v>#N/A</v>
      </c>
      <c r="AD71" s="11" t="e">
        <f t="shared" ref="AD71:AD100" si="21">IF(M71="",NA(),Q71/VLOOKUP(M71,$A$6:$E$35,5,FALSE)-1)</f>
        <v>#N/A</v>
      </c>
      <c r="AE71" s="22" t="e">
        <f t="shared" ref="AE71:AE100" si="22">IF(R71="",NA(),S71-VLOOKUP(R71,$A$6:$E$35,2,FALSE))</f>
        <v>#N/A</v>
      </c>
      <c r="AF71" s="21" t="e">
        <f t="shared" ref="AF71:AF100" si="23">IF(R71="",NA(),T71-VLOOKUP(R71,$A$6:$E$35,3,FALSE))</f>
        <v>#N/A</v>
      </c>
      <c r="AG71" s="21" t="e">
        <f t="shared" ref="AG71:AG100" si="24">IF(R71="",NA(),U71-VLOOKUP(R71,$A$6:$E$35,4,FALSE))</f>
        <v>#N/A</v>
      </c>
      <c r="AH71" s="11" t="e">
        <f t="shared" ref="AH71:AH100" si="25">IF(R71="",NA(),V71/VLOOKUP(R71,$A$6:$E$35,5,FALSE)-1)</f>
        <v>#N/A</v>
      </c>
      <c r="AI71">
        <v>2.5000000000000001E-2</v>
      </c>
      <c r="AJ71">
        <v>-2.5000000000000001E-2</v>
      </c>
      <c r="AK71">
        <v>1.5E-3</v>
      </c>
      <c r="AL71">
        <v>-1.5E-3</v>
      </c>
      <c r="AM71">
        <v>1.5E-3</v>
      </c>
      <c r="AN71">
        <v>-1.5E-3</v>
      </c>
      <c r="AO71" s="16">
        <v>2.5000000000000001E-2</v>
      </c>
      <c r="AP71" s="16">
        <v>-2.5000000000000001E-2</v>
      </c>
      <c r="AQ71">
        <v>1.4999999999999999E-2</v>
      </c>
      <c r="AR71">
        <v>-1.4999999999999999E-2</v>
      </c>
      <c r="AS71">
        <v>1E-3</v>
      </c>
      <c r="AT71">
        <v>-1E-3</v>
      </c>
      <c r="AU71">
        <v>1E-3</v>
      </c>
      <c r="AV71">
        <v>-1E-3</v>
      </c>
      <c r="AW71" s="16">
        <v>1.4999999999999999E-2</v>
      </c>
      <c r="AX71" s="16">
        <v>-1.4999999999999999E-2</v>
      </c>
    </row>
    <row r="72" spans="6:278" customFormat="1">
      <c r="F72" s="17" t="str">
        <f t="shared" si="13"/>
        <v/>
      </c>
      <c r="G72" s="9"/>
      <c r="H72" s="2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22" t="e">
        <f t="shared" si="14"/>
        <v>#N/A</v>
      </c>
      <c r="X72" s="21" t="e">
        <f t="shared" si="15"/>
        <v>#N/A</v>
      </c>
      <c r="Y72" s="21" t="e">
        <f t="shared" si="16"/>
        <v>#N/A</v>
      </c>
      <c r="Z72" s="11" t="e">
        <f t="shared" si="17"/>
        <v>#N/A</v>
      </c>
      <c r="AA72" s="22" t="e">
        <f t="shared" si="18"/>
        <v>#N/A</v>
      </c>
      <c r="AB72" s="21" t="e">
        <f t="shared" si="19"/>
        <v>#N/A</v>
      </c>
      <c r="AC72" s="21" t="e">
        <f t="shared" si="20"/>
        <v>#N/A</v>
      </c>
      <c r="AD72" s="11" t="e">
        <f t="shared" si="21"/>
        <v>#N/A</v>
      </c>
      <c r="AE72" s="22" t="e">
        <f t="shared" si="22"/>
        <v>#N/A</v>
      </c>
      <c r="AF72" s="21" t="e">
        <f t="shared" si="23"/>
        <v>#N/A</v>
      </c>
      <c r="AG72" s="21" t="e">
        <f t="shared" si="24"/>
        <v>#N/A</v>
      </c>
      <c r="AH72" s="11" t="e">
        <f t="shared" si="25"/>
        <v>#N/A</v>
      </c>
      <c r="AI72">
        <v>2.5000000000000001E-2</v>
      </c>
      <c r="AJ72">
        <v>-2.5000000000000001E-2</v>
      </c>
      <c r="AK72">
        <v>1.5E-3</v>
      </c>
      <c r="AL72">
        <v>-1.5E-3</v>
      </c>
      <c r="AM72">
        <v>1.5E-3</v>
      </c>
      <c r="AN72">
        <v>-1.5E-3</v>
      </c>
      <c r="AO72" s="16">
        <v>2.5000000000000001E-2</v>
      </c>
      <c r="AP72" s="16">
        <v>-2.5000000000000001E-2</v>
      </c>
      <c r="AQ72">
        <v>1.4999999999999999E-2</v>
      </c>
      <c r="AR72">
        <v>-1.4999999999999999E-2</v>
      </c>
      <c r="AS72">
        <v>1E-3</v>
      </c>
      <c r="AT72">
        <v>-1E-3</v>
      </c>
      <c r="AU72">
        <v>1E-3</v>
      </c>
      <c r="AV72">
        <v>-1E-3</v>
      </c>
      <c r="AW72" s="16">
        <v>1.4999999999999999E-2</v>
      </c>
      <c r="AX72" s="16">
        <v>-1.4999999999999999E-2</v>
      </c>
    </row>
    <row r="73" spans="6:278" customFormat="1">
      <c r="F73" s="17" t="str">
        <f t="shared" si="13"/>
        <v/>
      </c>
      <c r="G73" s="4"/>
      <c r="H73" s="2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22" t="e">
        <f t="shared" si="14"/>
        <v>#N/A</v>
      </c>
      <c r="X73" s="21" t="e">
        <f t="shared" si="15"/>
        <v>#N/A</v>
      </c>
      <c r="Y73" s="21" t="e">
        <f t="shared" si="16"/>
        <v>#N/A</v>
      </c>
      <c r="Z73" s="11" t="e">
        <f t="shared" si="17"/>
        <v>#N/A</v>
      </c>
      <c r="AA73" s="22" t="e">
        <f t="shared" si="18"/>
        <v>#N/A</v>
      </c>
      <c r="AB73" s="21" t="e">
        <f t="shared" si="19"/>
        <v>#N/A</v>
      </c>
      <c r="AC73" s="21" t="e">
        <f t="shared" si="20"/>
        <v>#N/A</v>
      </c>
      <c r="AD73" s="11" t="e">
        <f t="shared" si="21"/>
        <v>#N/A</v>
      </c>
      <c r="AE73" s="22" t="e">
        <f t="shared" si="22"/>
        <v>#N/A</v>
      </c>
      <c r="AF73" s="21" t="e">
        <f t="shared" si="23"/>
        <v>#N/A</v>
      </c>
      <c r="AG73" s="21" t="e">
        <f t="shared" si="24"/>
        <v>#N/A</v>
      </c>
      <c r="AH73" s="11" t="e">
        <f t="shared" si="25"/>
        <v>#N/A</v>
      </c>
      <c r="AI73">
        <v>2.5000000000000001E-2</v>
      </c>
      <c r="AJ73">
        <v>-2.5000000000000001E-2</v>
      </c>
      <c r="AK73">
        <v>1.5E-3</v>
      </c>
      <c r="AL73">
        <v>-1.5E-3</v>
      </c>
      <c r="AM73">
        <v>1.5E-3</v>
      </c>
      <c r="AN73">
        <v>-1.5E-3</v>
      </c>
      <c r="AO73" s="16">
        <v>2.5000000000000001E-2</v>
      </c>
      <c r="AP73" s="16">
        <v>-2.5000000000000001E-2</v>
      </c>
      <c r="AQ73">
        <v>1.4999999999999999E-2</v>
      </c>
      <c r="AR73">
        <v>-1.4999999999999999E-2</v>
      </c>
      <c r="AS73">
        <v>1E-3</v>
      </c>
      <c r="AT73">
        <v>-1E-3</v>
      </c>
      <c r="AU73">
        <v>1E-3</v>
      </c>
      <c r="AV73">
        <v>-1E-3</v>
      </c>
      <c r="AW73" s="16">
        <v>1.4999999999999999E-2</v>
      </c>
      <c r="AX73" s="16">
        <v>-1.4999999999999999E-2</v>
      </c>
    </row>
    <row r="74" spans="6:278" customFormat="1">
      <c r="F74" s="17" t="str">
        <f t="shared" si="13"/>
        <v/>
      </c>
      <c r="G74" s="4"/>
      <c r="H74" s="2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22" t="e">
        <f t="shared" si="14"/>
        <v>#N/A</v>
      </c>
      <c r="X74" s="21" t="e">
        <f t="shared" si="15"/>
        <v>#N/A</v>
      </c>
      <c r="Y74" s="21" t="e">
        <f t="shared" si="16"/>
        <v>#N/A</v>
      </c>
      <c r="Z74" s="11" t="e">
        <f t="shared" si="17"/>
        <v>#N/A</v>
      </c>
      <c r="AA74" s="22" t="e">
        <f t="shared" si="18"/>
        <v>#N/A</v>
      </c>
      <c r="AB74" s="21" t="e">
        <f t="shared" si="19"/>
        <v>#N/A</v>
      </c>
      <c r="AC74" s="21" t="e">
        <f t="shared" si="20"/>
        <v>#N/A</v>
      </c>
      <c r="AD74" s="11" t="e">
        <f t="shared" si="21"/>
        <v>#N/A</v>
      </c>
      <c r="AE74" s="22" t="e">
        <f t="shared" si="22"/>
        <v>#N/A</v>
      </c>
      <c r="AF74" s="21" t="e">
        <f t="shared" si="23"/>
        <v>#N/A</v>
      </c>
      <c r="AG74" s="21" t="e">
        <f t="shared" si="24"/>
        <v>#N/A</v>
      </c>
      <c r="AH74" s="11" t="e">
        <f t="shared" si="25"/>
        <v>#N/A</v>
      </c>
      <c r="AI74">
        <v>2.5000000000000001E-2</v>
      </c>
      <c r="AJ74">
        <v>-2.5000000000000001E-2</v>
      </c>
      <c r="AK74">
        <v>1.5E-3</v>
      </c>
      <c r="AL74">
        <v>-1.5E-3</v>
      </c>
      <c r="AM74">
        <v>1.5E-3</v>
      </c>
      <c r="AN74">
        <v>-1.5E-3</v>
      </c>
      <c r="AO74" s="16">
        <v>2.5000000000000001E-2</v>
      </c>
      <c r="AP74" s="16">
        <v>-2.5000000000000001E-2</v>
      </c>
      <c r="AQ74">
        <v>1.4999999999999999E-2</v>
      </c>
      <c r="AR74">
        <v>-1.4999999999999999E-2</v>
      </c>
      <c r="AS74">
        <v>1E-3</v>
      </c>
      <c r="AT74">
        <v>-1E-3</v>
      </c>
      <c r="AU74">
        <v>1E-3</v>
      </c>
      <c r="AV74">
        <v>-1E-3</v>
      </c>
      <c r="AW74" s="16">
        <v>1.4999999999999999E-2</v>
      </c>
      <c r="AX74" s="16">
        <v>-1.4999999999999999E-2</v>
      </c>
    </row>
    <row r="75" spans="6:278" customFormat="1">
      <c r="F75" s="17" t="str">
        <f t="shared" si="13"/>
        <v/>
      </c>
      <c r="G75" s="4"/>
      <c r="H75" s="2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22" t="e">
        <f t="shared" si="14"/>
        <v>#N/A</v>
      </c>
      <c r="X75" s="21" t="e">
        <f t="shared" si="15"/>
        <v>#N/A</v>
      </c>
      <c r="Y75" s="21" t="e">
        <f t="shared" si="16"/>
        <v>#N/A</v>
      </c>
      <c r="Z75" s="11" t="e">
        <f t="shared" si="17"/>
        <v>#N/A</v>
      </c>
      <c r="AA75" s="22" t="e">
        <f t="shared" si="18"/>
        <v>#N/A</v>
      </c>
      <c r="AB75" s="21" t="e">
        <f t="shared" si="19"/>
        <v>#N/A</v>
      </c>
      <c r="AC75" s="21" t="e">
        <f t="shared" si="20"/>
        <v>#N/A</v>
      </c>
      <c r="AD75" s="11" t="e">
        <f t="shared" si="21"/>
        <v>#N/A</v>
      </c>
      <c r="AE75" s="22" t="e">
        <f t="shared" si="22"/>
        <v>#N/A</v>
      </c>
      <c r="AF75" s="21" t="e">
        <f t="shared" si="23"/>
        <v>#N/A</v>
      </c>
      <c r="AG75" s="21" t="e">
        <f t="shared" si="24"/>
        <v>#N/A</v>
      </c>
      <c r="AH75" s="11" t="e">
        <f t="shared" si="25"/>
        <v>#N/A</v>
      </c>
      <c r="AI75">
        <v>2.5000000000000001E-2</v>
      </c>
      <c r="AJ75">
        <v>-2.5000000000000001E-2</v>
      </c>
      <c r="AK75">
        <v>1.5E-3</v>
      </c>
      <c r="AL75">
        <v>-1.5E-3</v>
      </c>
      <c r="AM75">
        <v>1.5E-3</v>
      </c>
      <c r="AN75">
        <v>-1.5E-3</v>
      </c>
      <c r="AO75" s="16">
        <v>2.5000000000000001E-2</v>
      </c>
      <c r="AP75" s="16">
        <v>-2.5000000000000001E-2</v>
      </c>
      <c r="AQ75">
        <v>1.4999999999999999E-2</v>
      </c>
      <c r="AR75">
        <v>-1.4999999999999999E-2</v>
      </c>
      <c r="AS75">
        <v>1E-3</v>
      </c>
      <c r="AT75">
        <v>-1E-3</v>
      </c>
      <c r="AU75">
        <v>1E-3</v>
      </c>
      <c r="AV75">
        <v>-1E-3</v>
      </c>
      <c r="AW75" s="16">
        <v>1.4999999999999999E-2</v>
      </c>
      <c r="AX75" s="16">
        <v>-1.4999999999999999E-2</v>
      </c>
    </row>
    <row r="76" spans="6:278" customFormat="1">
      <c r="F76" s="17" t="str">
        <f t="shared" si="13"/>
        <v/>
      </c>
      <c r="G76" s="4"/>
      <c r="H76" s="2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22" t="e">
        <f t="shared" si="14"/>
        <v>#N/A</v>
      </c>
      <c r="X76" s="21" t="e">
        <f t="shared" si="15"/>
        <v>#N/A</v>
      </c>
      <c r="Y76" s="21" t="e">
        <f t="shared" si="16"/>
        <v>#N/A</v>
      </c>
      <c r="Z76" s="11" t="e">
        <f t="shared" si="17"/>
        <v>#N/A</v>
      </c>
      <c r="AA76" s="22" t="e">
        <f t="shared" si="18"/>
        <v>#N/A</v>
      </c>
      <c r="AB76" s="21" t="e">
        <f t="shared" si="19"/>
        <v>#N/A</v>
      </c>
      <c r="AC76" s="21" t="e">
        <f t="shared" si="20"/>
        <v>#N/A</v>
      </c>
      <c r="AD76" s="11" t="e">
        <f t="shared" si="21"/>
        <v>#N/A</v>
      </c>
      <c r="AE76" s="22" t="e">
        <f t="shared" si="22"/>
        <v>#N/A</v>
      </c>
      <c r="AF76" s="21" t="e">
        <f t="shared" si="23"/>
        <v>#N/A</v>
      </c>
      <c r="AG76" s="21" t="e">
        <f t="shared" si="24"/>
        <v>#N/A</v>
      </c>
      <c r="AH76" s="11" t="e">
        <f t="shared" si="25"/>
        <v>#N/A</v>
      </c>
      <c r="AI76">
        <v>2.5000000000000001E-2</v>
      </c>
      <c r="AJ76">
        <v>-2.5000000000000001E-2</v>
      </c>
      <c r="AK76">
        <v>1.5E-3</v>
      </c>
      <c r="AL76">
        <v>-1.5E-3</v>
      </c>
      <c r="AM76">
        <v>1.5E-3</v>
      </c>
      <c r="AN76">
        <v>-1.5E-3</v>
      </c>
      <c r="AO76" s="16">
        <v>2.5000000000000001E-2</v>
      </c>
      <c r="AP76" s="16">
        <v>-2.5000000000000001E-2</v>
      </c>
      <c r="AQ76">
        <v>1.4999999999999999E-2</v>
      </c>
      <c r="AR76">
        <v>-1.4999999999999999E-2</v>
      </c>
      <c r="AS76">
        <v>1E-3</v>
      </c>
      <c r="AT76">
        <v>-1E-3</v>
      </c>
      <c r="AU76">
        <v>1E-3</v>
      </c>
      <c r="AV76">
        <v>-1E-3</v>
      </c>
      <c r="AW76" s="16">
        <v>1.4999999999999999E-2</v>
      </c>
      <c r="AX76" s="16">
        <v>-1.4999999999999999E-2</v>
      </c>
    </row>
    <row r="77" spans="6:278" customFormat="1">
      <c r="F77" s="17" t="str">
        <f t="shared" si="13"/>
        <v/>
      </c>
      <c r="G77" s="4"/>
      <c r="H77" s="2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22" t="e">
        <f t="shared" si="14"/>
        <v>#N/A</v>
      </c>
      <c r="X77" s="21" t="e">
        <f t="shared" si="15"/>
        <v>#N/A</v>
      </c>
      <c r="Y77" s="21" t="e">
        <f t="shared" si="16"/>
        <v>#N/A</v>
      </c>
      <c r="Z77" s="11" t="e">
        <f t="shared" si="17"/>
        <v>#N/A</v>
      </c>
      <c r="AA77" s="22" t="e">
        <f t="shared" si="18"/>
        <v>#N/A</v>
      </c>
      <c r="AB77" s="21" t="e">
        <f t="shared" si="19"/>
        <v>#N/A</v>
      </c>
      <c r="AC77" s="21" t="e">
        <f t="shared" si="20"/>
        <v>#N/A</v>
      </c>
      <c r="AD77" s="11" t="e">
        <f t="shared" si="21"/>
        <v>#N/A</v>
      </c>
      <c r="AE77" s="22" t="e">
        <f t="shared" si="22"/>
        <v>#N/A</v>
      </c>
      <c r="AF77" s="21" t="e">
        <f t="shared" si="23"/>
        <v>#N/A</v>
      </c>
      <c r="AG77" s="21" t="e">
        <f t="shared" si="24"/>
        <v>#N/A</v>
      </c>
      <c r="AH77" s="11" t="e">
        <f t="shared" si="25"/>
        <v>#N/A</v>
      </c>
      <c r="AI77">
        <v>2.5000000000000001E-2</v>
      </c>
      <c r="AJ77">
        <v>-2.5000000000000001E-2</v>
      </c>
      <c r="AK77">
        <v>1.5E-3</v>
      </c>
      <c r="AL77">
        <v>-1.5E-3</v>
      </c>
      <c r="AM77">
        <v>1.5E-3</v>
      </c>
      <c r="AN77">
        <v>-1.5E-3</v>
      </c>
      <c r="AO77" s="16">
        <v>2.5000000000000001E-2</v>
      </c>
      <c r="AP77" s="16">
        <v>-2.5000000000000001E-2</v>
      </c>
      <c r="AQ77">
        <v>1.4999999999999999E-2</v>
      </c>
      <c r="AR77">
        <v>-1.4999999999999999E-2</v>
      </c>
      <c r="AS77">
        <v>1E-3</v>
      </c>
      <c r="AT77">
        <v>-1E-3</v>
      </c>
      <c r="AU77">
        <v>1E-3</v>
      </c>
      <c r="AV77">
        <v>-1E-3</v>
      </c>
      <c r="AW77" s="16">
        <v>1.4999999999999999E-2</v>
      </c>
      <c r="AX77" s="16">
        <v>-1.4999999999999999E-2</v>
      </c>
    </row>
    <row r="78" spans="6:278" customFormat="1">
      <c r="F78" s="17" t="str">
        <f t="shared" si="13"/>
        <v/>
      </c>
      <c r="G78" s="4"/>
      <c r="H78" s="2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22" t="e">
        <f t="shared" si="14"/>
        <v>#N/A</v>
      </c>
      <c r="X78" s="21" t="e">
        <f t="shared" si="15"/>
        <v>#N/A</v>
      </c>
      <c r="Y78" s="21" t="e">
        <f t="shared" si="16"/>
        <v>#N/A</v>
      </c>
      <c r="Z78" s="11" t="e">
        <f t="shared" si="17"/>
        <v>#N/A</v>
      </c>
      <c r="AA78" s="22" t="e">
        <f t="shared" si="18"/>
        <v>#N/A</v>
      </c>
      <c r="AB78" s="21" t="e">
        <f t="shared" si="19"/>
        <v>#N/A</v>
      </c>
      <c r="AC78" s="21" t="e">
        <f t="shared" si="20"/>
        <v>#N/A</v>
      </c>
      <c r="AD78" s="11" t="e">
        <f t="shared" si="21"/>
        <v>#N/A</v>
      </c>
      <c r="AE78" s="22" t="e">
        <f t="shared" si="22"/>
        <v>#N/A</v>
      </c>
      <c r="AF78" s="21" t="e">
        <f t="shared" si="23"/>
        <v>#N/A</v>
      </c>
      <c r="AG78" s="21" t="e">
        <f t="shared" si="24"/>
        <v>#N/A</v>
      </c>
      <c r="AH78" s="11" t="e">
        <f t="shared" si="25"/>
        <v>#N/A</v>
      </c>
      <c r="AI78">
        <v>2.5000000000000001E-2</v>
      </c>
      <c r="AJ78">
        <v>-2.5000000000000001E-2</v>
      </c>
      <c r="AK78">
        <v>1.5E-3</v>
      </c>
      <c r="AL78">
        <v>-1.5E-3</v>
      </c>
      <c r="AM78">
        <v>1.5E-3</v>
      </c>
      <c r="AN78">
        <v>-1.5E-3</v>
      </c>
      <c r="AO78" s="16">
        <v>2.5000000000000001E-2</v>
      </c>
      <c r="AP78" s="16">
        <v>-2.5000000000000001E-2</v>
      </c>
      <c r="AQ78">
        <v>1.4999999999999999E-2</v>
      </c>
      <c r="AR78">
        <v>-1.4999999999999999E-2</v>
      </c>
      <c r="AS78">
        <v>1E-3</v>
      </c>
      <c r="AT78">
        <v>-1E-3</v>
      </c>
      <c r="AU78">
        <v>1E-3</v>
      </c>
      <c r="AV78">
        <v>-1E-3</v>
      </c>
      <c r="AW78" s="16">
        <v>1.4999999999999999E-2</v>
      </c>
      <c r="AX78" s="16">
        <v>-1.4999999999999999E-2</v>
      </c>
    </row>
    <row r="79" spans="6:278" customFormat="1">
      <c r="F79" s="17" t="str">
        <f t="shared" si="13"/>
        <v/>
      </c>
      <c r="G79" s="4"/>
      <c r="H79" s="2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22" t="e">
        <f t="shared" si="14"/>
        <v>#N/A</v>
      </c>
      <c r="X79" s="21" t="e">
        <f t="shared" si="15"/>
        <v>#N/A</v>
      </c>
      <c r="Y79" s="21" t="e">
        <f t="shared" si="16"/>
        <v>#N/A</v>
      </c>
      <c r="Z79" s="11" t="e">
        <f t="shared" si="17"/>
        <v>#N/A</v>
      </c>
      <c r="AA79" s="22" t="e">
        <f t="shared" si="18"/>
        <v>#N/A</v>
      </c>
      <c r="AB79" s="21" t="e">
        <f t="shared" si="19"/>
        <v>#N/A</v>
      </c>
      <c r="AC79" s="21" t="e">
        <f t="shared" si="20"/>
        <v>#N/A</v>
      </c>
      <c r="AD79" s="11" t="e">
        <f t="shared" si="21"/>
        <v>#N/A</v>
      </c>
      <c r="AE79" s="22" t="e">
        <f t="shared" si="22"/>
        <v>#N/A</v>
      </c>
      <c r="AF79" s="21" t="e">
        <f t="shared" si="23"/>
        <v>#N/A</v>
      </c>
      <c r="AG79" s="21" t="e">
        <f t="shared" si="24"/>
        <v>#N/A</v>
      </c>
      <c r="AH79" s="11" t="e">
        <f t="shared" si="25"/>
        <v>#N/A</v>
      </c>
      <c r="AI79">
        <v>2.5000000000000001E-2</v>
      </c>
      <c r="AJ79">
        <v>-2.5000000000000001E-2</v>
      </c>
      <c r="AK79">
        <v>1.5E-3</v>
      </c>
      <c r="AL79">
        <v>-1.5E-3</v>
      </c>
      <c r="AM79">
        <v>1.5E-3</v>
      </c>
      <c r="AN79">
        <v>-1.5E-3</v>
      </c>
      <c r="AO79" s="16">
        <v>2.5000000000000001E-2</v>
      </c>
      <c r="AP79" s="16">
        <v>-2.5000000000000001E-2</v>
      </c>
      <c r="AQ79">
        <v>1.4999999999999999E-2</v>
      </c>
      <c r="AR79">
        <v>-1.4999999999999999E-2</v>
      </c>
      <c r="AS79">
        <v>1E-3</v>
      </c>
      <c r="AT79">
        <v>-1E-3</v>
      </c>
      <c r="AU79">
        <v>1E-3</v>
      </c>
      <c r="AV79">
        <v>-1E-3</v>
      </c>
      <c r="AW79" s="16">
        <v>1.4999999999999999E-2</v>
      </c>
      <c r="AX79" s="16">
        <v>-1.4999999999999999E-2</v>
      </c>
    </row>
    <row r="80" spans="6:278" customFormat="1">
      <c r="F80" s="17" t="str">
        <f t="shared" si="13"/>
        <v/>
      </c>
      <c r="G80" s="4"/>
      <c r="H80" s="2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22" t="e">
        <f t="shared" si="14"/>
        <v>#N/A</v>
      </c>
      <c r="X80" s="21" t="e">
        <f t="shared" si="15"/>
        <v>#N/A</v>
      </c>
      <c r="Y80" s="21" t="e">
        <f t="shared" si="16"/>
        <v>#N/A</v>
      </c>
      <c r="Z80" s="11" t="e">
        <f t="shared" si="17"/>
        <v>#N/A</v>
      </c>
      <c r="AA80" s="22" t="e">
        <f t="shared" si="18"/>
        <v>#N/A</v>
      </c>
      <c r="AB80" s="21" t="e">
        <f t="shared" si="19"/>
        <v>#N/A</v>
      </c>
      <c r="AC80" s="21" t="e">
        <f t="shared" si="20"/>
        <v>#N/A</v>
      </c>
      <c r="AD80" s="11" t="e">
        <f t="shared" si="21"/>
        <v>#N/A</v>
      </c>
      <c r="AE80" s="22" t="e">
        <f t="shared" si="22"/>
        <v>#N/A</v>
      </c>
      <c r="AF80" s="21" t="e">
        <f t="shared" si="23"/>
        <v>#N/A</v>
      </c>
      <c r="AG80" s="21" t="e">
        <f t="shared" si="24"/>
        <v>#N/A</v>
      </c>
      <c r="AH80" s="11" t="e">
        <f t="shared" si="25"/>
        <v>#N/A</v>
      </c>
      <c r="AI80">
        <v>2.5000000000000001E-2</v>
      </c>
      <c r="AJ80">
        <v>-2.5000000000000001E-2</v>
      </c>
      <c r="AK80">
        <v>1.5E-3</v>
      </c>
      <c r="AL80">
        <v>-1.5E-3</v>
      </c>
      <c r="AM80">
        <v>1.5E-3</v>
      </c>
      <c r="AN80">
        <v>-1.5E-3</v>
      </c>
      <c r="AO80" s="16">
        <v>2.5000000000000001E-2</v>
      </c>
      <c r="AP80" s="16">
        <v>-2.5000000000000001E-2</v>
      </c>
      <c r="AQ80">
        <v>1.4999999999999999E-2</v>
      </c>
      <c r="AR80">
        <v>-1.4999999999999999E-2</v>
      </c>
      <c r="AS80">
        <v>1E-3</v>
      </c>
      <c r="AT80">
        <v>-1E-3</v>
      </c>
      <c r="AU80">
        <v>1E-3</v>
      </c>
      <c r="AV80">
        <v>-1E-3</v>
      </c>
      <c r="AW80" s="16">
        <v>1.4999999999999999E-2</v>
      </c>
      <c r="AX80" s="16">
        <v>-1.4999999999999999E-2</v>
      </c>
    </row>
    <row r="81" spans="6:50">
      <c r="F81" s="17" t="str">
        <f t="shared" si="13"/>
        <v/>
      </c>
      <c r="G81" s="4"/>
      <c r="H81" s="2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22" t="e">
        <f t="shared" si="14"/>
        <v>#N/A</v>
      </c>
      <c r="X81" s="21" t="e">
        <f t="shared" si="15"/>
        <v>#N/A</v>
      </c>
      <c r="Y81" s="21" t="e">
        <f t="shared" si="16"/>
        <v>#N/A</v>
      </c>
      <c r="Z81" s="11" t="e">
        <f t="shared" si="17"/>
        <v>#N/A</v>
      </c>
      <c r="AA81" s="22" t="e">
        <f t="shared" si="18"/>
        <v>#N/A</v>
      </c>
      <c r="AB81" s="21" t="e">
        <f t="shared" si="19"/>
        <v>#N/A</v>
      </c>
      <c r="AC81" s="21" t="e">
        <f t="shared" si="20"/>
        <v>#N/A</v>
      </c>
      <c r="AD81" s="11" t="e">
        <f t="shared" si="21"/>
        <v>#N/A</v>
      </c>
      <c r="AE81" s="22" t="e">
        <f t="shared" si="22"/>
        <v>#N/A</v>
      </c>
      <c r="AF81" s="21" t="e">
        <f t="shared" si="23"/>
        <v>#N/A</v>
      </c>
      <c r="AG81" s="21" t="e">
        <f t="shared" si="24"/>
        <v>#N/A</v>
      </c>
      <c r="AH81" s="11" t="e">
        <f t="shared" si="25"/>
        <v>#N/A</v>
      </c>
      <c r="AI81">
        <v>2.5000000000000001E-2</v>
      </c>
      <c r="AJ81">
        <v>-2.5000000000000001E-2</v>
      </c>
      <c r="AK81">
        <v>1.5E-3</v>
      </c>
      <c r="AL81">
        <v>-1.5E-3</v>
      </c>
      <c r="AM81">
        <v>1.5E-3</v>
      </c>
      <c r="AN81">
        <v>-1.5E-3</v>
      </c>
      <c r="AO81" s="16">
        <v>2.5000000000000001E-2</v>
      </c>
      <c r="AP81" s="16">
        <v>-2.5000000000000001E-2</v>
      </c>
      <c r="AQ81">
        <v>1.4999999999999999E-2</v>
      </c>
      <c r="AR81">
        <v>-1.4999999999999999E-2</v>
      </c>
      <c r="AS81">
        <v>1E-3</v>
      </c>
      <c r="AT81">
        <v>-1E-3</v>
      </c>
      <c r="AU81">
        <v>1E-3</v>
      </c>
      <c r="AV81">
        <v>-1E-3</v>
      </c>
      <c r="AW81" s="16">
        <v>1.4999999999999999E-2</v>
      </c>
      <c r="AX81" s="16">
        <v>-1.4999999999999999E-2</v>
      </c>
    </row>
    <row r="82" spans="6:50">
      <c r="F82" s="17" t="str">
        <f t="shared" si="13"/>
        <v/>
      </c>
      <c r="G82" s="4"/>
      <c r="H82" s="2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22" t="e">
        <f t="shared" si="14"/>
        <v>#N/A</v>
      </c>
      <c r="X82" s="21" t="e">
        <f t="shared" si="15"/>
        <v>#N/A</v>
      </c>
      <c r="Y82" s="21" t="e">
        <f t="shared" si="16"/>
        <v>#N/A</v>
      </c>
      <c r="Z82" s="11" t="e">
        <f t="shared" si="17"/>
        <v>#N/A</v>
      </c>
      <c r="AA82" s="22" t="e">
        <f t="shared" si="18"/>
        <v>#N/A</v>
      </c>
      <c r="AB82" s="21" t="e">
        <f t="shared" si="19"/>
        <v>#N/A</v>
      </c>
      <c r="AC82" s="21" t="e">
        <f t="shared" si="20"/>
        <v>#N/A</v>
      </c>
      <c r="AD82" s="11" t="e">
        <f t="shared" si="21"/>
        <v>#N/A</v>
      </c>
      <c r="AE82" s="22" t="e">
        <f t="shared" si="22"/>
        <v>#N/A</v>
      </c>
      <c r="AF82" s="21" t="e">
        <f t="shared" si="23"/>
        <v>#N/A</v>
      </c>
      <c r="AG82" s="21" t="e">
        <f t="shared" si="24"/>
        <v>#N/A</v>
      </c>
      <c r="AH82" s="11" t="e">
        <f t="shared" si="25"/>
        <v>#N/A</v>
      </c>
      <c r="AI82">
        <v>2.5000000000000001E-2</v>
      </c>
      <c r="AJ82">
        <v>-2.5000000000000001E-2</v>
      </c>
      <c r="AK82">
        <v>1.5E-3</v>
      </c>
      <c r="AL82">
        <v>-1.5E-3</v>
      </c>
      <c r="AM82">
        <v>1.5E-3</v>
      </c>
      <c r="AN82">
        <v>-1.5E-3</v>
      </c>
      <c r="AO82" s="16">
        <v>2.5000000000000001E-2</v>
      </c>
      <c r="AP82" s="16">
        <v>-2.5000000000000001E-2</v>
      </c>
      <c r="AQ82">
        <v>1.4999999999999999E-2</v>
      </c>
      <c r="AR82">
        <v>-1.4999999999999999E-2</v>
      </c>
      <c r="AS82">
        <v>1E-3</v>
      </c>
      <c r="AT82">
        <v>-1E-3</v>
      </c>
      <c r="AU82">
        <v>1E-3</v>
      </c>
      <c r="AV82">
        <v>-1E-3</v>
      </c>
      <c r="AW82" s="16">
        <v>1.4999999999999999E-2</v>
      </c>
      <c r="AX82" s="16">
        <v>-1.4999999999999999E-2</v>
      </c>
    </row>
    <row r="83" spans="6:50">
      <c r="F83" s="17" t="str">
        <f t="shared" si="13"/>
        <v/>
      </c>
      <c r="G83" s="4"/>
      <c r="H83" s="2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22" t="e">
        <f t="shared" si="14"/>
        <v>#N/A</v>
      </c>
      <c r="X83" s="21" t="e">
        <f t="shared" si="15"/>
        <v>#N/A</v>
      </c>
      <c r="Y83" s="21" t="e">
        <f t="shared" si="16"/>
        <v>#N/A</v>
      </c>
      <c r="Z83" s="11" t="e">
        <f t="shared" si="17"/>
        <v>#N/A</v>
      </c>
      <c r="AA83" s="22" t="e">
        <f t="shared" si="18"/>
        <v>#N/A</v>
      </c>
      <c r="AB83" s="21" t="e">
        <f t="shared" si="19"/>
        <v>#N/A</v>
      </c>
      <c r="AC83" s="21" t="e">
        <f t="shared" si="20"/>
        <v>#N/A</v>
      </c>
      <c r="AD83" s="11" t="e">
        <f t="shared" si="21"/>
        <v>#N/A</v>
      </c>
      <c r="AE83" s="22" t="e">
        <f t="shared" si="22"/>
        <v>#N/A</v>
      </c>
      <c r="AF83" s="21" t="e">
        <f t="shared" si="23"/>
        <v>#N/A</v>
      </c>
      <c r="AG83" s="21" t="e">
        <f t="shared" si="24"/>
        <v>#N/A</v>
      </c>
      <c r="AH83" s="11" t="e">
        <f t="shared" si="25"/>
        <v>#N/A</v>
      </c>
      <c r="AI83">
        <v>2.5000000000000001E-2</v>
      </c>
      <c r="AJ83">
        <v>-2.5000000000000001E-2</v>
      </c>
      <c r="AK83">
        <v>1.5E-3</v>
      </c>
      <c r="AL83">
        <v>-1.5E-3</v>
      </c>
      <c r="AM83">
        <v>1.5E-3</v>
      </c>
      <c r="AN83">
        <v>-1.5E-3</v>
      </c>
      <c r="AO83" s="16">
        <v>2.5000000000000001E-2</v>
      </c>
      <c r="AP83" s="16">
        <v>-2.5000000000000001E-2</v>
      </c>
      <c r="AQ83">
        <v>1.4999999999999999E-2</v>
      </c>
      <c r="AR83">
        <v>-1.4999999999999999E-2</v>
      </c>
      <c r="AS83">
        <v>1E-3</v>
      </c>
      <c r="AT83">
        <v>-1E-3</v>
      </c>
      <c r="AU83">
        <v>1E-3</v>
      </c>
      <c r="AV83">
        <v>-1E-3</v>
      </c>
      <c r="AW83" s="16">
        <v>1.4999999999999999E-2</v>
      </c>
      <c r="AX83" s="16">
        <v>-1.4999999999999999E-2</v>
      </c>
    </row>
    <row r="84" spans="6:50">
      <c r="F84" s="17" t="str">
        <f t="shared" si="13"/>
        <v/>
      </c>
      <c r="G84" s="4"/>
      <c r="H84" s="2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22" t="e">
        <f t="shared" si="14"/>
        <v>#N/A</v>
      </c>
      <c r="X84" s="21" t="e">
        <f t="shared" si="15"/>
        <v>#N/A</v>
      </c>
      <c r="Y84" s="21" t="e">
        <f t="shared" si="16"/>
        <v>#N/A</v>
      </c>
      <c r="Z84" s="11" t="e">
        <f t="shared" si="17"/>
        <v>#N/A</v>
      </c>
      <c r="AA84" s="22" t="e">
        <f t="shared" si="18"/>
        <v>#N/A</v>
      </c>
      <c r="AB84" s="21" t="e">
        <f t="shared" si="19"/>
        <v>#N/A</v>
      </c>
      <c r="AC84" s="21" t="e">
        <f t="shared" si="20"/>
        <v>#N/A</v>
      </c>
      <c r="AD84" s="11" t="e">
        <f t="shared" si="21"/>
        <v>#N/A</v>
      </c>
      <c r="AE84" s="22" t="e">
        <f t="shared" si="22"/>
        <v>#N/A</v>
      </c>
      <c r="AF84" s="21" t="e">
        <f t="shared" si="23"/>
        <v>#N/A</v>
      </c>
      <c r="AG84" s="21" t="e">
        <f t="shared" si="24"/>
        <v>#N/A</v>
      </c>
      <c r="AH84" s="11" t="e">
        <f t="shared" si="25"/>
        <v>#N/A</v>
      </c>
      <c r="AI84">
        <v>2.5000000000000001E-2</v>
      </c>
      <c r="AJ84">
        <v>-2.5000000000000001E-2</v>
      </c>
      <c r="AK84">
        <v>1.5E-3</v>
      </c>
      <c r="AL84">
        <v>-1.5E-3</v>
      </c>
      <c r="AM84">
        <v>1.5E-3</v>
      </c>
      <c r="AN84">
        <v>-1.5E-3</v>
      </c>
      <c r="AO84" s="16">
        <v>2.5000000000000001E-2</v>
      </c>
      <c r="AP84" s="16">
        <v>-2.5000000000000001E-2</v>
      </c>
      <c r="AQ84">
        <v>1.4999999999999999E-2</v>
      </c>
      <c r="AR84">
        <v>-1.4999999999999999E-2</v>
      </c>
      <c r="AS84">
        <v>1E-3</v>
      </c>
      <c r="AT84">
        <v>-1E-3</v>
      </c>
      <c r="AU84">
        <v>1E-3</v>
      </c>
      <c r="AV84">
        <v>-1E-3</v>
      </c>
      <c r="AW84" s="16">
        <v>1.4999999999999999E-2</v>
      </c>
      <c r="AX84" s="16">
        <v>-1.4999999999999999E-2</v>
      </c>
    </row>
    <row r="85" spans="6:50">
      <c r="F85" s="17" t="str">
        <f t="shared" si="13"/>
        <v/>
      </c>
      <c r="G85" s="4"/>
      <c r="H85" s="2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22" t="e">
        <f t="shared" si="14"/>
        <v>#N/A</v>
      </c>
      <c r="X85" s="21" t="e">
        <f t="shared" si="15"/>
        <v>#N/A</v>
      </c>
      <c r="Y85" s="21" t="e">
        <f t="shared" si="16"/>
        <v>#N/A</v>
      </c>
      <c r="Z85" s="11" t="e">
        <f t="shared" si="17"/>
        <v>#N/A</v>
      </c>
      <c r="AA85" s="22" t="e">
        <f t="shared" si="18"/>
        <v>#N/A</v>
      </c>
      <c r="AB85" s="21" t="e">
        <f t="shared" si="19"/>
        <v>#N/A</v>
      </c>
      <c r="AC85" s="21" t="e">
        <f t="shared" si="20"/>
        <v>#N/A</v>
      </c>
      <c r="AD85" s="11" t="e">
        <f t="shared" si="21"/>
        <v>#N/A</v>
      </c>
      <c r="AE85" s="22" t="e">
        <f t="shared" si="22"/>
        <v>#N/A</v>
      </c>
      <c r="AF85" s="21" t="e">
        <f t="shared" si="23"/>
        <v>#N/A</v>
      </c>
      <c r="AG85" s="21" t="e">
        <f t="shared" si="24"/>
        <v>#N/A</v>
      </c>
      <c r="AH85" s="11" t="e">
        <f t="shared" si="25"/>
        <v>#N/A</v>
      </c>
      <c r="AI85">
        <v>2.5000000000000001E-2</v>
      </c>
      <c r="AJ85">
        <v>-2.5000000000000001E-2</v>
      </c>
      <c r="AK85">
        <v>1.5E-3</v>
      </c>
      <c r="AL85">
        <v>-1.5E-3</v>
      </c>
      <c r="AM85">
        <v>1.5E-3</v>
      </c>
      <c r="AN85">
        <v>-1.5E-3</v>
      </c>
      <c r="AO85" s="16">
        <v>2.5000000000000001E-2</v>
      </c>
      <c r="AP85" s="16">
        <v>-2.5000000000000001E-2</v>
      </c>
      <c r="AQ85">
        <v>1.4999999999999999E-2</v>
      </c>
      <c r="AR85">
        <v>-1.4999999999999999E-2</v>
      </c>
      <c r="AS85">
        <v>1E-3</v>
      </c>
      <c r="AT85">
        <v>-1E-3</v>
      </c>
      <c r="AU85">
        <v>1E-3</v>
      </c>
      <c r="AV85">
        <v>-1E-3</v>
      </c>
      <c r="AW85" s="16">
        <v>1.4999999999999999E-2</v>
      </c>
      <c r="AX85" s="16">
        <v>-1.4999999999999999E-2</v>
      </c>
    </row>
    <row r="86" spans="6:50">
      <c r="F86" s="17" t="str">
        <f t="shared" si="13"/>
        <v/>
      </c>
      <c r="G86" s="4"/>
      <c r="H86" s="2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22" t="e">
        <f t="shared" si="14"/>
        <v>#N/A</v>
      </c>
      <c r="X86" s="21" t="e">
        <f t="shared" si="15"/>
        <v>#N/A</v>
      </c>
      <c r="Y86" s="21" t="e">
        <f t="shared" si="16"/>
        <v>#N/A</v>
      </c>
      <c r="Z86" s="11" t="e">
        <f t="shared" si="17"/>
        <v>#N/A</v>
      </c>
      <c r="AA86" s="22" t="e">
        <f t="shared" si="18"/>
        <v>#N/A</v>
      </c>
      <c r="AB86" s="21" t="e">
        <f t="shared" si="19"/>
        <v>#N/A</v>
      </c>
      <c r="AC86" s="21" t="e">
        <f t="shared" si="20"/>
        <v>#N/A</v>
      </c>
      <c r="AD86" s="11" t="e">
        <f t="shared" si="21"/>
        <v>#N/A</v>
      </c>
      <c r="AE86" s="22" t="e">
        <f t="shared" si="22"/>
        <v>#N/A</v>
      </c>
      <c r="AF86" s="21" t="e">
        <f t="shared" si="23"/>
        <v>#N/A</v>
      </c>
      <c r="AG86" s="21" t="e">
        <f t="shared" si="24"/>
        <v>#N/A</v>
      </c>
      <c r="AH86" s="11" t="e">
        <f t="shared" si="25"/>
        <v>#N/A</v>
      </c>
      <c r="AI86">
        <v>2.5000000000000001E-2</v>
      </c>
      <c r="AJ86">
        <v>-2.5000000000000001E-2</v>
      </c>
      <c r="AK86">
        <v>1.5E-3</v>
      </c>
      <c r="AL86">
        <v>-1.5E-3</v>
      </c>
      <c r="AM86">
        <v>1.5E-3</v>
      </c>
      <c r="AN86">
        <v>-1.5E-3</v>
      </c>
      <c r="AO86" s="16">
        <v>2.5000000000000001E-2</v>
      </c>
      <c r="AP86" s="16">
        <v>-2.5000000000000001E-2</v>
      </c>
      <c r="AQ86">
        <v>1.4999999999999999E-2</v>
      </c>
      <c r="AR86">
        <v>-1.4999999999999999E-2</v>
      </c>
      <c r="AS86">
        <v>1E-3</v>
      </c>
      <c r="AT86">
        <v>-1E-3</v>
      </c>
      <c r="AU86">
        <v>1E-3</v>
      </c>
      <c r="AV86">
        <v>-1E-3</v>
      </c>
      <c r="AW86" s="16">
        <v>1.4999999999999999E-2</v>
      </c>
      <c r="AX86" s="16">
        <v>-1.4999999999999999E-2</v>
      </c>
    </row>
    <row r="87" spans="6:50">
      <c r="F87" s="17" t="str">
        <f t="shared" si="13"/>
        <v/>
      </c>
      <c r="G87" s="4"/>
      <c r="H87" s="2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22" t="e">
        <f t="shared" si="14"/>
        <v>#N/A</v>
      </c>
      <c r="X87" s="21" t="e">
        <f t="shared" si="15"/>
        <v>#N/A</v>
      </c>
      <c r="Y87" s="21" t="e">
        <f t="shared" si="16"/>
        <v>#N/A</v>
      </c>
      <c r="Z87" s="11" t="e">
        <f t="shared" si="17"/>
        <v>#N/A</v>
      </c>
      <c r="AA87" s="22" t="e">
        <f t="shared" si="18"/>
        <v>#N/A</v>
      </c>
      <c r="AB87" s="21" t="e">
        <f t="shared" si="19"/>
        <v>#N/A</v>
      </c>
      <c r="AC87" s="21" t="e">
        <f t="shared" si="20"/>
        <v>#N/A</v>
      </c>
      <c r="AD87" s="11" t="e">
        <f t="shared" si="21"/>
        <v>#N/A</v>
      </c>
      <c r="AE87" s="22" t="e">
        <f t="shared" si="22"/>
        <v>#N/A</v>
      </c>
      <c r="AF87" s="21" t="e">
        <f t="shared" si="23"/>
        <v>#N/A</v>
      </c>
      <c r="AG87" s="21" t="e">
        <f t="shared" si="24"/>
        <v>#N/A</v>
      </c>
      <c r="AH87" s="11" t="e">
        <f t="shared" si="25"/>
        <v>#N/A</v>
      </c>
      <c r="AI87">
        <v>2.5000000000000001E-2</v>
      </c>
      <c r="AJ87">
        <v>-2.5000000000000001E-2</v>
      </c>
      <c r="AK87">
        <v>1.5E-3</v>
      </c>
      <c r="AL87">
        <v>-1.5E-3</v>
      </c>
      <c r="AM87">
        <v>1.5E-3</v>
      </c>
      <c r="AN87">
        <v>-1.5E-3</v>
      </c>
      <c r="AO87" s="16">
        <v>2.5000000000000001E-2</v>
      </c>
      <c r="AP87" s="16">
        <v>-2.5000000000000001E-2</v>
      </c>
      <c r="AQ87">
        <v>1.4999999999999999E-2</v>
      </c>
      <c r="AR87">
        <v>-1.4999999999999999E-2</v>
      </c>
      <c r="AS87">
        <v>1E-3</v>
      </c>
      <c r="AT87">
        <v>-1E-3</v>
      </c>
      <c r="AU87">
        <v>1E-3</v>
      </c>
      <c r="AV87">
        <v>-1E-3</v>
      </c>
      <c r="AW87" s="16">
        <v>1.4999999999999999E-2</v>
      </c>
      <c r="AX87" s="16">
        <v>-1.4999999999999999E-2</v>
      </c>
    </row>
    <row r="88" spans="6:50">
      <c r="F88" s="17" t="str">
        <f t="shared" si="13"/>
        <v/>
      </c>
      <c r="G88" s="4"/>
      <c r="H88" s="2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22" t="e">
        <f t="shared" si="14"/>
        <v>#N/A</v>
      </c>
      <c r="X88" s="21" t="e">
        <f t="shared" si="15"/>
        <v>#N/A</v>
      </c>
      <c r="Y88" s="21" t="e">
        <f t="shared" si="16"/>
        <v>#N/A</v>
      </c>
      <c r="Z88" s="11" t="e">
        <f t="shared" si="17"/>
        <v>#N/A</v>
      </c>
      <c r="AA88" s="22" t="e">
        <f t="shared" si="18"/>
        <v>#N/A</v>
      </c>
      <c r="AB88" s="21" t="e">
        <f t="shared" si="19"/>
        <v>#N/A</v>
      </c>
      <c r="AC88" s="21" t="e">
        <f t="shared" si="20"/>
        <v>#N/A</v>
      </c>
      <c r="AD88" s="11" t="e">
        <f t="shared" si="21"/>
        <v>#N/A</v>
      </c>
      <c r="AE88" s="22" t="e">
        <f t="shared" si="22"/>
        <v>#N/A</v>
      </c>
      <c r="AF88" s="21" t="e">
        <f t="shared" si="23"/>
        <v>#N/A</v>
      </c>
      <c r="AG88" s="21" t="e">
        <f t="shared" si="24"/>
        <v>#N/A</v>
      </c>
      <c r="AH88" s="11" t="e">
        <f t="shared" si="25"/>
        <v>#N/A</v>
      </c>
      <c r="AI88">
        <v>2.5000000000000001E-2</v>
      </c>
      <c r="AJ88">
        <v>-2.5000000000000001E-2</v>
      </c>
      <c r="AK88">
        <v>1.5E-3</v>
      </c>
      <c r="AL88">
        <v>-1.5E-3</v>
      </c>
      <c r="AM88">
        <v>1.5E-3</v>
      </c>
      <c r="AN88">
        <v>-1.5E-3</v>
      </c>
      <c r="AO88" s="16">
        <v>2.5000000000000001E-2</v>
      </c>
      <c r="AP88" s="16">
        <v>-2.5000000000000001E-2</v>
      </c>
      <c r="AQ88">
        <v>1.4999999999999999E-2</v>
      </c>
      <c r="AR88">
        <v>-1.4999999999999999E-2</v>
      </c>
      <c r="AS88">
        <v>1E-3</v>
      </c>
      <c r="AT88">
        <v>-1E-3</v>
      </c>
      <c r="AU88">
        <v>1E-3</v>
      </c>
      <c r="AV88">
        <v>-1E-3</v>
      </c>
      <c r="AW88" s="16">
        <v>1.4999999999999999E-2</v>
      </c>
      <c r="AX88" s="16">
        <v>-1.4999999999999999E-2</v>
      </c>
    </row>
    <row r="89" spans="6:50">
      <c r="F89" s="17" t="str">
        <f t="shared" si="13"/>
        <v/>
      </c>
      <c r="G89" s="4"/>
      <c r="H89" s="2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22" t="e">
        <f t="shared" si="14"/>
        <v>#N/A</v>
      </c>
      <c r="X89" s="21" t="e">
        <f t="shared" si="15"/>
        <v>#N/A</v>
      </c>
      <c r="Y89" s="21" t="e">
        <f t="shared" si="16"/>
        <v>#N/A</v>
      </c>
      <c r="Z89" s="11" t="e">
        <f t="shared" si="17"/>
        <v>#N/A</v>
      </c>
      <c r="AA89" s="22" t="e">
        <f t="shared" si="18"/>
        <v>#N/A</v>
      </c>
      <c r="AB89" s="21" t="e">
        <f t="shared" si="19"/>
        <v>#N/A</v>
      </c>
      <c r="AC89" s="21" t="e">
        <f t="shared" si="20"/>
        <v>#N/A</v>
      </c>
      <c r="AD89" s="11" t="e">
        <f t="shared" si="21"/>
        <v>#N/A</v>
      </c>
      <c r="AE89" s="22" t="e">
        <f t="shared" si="22"/>
        <v>#N/A</v>
      </c>
      <c r="AF89" s="21" t="e">
        <f t="shared" si="23"/>
        <v>#N/A</v>
      </c>
      <c r="AG89" s="21" t="e">
        <f t="shared" si="24"/>
        <v>#N/A</v>
      </c>
      <c r="AH89" s="11" t="e">
        <f t="shared" si="25"/>
        <v>#N/A</v>
      </c>
      <c r="AI89">
        <v>2.5000000000000001E-2</v>
      </c>
      <c r="AJ89">
        <v>-2.5000000000000001E-2</v>
      </c>
      <c r="AK89">
        <v>1.5E-3</v>
      </c>
      <c r="AL89">
        <v>-1.5E-3</v>
      </c>
      <c r="AM89">
        <v>1.5E-3</v>
      </c>
      <c r="AN89">
        <v>-1.5E-3</v>
      </c>
      <c r="AO89" s="16">
        <v>2.5000000000000001E-2</v>
      </c>
      <c r="AP89" s="16">
        <v>-2.5000000000000001E-2</v>
      </c>
      <c r="AQ89">
        <v>1.4999999999999999E-2</v>
      </c>
      <c r="AR89">
        <v>-1.4999999999999999E-2</v>
      </c>
      <c r="AS89">
        <v>1E-3</v>
      </c>
      <c r="AT89">
        <v>-1E-3</v>
      </c>
      <c r="AU89">
        <v>1E-3</v>
      </c>
      <c r="AV89">
        <v>-1E-3</v>
      </c>
      <c r="AW89" s="16">
        <v>1.4999999999999999E-2</v>
      </c>
      <c r="AX89" s="16">
        <v>-1.4999999999999999E-2</v>
      </c>
    </row>
    <row r="90" spans="6:50">
      <c r="F90" s="17" t="str">
        <f t="shared" si="13"/>
        <v/>
      </c>
      <c r="G90" s="4"/>
      <c r="H90" s="2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22" t="e">
        <f t="shared" si="14"/>
        <v>#N/A</v>
      </c>
      <c r="X90" s="21" t="e">
        <f t="shared" si="15"/>
        <v>#N/A</v>
      </c>
      <c r="Y90" s="21" t="e">
        <f t="shared" si="16"/>
        <v>#N/A</v>
      </c>
      <c r="Z90" s="11" t="e">
        <f t="shared" si="17"/>
        <v>#N/A</v>
      </c>
      <c r="AA90" s="22" t="e">
        <f t="shared" si="18"/>
        <v>#N/A</v>
      </c>
      <c r="AB90" s="21" t="e">
        <f t="shared" si="19"/>
        <v>#N/A</v>
      </c>
      <c r="AC90" s="21" t="e">
        <f t="shared" si="20"/>
        <v>#N/A</v>
      </c>
      <c r="AD90" s="11" t="e">
        <f t="shared" si="21"/>
        <v>#N/A</v>
      </c>
      <c r="AE90" s="22" t="e">
        <f t="shared" si="22"/>
        <v>#N/A</v>
      </c>
      <c r="AF90" s="21" t="e">
        <f t="shared" si="23"/>
        <v>#N/A</v>
      </c>
      <c r="AG90" s="21" t="e">
        <f t="shared" si="24"/>
        <v>#N/A</v>
      </c>
      <c r="AH90" s="11" t="e">
        <f t="shared" si="25"/>
        <v>#N/A</v>
      </c>
      <c r="AI90">
        <v>2.5000000000000001E-2</v>
      </c>
      <c r="AJ90">
        <v>-2.5000000000000001E-2</v>
      </c>
      <c r="AK90">
        <v>1.5E-3</v>
      </c>
      <c r="AL90">
        <v>-1.5E-3</v>
      </c>
      <c r="AM90">
        <v>1.5E-3</v>
      </c>
      <c r="AN90">
        <v>-1.5E-3</v>
      </c>
      <c r="AO90" s="16">
        <v>2.5000000000000001E-2</v>
      </c>
      <c r="AP90" s="16">
        <v>-2.5000000000000001E-2</v>
      </c>
      <c r="AQ90">
        <v>1.4999999999999999E-2</v>
      </c>
      <c r="AR90">
        <v>-1.4999999999999999E-2</v>
      </c>
      <c r="AS90">
        <v>1E-3</v>
      </c>
      <c r="AT90">
        <v>-1E-3</v>
      </c>
      <c r="AU90">
        <v>1E-3</v>
      </c>
      <c r="AV90">
        <v>-1E-3</v>
      </c>
      <c r="AW90" s="16">
        <v>1.4999999999999999E-2</v>
      </c>
      <c r="AX90" s="16">
        <v>-1.4999999999999999E-2</v>
      </c>
    </row>
    <row r="91" spans="6:50">
      <c r="F91" s="17" t="str">
        <f t="shared" si="13"/>
        <v/>
      </c>
      <c r="G91" s="4"/>
      <c r="H91" s="2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22" t="e">
        <f t="shared" si="14"/>
        <v>#N/A</v>
      </c>
      <c r="X91" s="21" t="e">
        <f t="shared" si="15"/>
        <v>#N/A</v>
      </c>
      <c r="Y91" s="21" t="e">
        <f t="shared" si="16"/>
        <v>#N/A</v>
      </c>
      <c r="Z91" s="11" t="e">
        <f t="shared" si="17"/>
        <v>#N/A</v>
      </c>
      <c r="AA91" s="22" t="e">
        <f t="shared" si="18"/>
        <v>#N/A</v>
      </c>
      <c r="AB91" s="21" t="e">
        <f t="shared" si="19"/>
        <v>#N/A</v>
      </c>
      <c r="AC91" s="21" t="e">
        <f t="shared" si="20"/>
        <v>#N/A</v>
      </c>
      <c r="AD91" s="11" t="e">
        <f t="shared" si="21"/>
        <v>#N/A</v>
      </c>
      <c r="AE91" s="22" t="e">
        <f t="shared" si="22"/>
        <v>#N/A</v>
      </c>
      <c r="AF91" s="21" t="e">
        <f t="shared" si="23"/>
        <v>#N/A</v>
      </c>
      <c r="AG91" s="21" t="e">
        <f t="shared" si="24"/>
        <v>#N/A</v>
      </c>
      <c r="AH91" s="11" t="e">
        <f t="shared" si="25"/>
        <v>#N/A</v>
      </c>
      <c r="AI91">
        <v>2.5000000000000001E-2</v>
      </c>
      <c r="AJ91">
        <v>-2.5000000000000001E-2</v>
      </c>
      <c r="AK91">
        <v>1.5E-3</v>
      </c>
      <c r="AL91">
        <v>-1.5E-3</v>
      </c>
      <c r="AM91">
        <v>1.5E-3</v>
      </c>
      <c r="AN91">
        <v>-1.5E-3</v>
      </c>
      <c r="AO91" s="16">
        <v>2.5000000000000001E-2</v>
      </c>
      <c r="AP91" s="16">
        <v>-2.5000000000000001E-2</v>
      </c>
      <c r="AQ91">
        <v>1.4999999999999999E-2</v>
      </c>
      <c r="AR91">
        <v>-1.4999999999999999E-2</v>
      </c>
      <c r="AS91">
        <v>1E-3</v>
      </c>
      <c r="AT91">
        <v>-1E-3</v>
      </c>
      <c r="AU91">
        <v>1E-3</v>
      </c>
      <c r="AV91">
        <v>-1E-3</v>
      </c>
      <c r="AW91" s="16">
        <v>1.4999999999999999E-2</v>
      </c>
      <c r="AX91" s="16">
        <v>-1.4999999999999999E-2</v>
      </c>
    </row>
    <row r="92" spans="6:50">
      <c r="F92" s="17" t="str">
        <f t="shared" si="13"/>
        <v/>
      </c>
      <c r="G92" s="4"/>
      <c r="H92" s="2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22" t="e">
        <f t="shared" si="14"/>
        <v>#N/A</v>
      </c>
      <c r="X92" s="21" t="e">
        <f t="shared" si="15"/>
        <v>#N/A</v>
      </c>
      <c r="Y92" s="21" t="e">
        <f t="shared" si="16"/>
        <v>#N/A</v>
      </c>
      <c r="Z92" s="11" t="e">
        <f t="shared" si="17"/>
        <v>#N/A</v>
      </c>
      <c r="AA92" s="22" t="e">
        <f t="shared" si="18"/>
        <v>#N/A</v>
      </c>
      <c r="AB92" s="21" t="e">
        <f t="shared" si="19"/>
        <v>#N/A</v>
      </c>
      <c r="AC92" s="21" t="e">
        <f t="shared" si="20"/>
        <v>#N/A</v>
      </c>
      <c r="AD92" s="11" t="e">
        <f t="shared" si="21"/>
        <v>#N/A</v>
      </c>
      <c r="AE92" s="22" t="e">
        <f t="shared" si="22"/>
        <v>#N/A</v>
      </c>
      <c r="AF92" s="21" t="e">
        <f t="shared" si="23"/>
        <v>#N/A</v>
      </c>
      <c r="AG92" s="21" t="e">
        <f t="shared" si="24"/>
        <v>#N/A</v>
      </c>
      <c r="AH92" s="11" t="e">
        <f t="shared" si="25"/>
        <v>#N/A</v>
      </c>
      <c r="AI92">
        <v>2.5000000000000001E-2</v>
      </c>
      <c r="AJ92">
        <v>-2.5000000000000001E-2</v>
      </c>
      <c r="AK92">
        <v>1.5E-3</v>
      </c>
      <c r="AL92">
        <v>-1.5E-3</v>
      </c>
      <c r="AM92">
        <v>1.5E-3</v>
      </c>
      <c r="AN92">
        <v>-1.5E-3</v>
      </c>
      <c r="AO92" s="16">
        <v>2.5000000000000001E-2</v>
      </c>
      <c r="AP92" s="16">
        <v>-2.5000000000000001E-2</v>
      </c>
      <c r="AQ92">
        <v>1.4999999999999999E-2</v>
      </c>
      <c r="AR92">
        <v>-1.4999999999999999E-2</v>
      </c>
      <c r="AS92">
        <v>1E-3</v>
      </c>
      <c r="AT92">
        <v>-1E-3</v>
      </c>
      <c r="AU92">
        <v>1E-3</v>
      </c>
      <c r="AV92">
        <v>-1E-3</v>
      </c>
      <c r="AW92" s="16">
        <v>1.4999999999999999E-2</v>
      </c>
      <c r="AX92" s="16">
        <v>-1.4999999999999999E-2</v>
      </c>
    </row>
    <row r="93" spans="6:50">
      <c r="F93" s="17" t="str">
        <f t="shared" si="13"/>
        <v/>
      </c>
      <c r="G93" s="4"/>
      <c r="H93" s="2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22" t="e">
        <f t="shared" si="14"/>
        <v>#N/A</v>
      </c>
      <c r="X93" s="21" t="e">
        <f t="shared" si="15"/>
        <v>#N/A</v>
      </c>
      <c r="Y93" s="21" t="e">
        <f t="shared" si="16"/>
        <v>#N/A</v>
      </c>
      <c r="Z93" s="11" t="e">
        <f t="shared" si="17"/>
        <v>#N/A</v>
      </c>
      <c r="AA93" s="22" t="e">
        <f t="shared" si="18"/>
        <v>#N/A</v>
      </c>
      <c r="AB93" s="21" t="e">
        <f t="shared" si="19"/>
        <v>#N/A</v>
      </c>
      <c r="AC93" s="21" t="e">
        <f t="shared" si="20"/>
        <v>#N/A</v>
      </c>
      <c r="AD93" s="11" t="e">
        <f t="shared" si="21"/>
        <v>#N/A</v>
      </c>
      <c r="AE93" s="22" t="e">
        <f t="shared" si="22"/>
        <v>#N/A</v>
      </c>
      <c r="AF93" s="21" t="e">
        <f t="shared" si="23"/>
        <v>#N/A</v>
      </c>
      <c r="AG93" s="21" t="e">
        <f t="shared" si="24"/>
        <v>#N/A</v>
      </c>
      <c r="AH93" s="11" t="e">
        <f t="shared" si="25"/>
        <v>#N/A</v>
      </c>
      <c r="AI93">
        <v>2.5000000000000001E-2</v>
      </c>
      <c r="AJ93">
        <v>-2.5000000000000001E-2</v>
      </c>
      <c r="AK93">
        <v>1.5E-3</v>
      </c>
      <c r="AL93">
        <v>-1.5E-3</v>
      </c>
      <c r="AM93">
        <v>1.5E-3</v>
      </c>
      <c r="AN93">
        <v>-1.5E-3</v>
      </c>
      <c r="AO93" s="16">
        <v>2.5000000000000001E-2</v>
      </c>
      <c r="AP93" s="16">
        <v>-2.5000000000000001E-2</v>
      </c>
      <c r="AQ93">
        <v>1.4999999999999999E-2</v>
      </c>
      <c r="AR93">
        <v>-1.4999999999999999E-2</v>
      </c>
      <c r="AS93">
        <v>1E-3</v>
      </c>
      <c r="AT93">
        <v>-1E-3</v>
      </c>
      <c r="AU93">
        <v>1E-3</v>
      </c>
      <c r="AV93">
        <v>-1E-3</v>
      </c>
      <c r="AW93" s="16">
        <v>1.4999999999999999E-2</v>
      </c>
      <c r="AX93" s="16">
        <v>-1.4999999999999999E-2</v>
      </c>
    </row>
    <row r="94" spans="6:50">
      <c r="F94" s="17" t="str">
        <f t="shared" si="13"/>
        <v/>
      </c>
      <c r="G94" s="4"/>
      <c r="H94" s="2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22" t="e">
        <f t="shared" si="14"/>
        <v>#N/A</v>
      </c>
      <c r="X94" s="21" t="e">
        <f t="shared" si="15"/>
        <v>#N/A</v>
      </c>
      <c r="Y94" s="21" t="e">
        <f t="shared" si="16"/>
        <v>#N/A</v>
      </c>
      <c r="Z94" s="11" t="e">
        <f t="shared" si="17"/>
        <v>#N/A</v>
      </c>
      <c r="AA94" s="22" t="e">
        <f t="shared" si="18"/>
        <v>#N/A</v>
      </c>
      <c r="AB94" s="21" t="e">
        <f t="shared" si="19"/>
        <v>#N/A</v>
      </c>
      <c r="AC94" s="21" t="e">
        <f t="shared" si="20"/>
        <v>#N/A</v>
      </c>
      <c r="AD94" s="11" t="e">
        <f t="shared" si="21"/>
        <v>#N/A</v>
      </c>
      <c r="AE94" s="22" t="e">
        <f t="shared" si="22"/>
        <v>#N/A</v>
      </c>
      <c r="AF94" s="21" t="e">
        <f t="shared" si="23"/>
        <v>#N/A</v>
      </c>
      <c r="AG94" s="21" t="e">
        <f t="shared" si="24"/>
        <v>#N/A</v>
      </c>
      <c r="AH94" s="11" t="e">
        <f t="shared" si="25"/>
        <v>#N/A</v>
      </c>
      <c r="AI94">
        <v>2.5000000000000001E-2</v>
      </c>
      <c r="AJ94">
        <v>-2.5000000000000001E-2</v>
      </c>
      <c r="AK94">
        <v>1.5E-3</v>
      </c>
      <c r="AL94">
        <v>-1.5E-3</v>
      </c>
      <c r="AM94">
        <v>1.5E-3</v>
      </c>
      <c r="AN94">
        <v>-1.5E-3</v>
      </c>
      <c r="AO94" s="16">
        <v>2.5000000000000001E-2</v>
      </c>
      <c r="AP94" s="16">
        <v>-2.5000000000000001E-2</v>
      </c>
      <c r="AQ94">
        <v>1.4999999999999999E-2</v>
      </c>
      <c r="AR94">
        <v>-1.4999999999999999E-2</v>
      </c>
      <c r="AS94">
        <v>1E-3</v>
      </c>
      <c r="AT94">
        <v>-1E-3</v>
      </c>
      <c r="AU94">
        <v>1E-3</v>
      </c>
      <c r="AV94">
        <v>-1E-3</v>
      </c>
      <c r="AW94" s="16">
        <v>1.4999999999999999E-2</v>
      </c>
      <c r="AX94" s="16">
        <v>-1.4999999999999999E-2</v>
      </c>
    </row>
    <row r="95" spans="6:50">
      <c r="F95" s="17" t="str">
        <f t="shared" si="13"/>
        <v/>
      </c>
      <c r="G95" s="4"/>
      <c r="H95" s="2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22" t="e">
        <f t="shared" si="14"/>
        <v>#N/A</v>
      </c>
      <c r="X95" s="21" t="e">
        <f t="shared" si="15"/>
        <v>#N/A</v>
      </c>
      <c r="Y95" s="21" t="e">
        <f t="shared" si="16"/>
        <v>#N/A</v>
      </c>
      <c r="Z95" s="11" t="e">
        <f t="shared" si="17"/>
        <v>#N/A</v>
      </c>
      <c r="AA95" s="22" t="e">
        <f t="shared" si="18"/>
        <v>#N/A</v>
      </c>
      <c r="AB95" s="21" t="e">
        <f t="shared" si="19"/>
        <v>#N/A</v>
      </c>
      <c r="AC95" s="21" t="e">
        <f t="shared" si="20"/>
        <v>#N/A</v>
      </c>
      <c r="AD95" s="11" t="e">
        <f t="shared" si="21"/>
        <v>#N/A</v>
      </c>
      <c r="AE95" s="22" t="e">
        <f t="shared" si="22"/>
        <v>#N/A</v>
      </c>
      <c r="AF95" s="21" t="e">
        <f t="shared" si="23"/>
        <v>#N/A</v>
      </c>
      <c r="AG95" s="21" t="e">
        <f t="shared" si="24"/>
        <v>#N/A</v>
      </c>
      <c r="AH95" s="11" t="e">
        <f t="shared" si="25"/>
        <v>#N/A</v>
      </c>
      <c r="AI95">
        <v>2.5000000000000001E-2</v>
      </c>
      <c r="AJ95">
        <v>-2.5000000000000001E-2</v>
      </c>
      <c r="AK95">
        <v>1.5E-3</v>
      </c>
      <c r="AL95">
        <v>-1.5E-3</v>
      </c>
      <c r="AM95">
        <v>1.5E-3</v>
      </c>
      <c r="AN95">
        <v>-1.5E-3</v>
      </c>
      <c r="AO95" s="16">
        <v>2.5000000000000001E-2</v>
      </c>
      <c r="AP95" s="16">
        <v>-2.5000000000000001E-2</v>
      </c>
      <c r="AQ95">
        <v>1.4999999999999999E-2</v>
      </c>
      <c r="AR95">
        <v>-1.4999999999999999E-2</v>
      </c>
      <c r="AS95">
        <v>1E-3</v>
      </c>
      <c r="AT95">
        <v>-1E-3</v>
      </c>
      <c r="AU95">
        <v>1E-3</v>
      </c>
      <c r="AV95">
        <v>-1E-3</v>
      </c>
      <c r="AW95" s="16">
        <v>1.4999999999999999E-2</v>
      </c>
      <c r="AX95" s="16">
        <v>-1.4999999999999999E-2</v>
      </c>
    </row>
    <row r="96" spans="6:50">
      <c r="F96" s="17" t="str">
        <f t="shared" si="13"/>
        <v/>
      </c>
      <c r="G96" s="4"/>
      <c r="H96" s="2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22" t="e">
        <f t="shared" si="14"/>
        <v>#N/A</v>
      </c>
      <c r="X96" s="21" t="e">
        <f t="shared" si="15"/>
        <v>#N/A</v>
      </c>
      <c r="Y96" s="21" t="e">
        <f t="shared" si="16"/>
        <v>#N/A</v>
      </c>
      <c r="Z96" s="11" t="e">
        <f t="shared" si="17"/>
        <v>#N/A</v>
      </c>
      <c r="AA96" s="22" t="e">
        <f t="shared" si="18"/>
        <v>#N/A</v>
      </c>
      <c r="AB96" s="21" t="e">
        <f t="shared" si="19"/>
        <v>#N/A</v>
      </c>
      <c r="AC96" s="21" t="e">
        <f t="shared" si="20"/>
        <v>#N/A</v>
      </c>
      <c r="AD96" s="11" t="e">
        <f t="shared" si="21"/>
        <v>#N/A</v>
      </c>
      <c r="AE96" s="22" t="e">
        <f t="shared" si="22"/>
        <v>#N/A</v>
      </c>
      <c r="AF96" s="21" t="e">
        <f t="shared" si="23"/>
        <v>#N/A</v>
      </c>
      <c r="AG96" s="21" t="e">
        <f t="shared" si="24"/>
        <v>#N/A</v>
      </c>
      <c r="AH96" s="11" t="e">
        <f t="shared" si="25"/>
        <v>#N/A</v>
      </c>
      <c r="AI96">
        <v>2.5000000000000001E-2</v>
      </c>
      <c r="AJ96">
        <v>-2.5000000000000001E-2</v>
      </c>
      <c r="AK96">
        <v>1.5E-3</v>
      </c>
      <c r="AL96">
        <v>-1.5E-3</v>
      </c>
      <c r="AM96">
        <v>1.5E-3</v>
      </c>
      <c r="AN96">
        <v>-1.5E-3</v>
      </c>
      <c r="AO96" s="16">
        <v>2.5000000000000001E-2</v>
      </c>
      <c r="AP96" s="16">
        <v>-2.5000000000000001E-2</v>
      </c>
      <c r="AQ96">
        <v>1.4999999999999999E-2</v>
      </c>
      <c r="AR96">
        <v>-1.4999999999999999E-2</v>
      </c>
      <c r="AS96">
        <v>1E-3</v>
      </c>
      <c r="AT96">
        <v>-1E-3</v>
      </c>
      <c r="AU96">
        <v>1E-3</v>
      </c>
      <c r="AV96">
        <v>-1E-3</v>
      </c>
      <c r="AW96" s="16">
        <v>1.4999999999999999E-2</v>
      </c>
      <c r="AX96" s="16">
        <v>-1.4999999999999999E-2</v>
      </c>
    </row>
    <row r="97" spans="6:50">
      <c r="F97" s="17" t="str">
        <f t="shared" si="13"/>
        <v/>
      </c>
      <c r="G97" s="4"/>
      <c r="H97" s="2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22" t="e">
        <f t="shared" si="14"/>
        <v>#N/A</v>
      </c>
      <c r="X97" s="21" t="e">
        <f t="shared" si="15"/>
        <v>#N/A</v>
      </c>
      <c r="Y97" s="21" t="e">
        <f t="shared" si="16"/>
        <v>#N/A</v>
      </c>
      <c r="Z97" s="11" t="e">
        <f t="shared" si="17"/>
        <v>#N/A</v>
      </c>
      <c r="AA97" s="22" t="e">
        <f t="shared" si="18"/>
        <v>#N/A</v>
      </c>
      <c r="AB97" s="21" t="e">
        <f t="shared" si="19"/>
        <v>#N/A</v>
      </c>
      <c r="AC97" s="21" t="e">
        <f t="shared" si="20"/>
        <v>#N/A</v>
      </c>
      <c r="AD97" s="11" t="e">
        <f t="shared" si="21"/>
        <v>#N/A</v>
      </c>
      <c r="AE97" s="22" t="e">
        <f t="shared" si="22"/>
        <v>#N/A</v>
      </c>
      <c r="AF97" s="21" t="e">
        <f t="shared" si="23"/>
        <v>#N/A</v>
      </c>
      <c r="AG97" s="21" t="e">
        <f t="shared" si="24"/>
        <v>#N/A</v>
      </c>
      <c r="AH97" s="11" t="e">
        <f t="shared" si="25"/>
        <v>#N/A</v>
      </c>
      <c r="AI97">
        <v>2.5000000000000001E-2</v>
      </c>
      <c r="AJ97">
        <v>-2.5000000000000001E-2</v>
      </c>
      <c r="AK97">
        <v>1.5E-3</v>
      </c>
      <c r="AL97">
        <v>-1.5E-3</v>
      </c>
      <c r="AM97">
        <v>1.5E-3</v>
      </c>
      <c r="AN97">
        <v>-1.5E-3</v>
      </c>
      <c r="AO97" s="16">
        <v>2.5000000000000001E-2</v>
      </c>
      <c r="AP97" s="16">
        <v>-2.5000000000000001E-2</v>
      </c>
      <c r="AQ97">
        <v>1.4999999999999999E-2</v>
      </c>
      <c r="AR97">
        <v>-1.4999999999999999E-2</v>
      </c>
      <c r="AS97">
        <v>1E-3</v>
      </c>
      <c r="AT97">
        <v>-1E-3</v>
      </c>
      <c r="AU97">
        <v>1E-3</v>
      </c>
      <c r="AV97">
        <v>-1E-3</v>
      </c>
      <c r="AW97" s="16">
        <v>1.4999999999999999E-2</v>
      </c>
      <c r="AX97" s="16">
        <v>-1.4999999999999999E-2</v>
      </c>
    </row>
    <row r="98" spans="6:50">
      <c r="F98" s="17" t="str">
        <f t="shared" si="13"/>
        <v/>
      </c>
      <c r="G98" s="4"/>
      <c r="H98" s="2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22" t="e">
        <f t="shared" si="14"/>
        <v>#N/A</v>
      </c>
      <c r="X98" s="21" t="e">
        <f t="shared" si="15"/>
        <v>#N/A</v>
      </c>
      <c r="Y98" s="21" t="e">
        <f t="shared" si="16"/>
        <v>#N/A</v>
      </c>
      <c r="Z98" s="11" t="e">
        <f t="shared" si="17"/>
        <v>#N/A</v>
      </c>
      <c r="AA98" s="22" t="e">
        <f t="shared" si="18"/>
        <v>#N/A</v>
      </c>
      <c r="AB98" s="21" t="e">
        <f t="shared" si="19"/>
        <v>#N/A</v>
      </c>
      <c r="AC98" s="21" t="e">
        <f t="shared" si="20"/>
        <v>#N/A</v>
      </c>
      <c r="AD98" s="11" t="e">
        <f t="shared" si="21"/>
        <v>#N/A</v>
      </c>
      <c r="AE98" s="22" t="e">
        <f t="shared" si="22"/>
        <v>#N/A</v>
      </c>
      <c r="AF98" s="21" t="e">
        <f t="shared" si="23"/>
        <v>#N/A</v>
      </c>
      <c r="AG98" s="21" t="e">
        <f t="shared" si="24"/>
        <v>#N/A</v>
      </c>
      <c r="AH98" s="11" t="e">
        <f t="shared" si="25"/>
        <v>#N/A</v>
      </c>
      <c r="AI98">
        <v>2.5000000000000001E-2</v>
      </c>
      <c r="AJ98">
        <v>-2.5000000000000001E-2</v>
      </c>
      <c r="AK98">
        <v>1.5E-3</v>
      </c>
      <c r="AL98">
        <v>-1.5E-3</v>
      </c>
      <c r="AM98">
        <v>1.5E-3</v>
      </c>
      <c r="AN98">
        <v>-1.5E-3</v>
      </c>
      <c r="AO98" s="16">
        <v>2.5000000000000001E-2</v>
      </c>
      <c r="AP98" s="16">
        <v>-2.5000000000000001E-2</v>
      </c>
      <c r="AQ98">
        <v>1.4999999999999999E-2</v>
      </c>
      <c r="AR98">
        <v>-1.4999999999999999E-2</v>
      </c>
      <c r="AS98">
        <v>1E-3</v>
      </c>
      <c r="AT98">
        <v>-1E-3</v>
      </c>
      <c r="AU98">
        <v>1E-3</v>
      </c>
      <c r="AV98">
        <v>-1E-3</v>
      </c>
      <c r="AW98" s="16">
        <v>1.4999999999999999E-2</v>
      </c>
      <c r="AX98" s="16">
        <v>-1.4999999999999999E-2</v>
      </c>
    </row>
    <row r="99" spans="6:50">
      <c r="F99" s="17" t="str">
        <f t="shared" si="13"/>
        <v/>
      </c>
      <c r="G99" s="4"/>
      <c r="H99" s="2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22" t="e">
        <f t="shared" si="14"/>
        <v>#N/A</v>
      </c>
      <c r="X99" s="21" t="e">
        <f t="shared" si="15"/>
        <v>#N/A</v>
      </c>
      <c r="Y99" s="21" t="e">
        <f t="shared" si="16"/>
        <v>#N/A</v>
      </c>
      <c r="Z99" s="11" t="e">
        <f t="shared" si="17"/>
        <v>#N/A</v>
      </c>
      <c r="AA99" s="22" t="e">
        <f t="shared" si="18"/>
        <v>#N/A</v>
      </c>
      <c r="AB99" s="21" t="e">
        <f t="shared" si="19"/>
        <v>#N/A</v>
      </c>
      <c r="AC99" s="21" t="e">
        <f t="shared" si="20"/>
        <v>#N/A</v>
      </c>
      <c r="AD99" s="11" t="e">
        <f t="shared" si="21"/>
        <v>#N/A</v>
      </c>
      <c r="AE99" s="22" t="e">
        <f t="shared" si="22"/>
        <v>#N/A</v>
      </c>
      <c r="AF99" s="21" t="e">
        <f t="shared" si="23"/>
        <v>#N/A</v>
      </c>
      <c r="AG99" s="21" t="e">
        <f t="shared" si="24"/>
        <v>#N/A</v>
      </c>
      <c r="AH99" s="11" t="e">
        <f t="shared" si="25"/>
        <v>#N/A</v>
      </c>
      <c r="AI99">
        <v>2.5000000000000001E-2</v>
      </c>
      <c r="AJ99">
        <v>-2.5000000000000001E-2</v>
      </c>
      <c r="AK99">
        <v>1.5E-3</v>
      </c>
      <c r="AL99">
        <v>-1.5E-3</v>
      </c>
      <c r="AM99">
        <v>1.5E-3</v>
      </c>
      <c r="AN99">
        <v>-1.5E-3</v>
      </c>
      <c r="AO99" s="16">
        <v>2.5000000000000001E-2</v>
      </c>
      <c r="AP99" s="16">
        <v>-2.5000000000000001E-2</v>
      </c>
      <c r="AQ99">
        <v>1.4999999999999999E-2</v>
      </c>
      <c r="AR99">
        <v>-1.4999999999999999E-2</v>
      </c>
      <c r="AS99">
        <v>1E-3</v>
      </c>
      <c r="AT99">
        <v>-1E-3</v>
      </c>
      <c r="AU99">
        <v>1E-3</v>
      </c>
      <c r="AV99">
        <v>-1E-3</v>
      </c>
      <c r="AW99" s="16">
        <v>1.4999999999999999E-2</v>
      </c>
      <c r="AX99" s="16">
        <v>-1.4999999999999999E-2</v>
      </c>
    </row>
    <row r="100" spans="6:50">
      <c r="F100" s="17" t="str">
        <f t="shared" si="13"/>
        <v/>
      </c>
      <c r="G100" s="4"/>
      <c r="H100" s="2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22" t="e">
        <f t="shared" si="14"/>
        <v>#N/A</v>
      </c>
      <c r="X100" s="21" t="e">
        <f t="shared" si="15"/>
        <v>#N/A</v>
      </c>
      <c r="Y100" s="21" t="e">
        <f t="shared" si="16"/>
        <v>#N/A</v>
      </c>
      <c r="Z100" s="11" t="e">
        <f t="shared" si="17"/>
        <v>#N/A</v>
      </c>
      <c r="AA100" s="22" t="e">
        <f t="shared" si="18"/>
        <v>#N/A</v>
      </c>
      <c r="AB100" s="21" t="e">
        <f t="shared" si="19"/>
        <v>#N/A</v>
      </c>
      <c r="AC100" s="21" t="e">
        <f t="shared" si="20"/>
        <v>#N/A</v>
      </c>
      <c r="AD100" s="11" t="e">
        <f t="shared" si="21"/>
        <v>#N/A</v>
      </c>
      <c r="AE100" s="22" t="e">
        <f t="shared" si="22"/>
        <v>#N/A</v>
      </c>
      <c r="AF100" s="21" t="e">
        <f t="shared" si="23"/>
        <v>#N/A</v>
      </c>
      <c r="AG100" s="21" t="e">
        <f t="shared" si="24"/>
        <v>#N/A</v>
      </c>
      <c r="AH100" s="11" t="e">
        <f t="shared" si="25"/>
        <v>#N/A</v>
      </c>
      <c r="AI100">
        <v>2.5000000000000001E-2</v>
      </c>
      <c r="AJ100">
        <v>-2.5000000000000001E-2</v>
      </c>
      <c r="AK100">
        <v>1.5E-3</v>
      </c>
      <c r="AL100">
        <v>-1.5E-3</v>
      </c>
      <c r="AM100">
        <v>1.5E-3</v>
      </c>
      <c r="AN100">
        <v>-1.5E-3</v>
      </c>
      <c r="AO100" s="16">
        <v>2.5000000000000001E-2</v>
      </c>
      <c r="AP100" s="16">
        <v>-2.5000000000000001E-2</v>
      </c>
      <c r="AQ100">
        <v>1.4999999999999999E-2</v>
      </c>
      <c r="AR100">
        <v>-1.4999999999999999E-2</v>
      </c>
      <c r="AS100">
        <v>1E-3</v>
      </c>
      <c r="AT100">
        <v>-1E-3</v>
      </c>
      <c r="AU100">
        <v>1E-3</v>
      </c>
      <c r="AV100">
        <v>-1E-3</v>
      </c>
      <c r="AW100" s="16">
        <v>1.4999999999999999E-2</v>
      </c>
      <c r="AX100" s="16">
        <v>-1.4999999999999999E-2</v>
      </c>
    </row>
  </sheetData>
  <mergeCells count="6">
    <mergeCell ref="AE4:AH4"/>
    <mergeCell ref="H4:L4"/>
    <mergeCell ref="M4:Q4"/>
    <mergeCell ref="R4:V4"/>
    <mergeCell ref="W4:Z4"/>
    <mergeCell ref="AA4:AD4"/>
  </mergeCells>
  <phoneticPr fontId="1"/>
  <conditionalFormatting sqref="W6:AH100">
    <cfRule type="containsErrors" dxfId="1" priority="1">
      <formula>ISERROR(W6)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S100"/>
  <sheetViews>
    <sheetView showGridLines="0" zoomScale="70" zoomScaleNormal="70" workbookViewId="0">
      <pane ySplit="5" topLeftCell="A6" activePane="bottomLeft" state="frozen"/>
      <selection pane="bottomLeft" activeCell="G46" sqref="G46"/>
    </sheetView>
  </sheetViews>
  <sheetFormatPr defaultRowHeight="13.5"/>
  <cols>
    <col min="1" max="5" width="9" style="18"/>
    <col min="6" max="6" width="16.125" style="18" bestFit="1" customWidth="1"/>
    <col min="7" max="7" width="20.625" style="19" bestFit="1" customWidth="1"/>
    <col min="8" max="8" width="11.25" style="26" customWidth="1"/>
    <col min="9" max="9" width="11.25" style="20" customWidth="1"/>
    <col min="10" max="10" width="9.75" style="20" customWidth="1"/>
    <col min="11" max="11" width="9.25" style="20" customWidth="1"/>
    <col min="12" max="13" width="9.75" style="20" customWidth="1"/>
    <col min="14" max="14" width="10.125" style="20" customWidth="1"/>
    <col min="15" max="15" width="10" style="20" customWidth="1"/>
    <col min="16" max="22" width="9" style="20"/>
    <col min="23" max="16384" width="9" style="18"/>
  </cols>
  <sheetData>
    <row r="1" spans="1:279" customFormat="1">
      <c r="G1" s="7"/>
      <c r="H1" s="23"/>
      <c r="K1" s="1"/>
      <c r="L1" s="1"/>
      <c r="M1" s="27"/>
      <c r="R1" s="8"/>
    </row>
    <row r="2" spans="1:279" customFormat="1">
      <c r="G2" s="10"/>
      <c r="H2" s="24"/>
      <c r="I2" s="18"/>
      <c r="J2" s="10"/>
      <c r="K2" s="1"/>
      <c r="L2" s="1"/>
      <c r="M2" s="27"/>
      <c r="R2" s="8"/>
    </row>
    <row r="3" spans="1:279" customFormat="1">
      <c r="G3" s="10"/>
      <c r="H3" s="24"/>
      <c r="I3" s="13">
        <v>3.1103700000000001</v>
      </c>
      <c r="J3" s="13">
        <v>0.29050100000000001</v>
      </c>
      <c r="K3" s="14">
        <v>0.28018300000000002</v>
      </c>
      <c r="L3" s="14">
        <v>27.681999999999999</v>
      </c>
      <c r="M3" s="27"/>
      <c r="N3" s="13">
        <v>3.1324200000000002</v>
      </c>
      <c r="O3" s="13">
        <v>0.28729700000000002</v>
      </c>
      <c r="P3" s="14">
        <v>0.27366200000000002</v>
      </c>
      <c r="Q3" s="14">
        <v>27.869</v>
      </c>
      <c r="R3" s="27"/>
      <c r="S3" s="13">
        <v>3.1106600000000002</v>
      </c>
      <c r="T3" s="13">
        <v>0.28251900000000002</v>
      </c>
      <c r="U3" s="14">
        <v>0.26605899999999999</v>
      </c>
      <c r="V3" s="14">
        <v>27.683</v>
      </c>
    </row>
    <row r="4" spans="1:279" customFormat="1">
      <c r="A4" t="s">
        <v>15</v>
      </c>
      <c r="G4" s="3"/>
      <c r="H4" s="34" t="s">
        <v>5</v>
      </c>
      <c r="I4" s="34"/>
      <c r="J4" s="34"/>
      <c r="K4" s="34"/>
      <c r="L4" s="34"/>
      <c r="M4" s="35" t="s">
        <v>6</v>
      </c>
      <c r="N4" s="36"/>
      <c r="O4" s="36"/>
      <c r="P4" s="36"/>
      <c r="Q4" s="37"/>
      <c r="R4" s="35" t="s">
        <v>7</v>
      </c>
      <c r="S4" s="36"/>
      <c r="T4" s="36"/>
      <c r="U4" s="36"/>
      <c r="V4" s="37"/>
      <c r="W4" s="34" t="s">
        <v>5</v>
      </c>
      <c r="X4" s="34"/>
      <c r="Y4" s="34"/>
      <c r="Z4" s="34"/>
      <c r="AA4" s="34" t="s">
        <v>6</v>
      </c>
      <c r="AB4" s="34"/>
      <c r="AC4" s="34"/>
      <c r="AD4" s="34"/>
      <c r="AE4" s="34" t="s">
        <v>7</v>
      </c>
      <c r="AF4" s="34"/>
      <c r="AG4" s="34"/>
      <c r="AH4" s="34"/>
      <c r="AI4" t="s">
        <v>12</v>
      </c>
      <c r="AJ4" t="s">
        <v>12</v>
      </c>
      <c r="AK4" t="s">
        <v>12</v>
      </c>
      <c r="AL4" t="s">
        <v>12</v>
      </c>
      <c r="AM4" t="s">
        <v>12</v>
      </c>
      <c r="AN4" t="s">
        <v>12</v>
      </c>
      <c r="AO4" t="s">
        <v>12</v>
      </c>
      <c r="AP4" t="s">
        <v>12</v>
      </c>
      <c r="AQ4" t="s">
        <v>13</v>
      </c>
      <c r="AR4" t="s">
        <v>13</v>
      </c>
      <c r="AS4" t="s">
        <v>13</v>
      </c>
      <c r="AT4" t="s">
        <v>13</v>
      </c>
      <c r="AU4" t="s">
        <v>13</v>
      </c>
      <c r="AV4" t="s">
        <v>13</v>
      </c>
      <c r="AW4" t="s">
        <v>13</v>
      </c>
      <c r="AX4" t="s">
        <v>13</v>
      </c>
      <c r="BA4" t="s">
        <v>51</v>
      </c>
      <c r="BF4" t="s">
        <v>52</v>
      </c>
    </row>
    <row r="5" spans="1:279" customFormat="1">
      <c r="A5" s="2"/>
      <c r="B5" s="2" t="s">
        <v>1</v>
      </c>
      <c r="C5" s="2" t="s">
        <v>2</v>
      </c>
      <c r="D5" s="2" t="s">
        <v>3</v>
      </c>
      <c r="E5" s="2" t="s">
        <v>4</v>
      </c>
      <c r="G5" s="2" t="s">
        <v>0</v>
      </c>
      <c r="H5" s="5" t="s">
        <v>14</v>
      </c>
      <c r="I5" s="2" t="s">
        <v>1</v>
      </c>
      <c r="J5" s="2" t="s">
        <v>2</v>
      </c>
      <c r="K5" s="2" t="s">
        <v>3</v>
      </c>
      <c r="L5" s="2" t="s">
        <v>4</v>
      </c>
      <c r="M5" s="5" t="s">
        <v>14</v>
      </c>
      <c r="N5" s="2" t="s">
        <v>1</v>
      </c>
      <c r="O5" s="2" t="s">
        <v>2</v>
      </c>
      <c r="P5" s="2" t="s">
        <v>3</v>
      </c>
      <c r="Q5" s="2" t="s">
        <v>4</v>
      </c>
      <c r="R5" s="5" t="s">
        <v>14</v>
      </c>
      <c r="S5" s="2" t="s">
        <v>1</v>
      </c>
      <c r="T5" s="2" t="s">
        <v>2</v>
      </c>
      <c r="U5" s="2" t="s">
        <v>3</v>
      </c>
      <c r="V5" s="2" t="s">
        <v>4</v>
      </c>
      <c r="W5" s="2" t="s">
        <v>1</v>
      </c>
      <c r="X5" s="2" t="s">
        <v>2</v>
      </c>
      <c r="Y5" s="2" t="s">
        <v>3</v>
      </c>
      <c r="Z5" s="2" t="s">
        <v>4</v>
      </c>
      <c r="AA5" s="2" t="s">
        <v>1</v>
      </c>
      <c r="AB5" s="2" t="s">
        <v>2</v>
      </c>
      <c r="AC5" s="2" t="s">
        <v>3</v>
      </c>
      <c r="AD5" s="2" t="s">
        <v>4</v>
      </c>
      <c r="AE5" s="2" t="s">
        <v>1</v>
      </c>
      <c r="AF5" s="2" t="s">
        <v>2</v>
      </c>
      <c r="AG5" s="2" t="s">
        <v>3</v>
      </c>
      <c r="AH5" s="2" t="s">
        <v>4</v>
      </c>
      <c r="AI5" s="15" t="s">
        <v>1</v>
      </c>
      <c r="AK5" t="s">
        <v>2</v>
      </c>
      <c r="AM5" t="s">
        <v>3</v>
      </c>
      <c r="AO5" t="s">
        <v>4</v>
      </c>
      <c r="AQ5" s="15" t="s">
        <v>1</v>
      </c>
      <c r="AS5" t="s">
        <v>2</v>
      </c>
      <c r="AU5" t="s">
        <v>3</v>
      </c>
      <c r="AW5" t="s">
        <v>4</v>
      </c>
      <c r="BA5" t="s">
        <v>47</v>
      </c>
      <c r="BB5" t="s">
        <v>48</v>
      </c>
      <c r="BC5" t="s">
        <v>49</v>
      </c>
      <c r="BD5" t="s">
        <v>50</v>
      </c>
      <c r="BF5" t="s">
        <v>47</v>
      </c>
      <c r="BG5" t="s">
        <v>48</v>
      </c>
      <c r="BH5" t="s">
        <v>49</v>
      </c>
      <c r="BI5" t="s">
        <v>50</v>
      </c>
    </row>
    <row r="6" spans="1:279" customFormat="1">
      <c r="A6" s="2">
        <v>1</v>
      </c>
      <c r="B6" s="2">
        <v>2.8420399999999999</v>
      </c>
      <c r="C6" s="2">
        <v>0.34037299999999998</v>
      </c>
      <c r="D6" s="2">
        <v>0.35573300000000002</v>
      </c>
      <c r="E6" s="2">
        <v>35.811859300000002</v>
      </c>
      <c r="F6" s="17">
        <f>IF(G6="","",G6)</f>
        <v>44243.414155092592</v>
      </c>
      <c r="G6" s="9">
        <v>44243.414155092592</v>
      </c>
      <c r="H6" s="25">
        <v>1</v>
      </c>
      <c r="I6" s="12">
        <v>2.843</v>
      </c>
      <c r="J6" s="5">
        <v>0.34054000000000001</v>
      </c>
      <c r="K6" s="5">
        <v>0.35565999999999998</v>
      </c>
      <c r="L6" s="5">
        <v>35.509</v>
      </c>
      <c r="M6" s="5">
        <v>2</v>
      </c>
      <c r="N6" s="5">
        <v>2.839</v>
      </c>
      <c r="O6" s="5">
        <v>0.31641999999999998</v>
      </c>
      <c r="P6" s="5">
        <v>0.33321000000000001</v>
      </c>
      <c r="Q6" s="5">
        <v>35.828000000000003</v>
      </c>
      <c r="R6" s="5">
        <v>3</v>
      </c>
      <c r="S6" s="5">
        <v>2.8809999999999998</v>
      </c>
      <c r="T6" s="5">
        <v>0.30903999999999998</v>
      </c>
      <c r="U6" s="5">
        <v>0.32394000000000001</v>
      </c>
      <c r="V6" s="5">
        <v>35.692</v>
      </c>
      <c r="W6" s="22">
        <f>IF(H6="",NA(),I6-VLOOKUP(H6,$A$6:$E$35,2,FALSE))</f>
        <v>9.6000000000007191E-4</v>
      </c>
      <c r="X6" s="21">
        <f>IF(H6="",NA(),J6-VLOOKUP(H6,$A$6:$E$35,3,FALSE))</f>
        <v>1.6700000000002824E-4</v>
      </c>
      <c r="Y6" s="21">
        <f>IF(H6="",NA(),K6-VLOOKUP(H6,$A$6:$E$35,4,FALSE))</f>
        <v>-7.3000000000045251E-5</v>
      </c>
      <c r="Z6" s="11">
        <f>IF(H6="",NA(),L6/VLOOKUP(H6,$A$6:$E$35,5,FALSE)-1)</f>
        <v>-8.4569554868099139E-3</v>
      </c>
      <c r="AA6" s="22">
        <f>IF(M6="",NA(),N6-VLOOKUP(M6,$A$6:$E$35,2,FALSE))</f>
        <v>1.1620000000000186E-2</v>
      </c>
      <c r="AB6" s="21">
        <f>IF(M6="",NA(),O6-VLOOKUP(M6,$A$6:$E$35,3,FALSE))</f>
        <v>-2.4350000000000038E-2</v>
      </c>
      <c r="AC6" s="21">
        <f>IF(M6="",NA(),P6-VLOOKUP(M6,$A$6:$E$35,4,FALSE))</f>
        <v>-2.2145999999999999E-2</v>
      </c>
      <c r="AD6" s="11">
        <f>IF(M6="",NA(),Q6/VLOOKUP(M6,$A$6:$E$35,5,FALSE)-1)</f>
        <v>-1.1431709020935155E-2</v>
      </c>
      <c r="AE6" s="22">
        <f>IF(R6="",NA(),S6-VLOOKUP(R6,$A$6:$E$35,2,FALSE))</f>
        <v>3.7819999999999965E-2</v>
      </c>
      <c r="AF6" s="21">
        <f>IF(R6="",NA(),T6-VLOOKUP(R6,$A$6:$E$35,3,FALSE))</f>
        <v>-3.0772999999999995E-2</v>
      </c>
      <c r="AG6" s="21">
        <f>IF(R6="",NA(),U6-VLOOKUP(R6,$A$6:$E$35,4,FALSE))</f>
        <v>-2.9642999999999975E-2</v>
      </c>
      <c r="AH6" s="11">
        <f>IF(R6="",NA(),V6/VLOOKUP(R6,$A$6:$E$35,5,FALSE)-1)</f>
        <v>-1.5395732743394008E-3</v>
      </c>
      <c r="AI6">
        <v>2.5000000000000001E-2</v>
      </c>
      <c r="AJ6">
        <v>-2.5000000000000001E-2</v>
      </c>
      <c r="AK6">
        <v>1.5E-3</v>
      </c>
      <c r="AL6">
        <v>-1.5E-3</v>
      </c>
      <c r="AM6">
        <v>1.5E-3</v>
      </c>
      <c r="AN6">
        <v>-1.5E-3</v>
      </c>
      <c r="AO6" s="16">
        <v>2.5000000000000001E-2</v>
      </c>
      <c r="AP6" s="16">
        <v>-2.5000000000000001E-2</v>
      </c>
      <c r="AQ6">
        <v>1.4999999999999999E-2</v>
      </c>
      <c r="AR6">
        <v>-1.4999999999999999E-2</v>
      </c>
      <c r="AS6">
        <v>1E-3</v>
      </c>
      <c r="AT6">
        <v>-1E-3</v>
      </c>
      <c r="AU6">
        <v>1E-3</v>
      </c>
      <c r="AV6">
        <v>-1E-3</v>
      </c>
      <c r="AW6" s="16">
        <v>1.4999999999999999E-2</v>
      </c>
      <c r="AX6" s="16">
        <v>-1.4999999999999999E-2</v>
      </c>
    </row>
    <row r="7" spans="1:279" customFormat="1">
      <c r="A7" s="2">
        <v>2</v>
      </c>
      <c r="B7" s="2">
        <v>2.8273799999999998</v>
      </c>
      <c r="C7" s="2">
        <v>0.34077000000000002</v>
      </c>
      <c r="D7" s="2">
        <v>0.35535600000000001</v>
      </c>
      <c r="E7" s="2">
        <v>36.242311559999997</v>
      </c>
      <c r="F7" s="17">
        <f t="shared" ref="F7:F70" si="0">IF(G7="","",G7)</f>
        <v>44243.939259259256</v>
      </c>
      <c r="G7" s="9">
        <v>44243.939259259256</v>
      </c>
      <c r="H7" s="25">
        <v>1</v>
      </c>
      <c r="I7" s="5">
        <v>2.8410000000000002</v>
      </c>
      <c r="J7" s="5">
        <v>0.34044999999999997</v>
      </c>
      <c r="K7" s="5">
        <v>0.35554999999999998</v>
      </c>
      <c r="L7" s="5">
        <v>35.408000000000001</v>
      </c>
      <c r="M7" s="5">
        <v>2</v>
      </c>
      <c r="N7" s="5">
        <v>2.8370000000000002</v>
      </c>
      <c r="O7" s="5">
        <v>0.31641000000000002</v>
      </c>
      <c r="P7" s="5">
        <v>0.33307999999999999</v>
      </c>
      <c r="Q7" s="5">
        <v>35.710999999999999</v>
      </c>
      <c r="R7" s="5">
        <v>3</v>
      </c>
      <c r="S7" s="5">
        <v>2.8780000000000001</v>
      </c>
      <c r="T7" s="5">
        <v>0.30893999999999999</v>
      </c>
      <c r="U7" s="5">
        <v>0.32379999999999998</v>
      </c>
      <c r="V7" s="5">
        <v>35.597000000000001</v>
      </c>
      <c r="W7" s="22">
        <f t="shared" ref="W7:W70" si="1">IF(H7="",NA(),I7-VLOOKUP(H7,$A$6:$E$35,2,FALSE))</f>
        <v>-1.0399999999997078E-3</v>
      </c>
      <c r="X7" s="21">
        <f t="shared" ref="X7:X70" si="2">IF(H7="",NA(),J7-VLOOKUP(H7,$A$6:$E$35,3,FALSE))</f>
        <v>7.699999999999374E-5</v>
      </c>
      <c r="Y7" s="21">
        <f t="shared" ref="Y7:Y70" si="3">IF(H7="",NA(),K7-VLOOKUP(H7,$A$6:$E$35,4,FALSE))</f>
        <v>-1.8300000000004424E-4</v>
      </c>
      <c r="Z7" s="11">
        <f t="shared" ref="Z7:Z70" si="4">IF(H7="",NA(),L7/VLOOKUP(H7,$A$6:$E$35,5,FALSE)-1)</f>
        <v>-1.127725027111337E-2</v>
      </c>
      <c r="AA7" s="22">
        <f t="shared" ref="AA7:AA70" si="5">IF(M7="",NA(),N7-VLOOKUP(M7,$A$6:$E$35,2,FALSE))</f>
        <v>9.620000000000406E-3</v>
      </c>
      <c r="AB7" s="21">
        <f t="shared" ref="AB7:AB70" si="6">IF(M7="",NA(),O7-VLOOKUP(M7,$A$6:$E$35,3,FALSE))</f>
        <v>-2.4359999999999993E-2</v>
      </c>
      <c r="AC7" s="21">
        <f t="shared" ref="AC7:AC70" si="7">IF(M7="",NA(),P7-VLOOKUP(M7,$A$6:$E$35,4,FALSE))</f>
        <v>-2.2276000000000018E-2</v>
      </c>
      <c r="AD7" s="11">
        <f t="shared" ref="AD7:AD70" si="8">IF(M7="",NA(),Q7/VLOOKUP(M7,$A$6:$E$35,5,FALSE)-1)</f>
        <v>-1.4659979927615807E-2</v>
      </c>
      <c r="AE7" s="22">
        <f t="shared" ref="AE7:AE70" si="9">IF(R7="",NA(),S7-VLOOKUP(R7,$A$6:$E$35,2,FALSE))</f>
        <v>3.4820000000000295E-2</v>
      </c>
      <c r="AF7" s="21">
        <f t="shared" ref="AF7:AF70" si="10">IF(R7="",NA(),T7-VLOOKUP(R7,$A$6:$E$35,3,FALSE))</f>
        <v>-3.0872999999999984E-2</v>
      </c>
      <c r="AG7" s="21">
        <f t="shared" ref="AG7:AG70" si="11">IF(R7="",NA(),U7-VLOOKUP(R7,$A$6:$E$35,4,FALSE))</f>
        <v>-2.9783000000000004E-2</v>
      </c>
      <c r="AH7" s="11">
        <f t="shared" ref="AH7:AH70" si="12">IF(R7="",NA(),V7/VLOOKUP(R7,$A$6:$E$35,5,FALSE)-1)</f>
        <v>-4.197136328775608E-3</v>
      </c>
      <c r="AI7">
        <v>2.5000000000000001E-2</v>
      </c>
      <c r="AJ7">
        <v>-2.5000000000000001E-2</v>
      </c>
      <c r="AK7">
        <v>1.5E-3</v>
      </c>
      <c r="AL7">
        <v>-1.5E-3</v>
      </c>
      <c r="AM7">
        <v>1.5E-3</v>
      </c>
      <c r="AN7">
        <v>-1.5E-3</v>
      </c>
      <c r="AO7" s="16">
        <v>2.5000000000000001E-2</v>
      </c>
      <c r="AP7" s="16">
        <v>-2.5000000000000001E-2</v>
      </c>
      <c r="AQ7">
        <v>1.4999999999999999E-2</v>
      </c>
      <c r="AR7">
        <v>-1.4999999999999999E-2</v>
      </c>
      <c r="AS7">
        <v>1E-3</v>
      </c>
      <c r="AT7">
        <v>-1E-3</v>
      </c>
      <c r="AU7">
        <v>1E-3</v>
      </c>
      <c r="AV7">
        <v>-1E-3</v>
      </c>
      <c r="AW7" s="16">
        <v>1.4999999999999999E-2</v>
      </c>
      <c r="AX7" s="16">
        <v>-1.4999999999999999E-2</v>
      </c>
    </row>
    <row r="8" spans="1:279" customFormat="1">
      <c r="A8" s="2">
        <v>3</v>
      </c>
      <c r="B8" s="2">
        <v>2.8431799999999998</v>
      </c>
      <c r="C8" s="2">
        <v>0.33981299999999998</v>
      </c>
      <c r="D8" s="2">
        <v>0.35358299999999998</v>
      </c>
      <c r="E8" s="2">
        <v>35.747035179999997</v>
      </c>
      <c r="F8" s="17">
        <f t="shared" si="0"/>
        <v>44244.576724537037</v>
      </c>
      <c r="G8" s="9">
        <v>44244.576724537037</v>
      </c>
      <c r="H8" s="25">
        <v>1</v>
      </c>
      <c r="I8" s="5">
        <v>2.8410000000000002</v>
      </c>
      <c r="J8" s="5">
        <v>0.34038000000000002</v>
      </c>
      <c r="K8" s="5">
        <v>0.35550999999999999</v>
      </c>
      <c r="L8" s="5">
        <v>35.308999999999997</v>
      </c>
      <c r="M8" s="5">
        <v>2</v>
      </c>
      <c r="N8" s="5">
        <v>2.8380000000000001</v>
      </c>
      <c r="O8" s="5">
        <v>0.31639</v>
      </c>
      <c r="P8" s="5">
        <v>0.33317000000000002</v>
      </c>
      <c r="Q8" s="5">
        <v>35.619</v>
      </c>
      <c r="R8" s="5">
        <v>3</v>
      </c>
      <c r="S8" s="5">
        <v>2.8780000000000001</v>
      </c>
      <c r="T8" s="5">
        <v>0.30892999999999998</v>
      </c>
      <c r="U8" s="5">
        <v>0.32368000000000002</v>
      </c>
      <c r="V8" s="5">
        <v>35.481999999999999</v>
      </c>
      <c r="W8" s="22">
        <f t="shared" si="1"/>
        <v>-1.0399999999997078E-3</v>
      </c>
      <c r="X8" s="21">
        <f t="shared" si="2"/>
        <v>7.0000000000347562E-6</v>
      </c>
      <c r="Y8" s="21">
        <f t="shared" si="3"/>
        <v>-2.2300000000002873E-4</v>
      </c>
      <c r="Z8" s="11">
        <f t="shared" si="4"/>
        <v>-1.4041697633945693E-2</v>
      </c>
      <c r="AA8" s="22">
        <f t="shared" si="5"/>
        <v>1.0620000000000296E-2</v>
      </c>
      <c r="AB8" s="21">
        <f t="shared" si="6"/>
        <v>-2.4380000000000013E-2</v>
      </c>
      <c r="AC8" s="21">
        <f t="shared" si="7"/>
        <v>-2.2185999999999984E-2</v>
      </c>
      <c r="AD8" s="11">
        <f t="shared" si="8"/>
        <v>-1.7198449358509893E-2</v>
      </c>
      <c r="AE8" s="22">
        <f t="shared" si="9"/>
        <v>3.4820000000000295E-2</v>
      </c>
      <c r="AF8" s="21">
        <f t="shared" si="10"/>
        <v>-3.0882999999999994E-2</v>
      </c>
      <c r="AG8" s="21">
        <f t="shared" si="11"/>
        <v>-2.9902999999999957E-2</v>
      </c>
      <c r="AH8" s="11">
        <f t="shared" si="12"/>
        <v>-7.4141863420404963E-3</v>
      </c>
      <c r="AI8">
        <v>2.5000000000000001E-2</v>
      </c>
      <c r="AJ8">
        <v>-2.5000000000000001E-2</v>
      </c>
      <c r="AK8">
        <v>1.5E-3</v>
      </c>
      <c r="AL8">
        <v>-1.5E-3</v>
      </c>
      <c r="AM8">
        <v>1.5E-3</v>
      </c>
      <c r="AN8">
        <v>-1.5E-3</v>
      </c>
      <c r="AO8" s="16">
        <v>2.5000000000000001E-2</v>
      </c>
      <c r="AP8" s="16">
        <v>-2.5000000000000001E-2</v>
      </c>
      <c r="AQ8">
        <v>1.4999999999999999E-2</v>
      </c>
      <c r="AR8">
        <v>-1.4999999999999999E-2</v>
      </c>
      <c r="AS8">
        <v>1E-3</v>
      </c>
      <c r="AT8">
        <v>-1E-3</v>
      </c>
      <c r="AU8">
        <v>1E-3</v>
      </c>
      <c r="AV8">
        <v>-1E-3</v>
      </c>
      <c r="AW8" s="16">
        <v>1.4999999999999999E-2</v>
      </c>
      <c r="AX8" s="16">
        <v>-1.4999999999999999E-2</v>
      </c>
      <c r="JS8">
        <v>12.849506578947368</v>
      </c>
    </row>
    <row r="9" spans="1:279" customFormat="1">
      <c r="A9" s="2">
        <v>4</v>
      </c>
      <c r="B9" s="2">
        <v>2.8448799999999999</v>
      </c>
      <c r="C9" s="2">
        <v>0.33954099999999998</v>
      </c>
      <c r="D9" s="2">
        <v>0.35557499999999997</v>
      </c>
      <c r="E9" s="2">
        <v>36.328442209999999</v>
      </c>
      <c r="F9" s="17">
        <f t="shared" si="0"/>
        <v>44245.61204861111</v>
      </c>
      <c r="G9" s="9">
        <v>44245.61204861111</v>
      </c>
      <c r="H9" s="25">
        <v>1</v>
      </c>
      <c r="I9" s="5">
        <v>2.8420000000000001</v>
      </c>
      <c r="J9" s="5">
        <v>0.34048</v>
      </c>
      <c r="K9" s="5">
        <v>0.35537000000000002</v>
      </c>
      <c r="L9" s="5">
        <v>35.421999999999997</v>
      </c>
      <c r="M9" s="5">
        <v>2</v>
      </c>
      <c r="N9" s="5">
        <v>2.839</v>
      </c>
      <c r="O9" s="5">
        <v>0.31642999999999999</v>
      </c>
      <c r="P9" s="5">
        <v>0.33313999999999999</v>
      </c>
      <c r="Q9" s="5">
        <v>35.744999999999997</v>
      </c>
      <c r="R9" s="5">
        <v>3</v>
      </c>
      <c r="S9" s="5">
        <v>2.8809999999999998</v>
      </c>
      <c r="T9" s="5">
        <v>0.30908000000000002</v>
      </c>
      <c r="U9" s="5">
        <v>0.32394000000000001</v>
      </c>
      <c r="V9" s="5">
        <v>35.624000000000002</v>
      </c>
      <c r="W9" s="22">
        <f t="shared" si="1"/>
        <v>-3.9999999999817959E-5</v>
      </c>
      <c r="X9" s="21">
        <f t="shared" si="2"/>
        <v>1.0700000000002374E-4</v>
      </c>
      <c r="Y9" s="21">
        <f t="shared" si="3"/>
        <v>-3.6300000000000221E-4</v>
      </c>
      <c r="Z9" s="11">
        <f t="shared" si="4"/>
        <v>-1.0886318320813992E-2</v>
      </c>
      <c r="AA9" s="22">
        <f t="shared" si="5"/>
        <v>1.1620000000000186E-2</v>
      </c>
      <c r="AB9" s="21">
        <f t="shared" si="6"/>
        <v>-2.4340000000000028E-2</v>
      </c>
      <c r="AC9" s="21">
        <f t="shared" si="7"/>
        <v>-2.2216000000000014E-2</v>
      </c>
      <c r="AD9" s="11">
        <f t="shared" si="8"/>
        <v>-1.3721849920546259E-2</v>
      </c>
      <c r="AE9" s="22">
        <f t="shared" si="9"/>
        <v>3.7819999999999965E-2</v>
      </c>
      <c r="AF9" s="21">
        <f t="shared" si="10"/>
        <v>-3.0732999999999955E-2</v>
      </c>
      <c r="AG9" s="21">
        <f t="shared" si="11"/>
        <v>-2.9642999999999975E-2</v>
      </c>
      <c r="AH9" s="11">
        <f t="shared" si="12"/>
        <v>-3.4418289343568498E-3</v>
      </c>
      <c r="AI9">
        <v>2.5000000000000001E-2</v>
      </c>
      <c r="AJ9">
        <v>-2.5000000000000001E-2</v>
      </c>
      <c r="AK9">
        <v>1.5E-3</v>
      </c>
      <c r="AL9">
        <v>-1.5E-3</v>
      </c>
      <c r="AM9">
        <v>1.5E-3</v>
      </c>
      <c r="AN9">
        <v>-1.5E-3</v>
      </c>
      <c r="AO9" s="16">
        <v>2.5000000000000001E-2</v>
      </c>
      <c r="AP9" s="16">
        <v>-2.5000000000000001E-2</v>
      </c>
      <c r="AQ9">
        <v>1.4999999999999999E-2</v>
      </c>
      <c r="AR9">
        <v>-1.4999999999999999E-2</v>
      </c>
      <c r="AS9">
        <v>1E-3</v>
      </c>
      <c r="AT9">
        <v>-1E-3</v>
      </c>
      <c r="AU9">
        <v>1E-3</v>
      </c>
      <c r="AV9">
        <v>-1E-3</v>
      </c>
      <c r="AW9" s="16">
        <v>1.4999999999999999E-2</v>
      </c>
      <c r="AX9" s="16">
        <v>-1.4999999999999999E-2</v>
      </c>
    </row>
    <row r="10" spans="1:279" customFormat="1">
      <c r="A10" s="2">
        <v>5</v>
      </c>
      <c r="B10" s="2">
        <v>2.8474300000000001</v>
      </c>
      <c r="C10" s="2">
        <v>0.341283</v>
      </c>
      <c r="D10" s="2">
        <v>0.356518</v>
      </c>
      <c r="E10" s="2">
        <v>36.031256280000001</v>
      </c>
      <c r="F10" s="17">
        <f t="shared" si="0"/>
        <v>44246.650821759256</v>
      </c>
      <c r="G10" s="9">
        <v>44246.650821759256</v>
      </c>
      <c r="H10" s="25">
        <v>1</v>
      </c>
      <c r="I10" s="5">
        <v>2.843</v>
      </c>
      <c r="J10" s="5">
        <v>0.34051999999999999</v>
      </c>
      <c r="K10" s="5">
        <v>0.35558000000000001</v>
      </c>
      <c r="L10" s="5">
        <v>35.384999999999998</v>
      </c>
      <c r="M10" s="5">
        <v>2</v>
      </c>
      <c r="N10" s="5">
        <v>2.839</v>
      </c>
      <c r="O10" s="5">
        <v>0.31639</v>
      </c>
      <c r="P10" s="5">
        <v>0.33312000000000003</v>
      </c>
      <c r="Q10" s="5">
        <v>35.701000000000001</v>
      </c>
      <c r="R10" s="5">
        <v>3</v>
      </c>
      <c r="S10" s="5">
        <v>2.88</v>
      </c>
      <c r="T10" s="5">
        <v>0.30901000000000001</v>
      </c>
      <c r="U10" s="5">
        <v>0.32401000000000002</v>
      </c>
      <c r="V10" s="5">
        <v>35.564999999999998</v>
      </c>
      <c r="W10" s="22">
        <f t="shared" si="1"/>
        <v>9.6000000000007191E-4</v>
      </c>
      <c r="X10" s="21">
        <f t="shared" si="2"/>
        <v>1.4700000000000824E-4</v>
      </c>
      <c r="Y10" s="21">
        <f t="shared" si="3"/>
        <v>-1.5300000000001424E-4</v>
      </c>
      <c r="Z10" s="11">
        <f t="shared" si="4"/>
        <v>-1.1919495618034071E-2</v>
      </c>
      <c r="AA10" s="22">
        <f t="shared" si="5"/>
        <v>1.1620000000000186E-2</v>
      </c>
      <c r="AB10" s="21">
        <f t="shared" si="6"/>
        <v>-2.4380000000000013E-2</v>
      </c>
      <c r="AC10" s="21">
        <f t="shared" si="7"/>
        <v>-2.2235999999999978E-2</v>
      </c>
      <c r="AD10" s="11">
        <f t="shared" si="8"/>
        <v>-1.4935900517930367E-2</v>
      </c>
      <c r="AE10" s="22">
        <f t="shared" si="9"/>
        <v>3.6820000000000075E-2</v>
      </c>
      <c r="AF10" s="21">
        <f t="shared" si="10"/>
        <v>-3.0802999999999969E-2</v>
      </c>
      <c r="AG10" s="21">
        <f t="shared" si="11"/>
        <v>-2.957299999999996E-2</v>
      </c>
      <c r="AH10" s="11">
        <f t="shared" si="12"/>
        <v>-5.0923154629015643E-3</v>
      </c>
      <c r="AI10">
        <v>2.5000000000000001E-2</v>
      </c>
      <c r="AJ10">
        <v>-2.5000000000000001E-2</v>
      </c>
      <c r="AK10">
        <v>1.5E-3</v>
      </c>
      <c r="AL10">
        <v>-1.5E-3</v>
      </c>
      <c r="AM10">
        <v>1.5E-3</v>
      </c>
      <c r="AN10">
        <v>-1.5E-3</v>
      </c>
      <c r="AO10" s="16">
        <v>2.5000000000000001E-2</v>
      </c>
      <c r="AP10" s="16">
        <v>-2.5000000000000001E-2</v>
      </c>
      <c r="AQ10">
        <v>1.4999999999999999E-2</v>
      </c>
      <c r="AR10">
        <v>-1.4999999999999999E-2</v>
      </c>
      <c r="AS10">
        <v>1E-3</v>
      </c>
      <c r="AT10">
        <v>-1E-3</v>
      </c>
      <c r="AU10">
        <v>1E-3</v>
      </c>
      <c r="AV10">
        <v>-1E-3</v>
      </c>
      <c r="AW10" s="16">
        <v>1.4999999999999999E-2</v>
      </c>
      <c r="AX10" s="16">
        <v>-1.4999999999999999E-2</v>
      </c>
      <c r="JQ10">
        <v>28.935185185185187</v>
      </c>
    </row>
    <row r="11" spans="1:279" customFormat="1">
      <c r="A11" s="2">
        <v>6</v>
      </c>
      <c r="B11" s="2">
        <v>2.8560400000000001</v>
      </c>
      <c r="C11" s="2">
        <v>0.43308400000000002</v>
      </c>
      <c r="D11" s="2">
        <v>0.40987299999999999</v>
      </c>
      <c r="E11" s="2">
        <v>35.257386930000003</v>
      </c>
      <c r="F11" s="17">
        <f t="shared" si="0"/>
        <v>44247.537604166668</v>
      </c>
      <c r="G11" s="9">
        <v>44247.537604166668</v>
      </c>
      <c r="H11" s="25">
        <v>1</v>
      </c>
      <c r="I11" s="5">
        <v>2.8410000000000002</v>
      </c>
      <c r="J11" s="5">
        <v>0.34037000000000001</v>
      </c>
      <c r="K11" s="5">
        <v>0.35533999999999999</v>
      </c>
      <c r="L11" s="5">
        <v>35.256999999999998</v>
      </c>
      <c r="M11" s="5">
        <v>2</v>
      </c>
      <c r="N11" s="5">
        <v>2.8370000000000002</v>
      </c>
      <c r="O11" s="5">
        <v>0.31636999999999998</v>
      </c>
      <c r="P11" s="5">
        <v>0.33310000000000001</v>
      </c>
      <c r="Q11" s="5">
        <v>35.621000000000002</v>
      </c>
      <c r="R11" s="5">
        <v>3</v>
      </c>
      <c r="S11" s="5">
        <v>2.8769999999999998</v>
      </c>
      <c r="T11" s="5">
        <v>0.30898999999999999</v>
      </c>
      <c r="U11" s="5">
        <v>0.32379000000000002</v>
      </c>
      <c r="V11" s="5">
        <v>35.484000000000002</v>
      </c>
      <c r="W11" s="22">
        <f t="shared" si="1"/>
        <v>-1.0399999999997078E-3</v>
      </c>
      <c r="X11" s="21">
        <f t="shared" si="2"/>
        <v>-2.9999999999752447E-6</v>
      </c>
      <c r="Y11" s="21">
        <f t="shared" si="3"/>
        <v>-3.9300000000003221E-4</v>
      </c>
      <c r="Z11" s="11">
        <f t="shared" si="4"/>
        <v>-1.5493730592200938E-2</v>
      </c>
      <c r="AA11" s="22">
        <f t="shared" si="5"/>
        <v>9.620000000000406E-3</v>
      </c>
      <c r="AB11" s="21">
        <f t="shared" si="6"/>
        <v>-2.4400000000000033E-2</v>
      </c>
      <c r="AC11" s="21">
        <f t="shared" si="7"/>
        <v>-2.2255999999999998E-2</v>
      </c>
      <c r="AD11" s="11">
        <f t="shared" si="8"/>
        <v>-1.7143265240446959E-2</v>
      </c>
      <c r="AE11" s="22">
        <f t="shared" si="9"/>
        <v>3.3819999999999961E-2</v>
      </c>
      <c r="AF11" s="21">
        <f t="shared" si="10"/>
        <v>-3.0822999999999989E-2</v>
      </c>
      <c r="AG11" s="21">
        <f t="shared" si="11"/>
        <v>-2.9792999999999958E-2</v>
      </c>
      <c r="AH11" s="11">
        <f t="shared" si="12"/>
        <v>-7.3582376461576171E-3</v>
      </c>
      <c r="AI11">
        <v>2.5000000000000001E-2</v>
      </c>
      <c r="AJ11">
        <v>-2.5000000000000001E-2</v>
      </c>
      <c r="AK11">
        <v>1.5E-3</v>
      </c>
      <c r="AL11">
        <v>-1.5E-3</v>
      </c>
      <c r="AM11">
        <v>1.5E-3</v>
      </c>
      <c r="AN11">
        <v>-1.5E-3</v>
      </c>
      <c r="AO11" s="16">
        <v>2.5000000000000001E-2</v>
      </c>
      <c r="AP11" s="16">
        <v>-2.5000000000000001E-2</v>
      </c>
      <c r="AQ11">
        <v>1.4999999999999999E-2</v>
      </c>
      <c r="AR11">
        <v>-1.4999999999999999E-2</v>
      </c>
      <c r="AS11">
        <v>1E-3</v>
      </c>
      <c r="AT11">
        <v>-1E-3</v>
      </c>
      <c r="AU11">
        <v>1E-3</v>
      </c>
      <c r="AV11">
        <v>-1E-3</v>
      </c>
      <c r="AW11" s="16">
        <v>1.4999999999999999E-2</v>
      </c>
      <c r="AX11" s="16">
        <v>-1.4999999999999999E-2</v>
      </c>
      <c r="JR11">
        <v>25.699013157894736</v>
      </c>
    </row>
    <row r="12" spans="1:279" customFormat="1">
      <c r="A12" s="2">
        <v>7</v>
      </c>
      <c r="B12" s="2">
        <v>2.8582200000000002</v>
      </c>
      <c r="C12" s="2">
        <v>0.43562000000000001</v>
      </c>
      <c r="D12" s="2">
        <v>0.409499</v>
      </c>
      <c r="E12" s="2">
        <v>35.279095480000002</v>
      </c>
      <c r="F12" s="17">
        <f t="shared" si="0"/>
        <v>44248.65834490741</v>
      </c>
      <c r="G12" s="9">
        <v>44248.65834490741</v>
      </c>
      <c r="H12" s="25">
        <v>1</v>
      </c>
      <c r="I12" s="5">
        <v>2.8420000000000001</v>
      </c>
      <c r="J12" s="5">
        <v>0.34039000000000003</v>
      </c>
      <c r="K12" s="5">
        <v>0.35550999999999999</v>
      </c>
      <c r="L12" s="5">
        <v>35.35</v>
      </c>
      <c r="M12" s="5">
        <v>2</v>
      </c>
      <c r="N12" s="5">
        <v>2.8380000000000001</v>
      </c>
      <c r="O12" s="5">
        <v>0.31637999999999999</v>
      </c>
      <c r="P12" s="5">
        <v>0.33301999999999998</v>
      </c>
      <c r="Q12" s="5">
        <v>35.607999999999997</v>
      </c>
      <c r="R12" s="5">
        <v>3</v>
      </c>
      <c r="S12" s="5">
        <v>2.88</v>
      </c>
      <c r="T12" s="5">
        <v>0.30886999999999998</v>
      </c>
      <c r="U12" s="5">
        <v>0.32374000000000003</v>
      </c>
      <c r="V12" s="5">
        <v>35.561</v>
      </c>
      <c r="W12" s="22">
        <f t="shared" si="1"/>
        <v>-3.9999999999817959E-5</v>
      </c>
      <c r="X12" s="21">
        <f t="shared" si="2"/>
        <v>1.7000000000044757E-5</v>
      </c>
      <c r="Y12" s="21">
        <f t="shared" si="3"/>
        <v>-2.2300000000002873E-4</v>
      </c>
      <c r="Z12" s="11">
        <f t="shared" si="4"/>
        <v>-1.2896825493782682E-2</v>
      </c>
      <c r="AA12" s="22">
        <f t="shared" si="5"/>
        <v>1.0620000000000296E-2</v>
      </c>
      <c r="AB12" s="21">
        <f t="shared" si="6"/>
        <v>-2.4390000000000023E-2</v>
      </c>
      <c r="AC12" s="21">
        <f t="shared" si="7"/>
        <v>-2.2336000000000023E-2</v>
      </c>
      <c r="AD12" s="11">
        <f t="shared" si="8"/>
        <v>-1.7501962007856031E-2</v>
      </c>
      <c r="AE12" s="22">
        <f t="shared" si="9"/>
        <v>3.6820000000000075E-2</v>
      </c>
      <c r="AF12" s="21">
        <f t="shared" si="10"/>
        <v>-3.0942999999999998E-2</v>
      </c>
      <c r="AG12" s="21">
        <f t="shared" si="11"/>
        <v>-2.9842999999999953E-2</v>
      </c>
      <c r="AH12" s="11">
        <f t="shared" si="12"/>
        <v>-5.2042128546672117E-3</v>
      </c>
      <c r="AI12">
        <v>2.5000000000000001E-2</v>
      </c>
      <c r="AJ12">
        <v>-2.5000000000000001E-2</v>
      </c>
      <c r="AK12">
        <v>1.5E-3</v>
      </c>
      <c r="AL12">
        <v>-1.5E-3</v>
      </c>
      <c r="AM12">
        <v>1.5E-3</v>
      </c>
      <c r="AN12">
        <v>-1.5E-3</v>
      </c>
      <c r="AO12" s="16">
        <v>2.5000000000000001E-2</v>
      </c>
      <c r="AP12" s="16">
        <v>-2.5000000000000001E-2</v>
      </c>
      <c r="AQ12">
        <v>1.4999999999999999E-2</v>
      </c>
      <c r="AR12">
        <v>-1.4999999999999999E-2</v>
      </c>
      <c r="AS12">
        <v>1E-3</v>
      </c>
      <c r="AT12">
        <v>-1E-3</v>
      </c>
      <c r="AU12">
        <v>1E-3</v>
      </c>
      <c r="AV12">
        <v>-1E-3</v>
      </c>
      <c r="AW12" s="16">
        <v>1.4999999999999999E-2</v>
      </c>
      <c r="AX12" s="16">
        <v>-1.4999999999999999E-2</v>
      </c>
      <c r="JP12">
        <v>25.699013157894736</v>
      </c>
      <c r="JR12">
        <v>12.849506578947368</v>
      </c>
      <c r="JS12">
        <v>12.849506578947368</v>
      </c>
    </row>
    <row r="13" spans="1:279" customFormat="1">
      <c r="A13" s="2">
        <v>8</v>
      </c>
      <c r="B13" s="2">
        <v>2.8818700000000002</v>
      </c>
      <c r="C13" s="2">
        <v>0.434054</v>
      </c>
      <c r="D13" s="2">
        <v>0.41008699999999998</v>
      </c>
      <c r="E13" s="2">
        <v>35.653869350000001</v>
      </c>
      <c r="F13" s="17">
        <f t="shared" si="0"/>
        <v>44249.515636574077</v>
      </c>
      <c r="G13" s="9">
        <v>44249.515636574077</v>
      </c>
      <c r="H13" s="25">
        <v>1</v>
      </c>
      <c r="I13" s="5">
        <v>2.8420000000000001</v>
      </c>
      <c r="J13" s="2">
        <v>0.34050999999999998</v>
      </c>
      <c r="K13" s="5">
        <v>0.35548999999999997</v>
      </c>
      <c r="L13" s="5">
        <v>35.381999999999998</v>
      </c>
      <c r="M13" s="5">
        <v>2</v>
      </c>
      <c r="N13" s="5">
        <v>2.8380000000000001</v>
      </c>
      <c r="O13" s="2">
        <v>0.31639</v>
      </c>
      <c r="P13" s="5">
        <v>0.33311000000000002</v>
      </c>
      <c r="Q13" s="5">
        <v>35.664000000000001</v>
      </c>
      <c r="R13" s="5">
        <v>3</v>
      </c>
      <c r="S13" s="5">
        <v>2.879</v>
      </c>
      <c r="T13" s="2">
        <v>0.30901000000000001</v>
      </c>
      <c r="U13" s="5">
        <v>0.32394000000000001</v>
      </c>
      <c r="V13" s="5">
        <v>35.588000000000001</v>
      </c>
      <c r="W13" s="22">
        <f t="shared" si="1"/>
        <v>-3.9999999999817959E-5</v>
      </c>
      <c r="X13" s="21">
        <f t="shared" si="2"/>
        <v>1.3699999999999823E-4</v>
      </c>
      <c r="Y13" s="21">
        <f t="shared" si="3"/>
        <v>-2.4300000000004873E-4</v>
      </c>
      <c r="Z13" s="11">
        <f t="shared" si="4"/>
        <v>-1.2003266750241104E-2</v>
      </c>
      <c r="AA13" s="22">
        <f t="shared" si="5"/>
        <v>1.0620000000000296E-2</v>
      </c>
      <c r="AB13" s="21">
        <f t="shared" si="6"/>
        <v>-2.4380000000000013E-2</v>
      </c>
      <c r="AC13" s="21">
        <f t="shared" si="7"/>
        <v>-2.2245999999999988E-2</v>
      </c>
      <c r="AD13" s="11">
        <f t="shared" si="8"/>
        <v>-1.5956806702094206E-2</v>
      </c>
      <c r="AE13" s="22">
        <f t="shared" si="9"/>
        <v>3.5820000000000185E-2</v>
      </c>
      <c r="AF13" s="21">
        <f t="shared" si="10"/>
        <v>-3.0802999999999969E-2</v>
      </c>
      <c r="AG13" s="21">
        <f t="shared" si="11"/>
        <v>-2.9642999999999975E-2</v>
      </c>
      <c r="AH13" s="11">
        <f t="shared" si="12"/>
        <v>-4.4489054602484535E-3</v>
      </c>
      <c r="AI13">
        <v>2.5000000000000001E-2</v>
      </c>
      <c r="AJ13">
        <v>-2.5000000000000001E-2</v>
      </c>
      <c r="AK13">
        <v>1.5E-3</v>
      </c>
      <c r="AL13">
        <v>-1.5E-3</v>
      </c>
      <c r="AM13">
        <v>1.5E-3</v>
      </c>
      <c r="AN13">
        <v>-1.5E-3</v>
      </c>
      <c r="AO13" s="16">
        <v>2.5000000000000001E-2</v>
      </c>
      <c r="AP13" s="16">
        <v>-2.5000000000000001E-2</v>
      </c>
      <c r="AQ13">
        <v>1.4999999999999999E-2</v>
      </c>
      <c r="AR13">
        <v>-1.4999999999999999E-2</v>
      </c>
      <c r="AS13">
        <v>1E-3</v>
      </c>
      <c r="AT13">
        <v>-1E-3</v>
      </c>
      <c r="AU13">
        <v>1E-3</v>
      </c>
      <c r="AV13">
        <v>-1E-3</v>
      </c>
      <c r="AW13" s="16">
        <v>1.4999999999999999E-2</v>
      </c>
      <c r="AX13" s="16">
        <v>-1.4999999999999999E-2</v>
      </c>
    </row>
    <row r="14" spans="1:279" customFormat="1">
      <c r="A14" s="2">
        <v>9</v>
      </c>
      <c r="B14" s="2">
        <v>2.8701400000000001</v>
      </c>
      <c r="C14" s="2">
        <v>0.430197</v>
      </c>
      <c r="D14" s="2">
        <v>0.40756999999999999</v>
      </c>
      <c r="E14" s="2">
        <v>35.709849249999998</v>
      </c>
      <c r="F14" s="17">
        <f t="shared" si="0"/>
        <v>44250.668009259258</v>
      </c>
      <c r="G14" s="9">
        <v>44250.668009259258</v>
      </c>
      <c r="H14" s="25">
        <v>1</v>
      </c>
      <c r="I14" s="5">
        <v>2.8410000000000002</v>
      </c>
      <c r="J14" s="5">
        <v>0.34039999999999998</v>
      </c>
      <c r="K14" s="5">
        <v>0.35554999999999998</v>
      </c>
      <c r="L14" s="5">
        <v>35.384999999999998</v>
      </c>
      <c r="M14" s="5">
        <v>2</v>
      </c>
      <c r="N14" s="5">
        <v>2.8380000000000001</v>
      </c>
      <c r="O14" s="5">
        <v>0.31636999999999998</v>
      </c>
      <c r="P14" s="5">
        <v>0.33298</v>
      </c>
      <c r="Q14" s="5">
        <v>35.694000000000003</v>
      </c>
      <c r="R14" s="5">
        <v>3</v>
      </c>
      <c r="S14" s="5">
        <v>2.8780000000000001</v>
      </c>
      <c r="T14" s="5">
        <v>0.309</v>
      </c>
      <c r="U14" s="5">
        <v>0.32390999999999998</v>
      </c>
      <c r="V14" s="5">
        <v>35.594000000000001</v>
      </c>
      <c r="W14" s="22">
        <f t="shared" si="1"/>
        <v>-1.0399999999997078E-3</v>
      </c>
      <c r="X14" s="21">
        <f t="shared" si="2"/>
        <v>2.6999999999999247E-5</v>
      </c>
      <c r="Y14" s="21">
        <f t="shared" si="3"/>
        <v>-1.8300000000004424E-4</v>
      </c>
      <c r="Z14" s="11">
        <f t="shared" si="4"/>
        <v>-1.1919495618034071E-2</v>
      </c>
      <c r="AA14" s="22">
        <f t="shared" si="5"/>
        <v>1.0620000000000296E-2</v>
      </c>
      <c r="AB14" s="21">
        <f t="shared" si="6"/>
        <v>-2.4400000000000033E-2</v>
      </c>
      <c r="AC14" s="21">
        <f t="shared" si="7"/>
        <v>-2.2376000000000007E-2</v>
      </c>
      <c r="AD14" s="11">
        <f t="shared" si="8"/>
        <v>-1.5129044931150526E-2</v>
      </c>
      <c r="AE14" s="22">
        <f t="shared" si="9"/>
        <v>3.4820000000000295E-2</v>
      </c>
      <c r="AF14" s="21">
        <f t="shared" si="10"/>
        <v>-3.0812999999999979E-2</v>
      </c>
      <c r="AG14" s="21">
        <f t="shared" si="11"/>
        <v>-2.9673000000000005E-2</v>
      </c>
      <c r="AH14" s="11">
        <f t="shared" si="12"/>
        <v>-4.2810593725998158E-3</v>
      </c>
      <c r="AI14">
        <v>2.5000000000000001E-2</v>
      </c>
      <c r="AJ14">
        <v>-2.5000000000000001E-2</v>
      </c>
      <c r="AK14">
        <v>1.5E-3</v>
      </c>
      <c r="AL14">
        <v>-1.5E-3</v>
      </c>
      <c r="AM14">
        <v>1.5E-3</v>
      </c>
      <c r="AN14">
        <v>-1.5E-3</v>
      </c>
      <c r="AO14" s="16">
        <v>2.5000000000000001E-2</v>
      </c>
      <c r="AP14" s="16">
        <v>-2.5000000000000001E-2</v>
      </c>
      <c r="AQ14">
        <v>1.4999999999999999E-2</v>
      </c>
      <c r="AR14">
        <v>-1.4999999999999999E-2</v>
      </c>
      <c r="AS14">
        <v>1E-3</v>
      </c>
      <c r="AT14">
        <v>-1E-3</v>
      </c>
      <c r="AU14">
        <v>1E-3</v>
      </c>
      <c r="AV14">
        <v>-1E-3</v>
      </c>
      <c r="AW14" s="16">
        <v>1.4999999999999999E-2</v>
      </c>
      <c r="AX14" s="16">
        <v>-1.4999999999999999E-2</v>
      </c>
    </row>
    <row r="15" spans="1:279" customFormat="1">
      <c r="A15" s="2">
        <v>10</v>
      </c>
      <c r="B15" s="2">
        <v>2.8587899999999999</v>
      </c>
      <c r="C15" s="2">
        <v>0.43452200000000002</v>
      </c>
      <c r="D15" s="2">
        <v>0.40978500000000001</v>
      </c>
      <c r="E15" s="2">
        <v>35.569447240000002</v>
      </c>
      <c r="F15" s="17">
        <f t="shared" si="0"/>
        <v>44251.675520833334</v>
      </c>
      <c r="G15" s="9">
        <v>44251.675520833334</v>
      </c>
      <c r="H15" s="25">
        <v>1</v>
      </c>
      <c r="I15" s="5">
        <v>2.8420000000000001</v>
      </c>
      <c r="J15" s="5">
        <v>0.34045999999999998</v>
      </c>
      <c r="K15" s="5">
        <v>0.35563</v>
      </c>
      <c r="L15" s="5">
        <v>35.411999999999999</v>
      </c>
      <c r="M15" s="5">
        <v>2</v>
      </c>
      <c r="N15" s="5">
        <v>2.8380000000000001</v>
      </c>
      <c r="O15" s="5">
        <v>0.31645000000000001</v>
      </c>
      <c r="P15" s="5">
        <v>0.33306999999999998</v>
      </c>
      <c r="Q15" s="5">
        <v>35.71</v>
      </c>
      <c r="R15" s="5">
        <v>3</v>
      </c>
      <c r="S15" s="5">
        <v>2.88</v>
      </c>
      <c r="T15" s="5">
        <v>0.30896000000000001</v>
      </c>
      <c r="U15" s="5">
        <v>0.32390000000000002</v>
      </c>
      <c r="V15" s="5">
        <v>35.610999999999997</v>
      </c>
      <c r="W15" s="22">
        <f t="shared" si="1"/>
        <v>-3.9999999999817959E-5</v>
      </c>
      <c r="X15" s="21">
        <f t="shared" si="2"/>
        <v>8.7000000000003741E-5</v>
      </c>
      <c r="Y15" s="21">
        <f t="shared" si="3"/>
        <v>-1.0300000000001974E-4</v>
      </c>
      <c r="Z15" s="11">
        <f t="shared" si="4"/>
        <v>-1.116555542817077E-2</v>
      </c>
      <c r="AA15" s="22">
        <f t="shared" si="5"/>
        <v>1.0620000000000296E-2</v>
      </c>
      <c r="AB15" s="21">
        <f t="shared" si="6"/>
        <v>-2.4320000000000008E-2</v>
      </c>
      <c r="AC15" s="21">
        <f t="shared" si="7"/>
        <v>-2.2286000000000028E-2</v>
      </c>
      <c r="AD15" s="11">
        <f t="shared" si="8"/>
        <v>-1.4687571986647163E-2</v>
      </c>
      <c r="AE15" s="22">
        <f t="shared" si="9"/>
        <v>3.6820000000000075E-2</v>
      </c>
      <c r="AF15" s="21">
        <f t="shared" si="10"/>
        <v>-3.0852999999999964E-2</v>
      </c>
      <c r="AG15" s="21">
        <f t="shared" si="11"/>
        <v>-2.9682999999999959E-2</v>
      </c>
      <c r="AH15" s="11">
        <f t="shared" si="12"/>
        <v>-3.8054954575955646E-3</v>
      </c>
      <c r="AI15">
        <v>2.5000000000000001E-2</v>
      </c>
      <c r="AJ15">
        <v>-2.5000000000000001E-2</v>
      </c>
      <c r="AK15">
        <v>1.5E-3</v>
      </c>
      <c r="AL15">
        <v>-1.5E-3</v>
      </c>
      <c r="AM15">
        <v>1.5E-3</v>
      </c>
      <c r="AN15">
        <v>-1.5E-3</v>
      </c>
      <c r="AO15" s="16">
        <v>2.5000000000000001E-2</v>
      </c>
      <c r="AP15" s="16">
        <v>-2.5000000000000001E-2</v>
      </c>
      <c r="AQ15">
        <v>1.4999999999999999E-2</v>
      </c>
      <c r="AR15">
        <v>-1.4999999999999999E-2</v>
      </c>
      <c r="AS15">
        <v>1E-3</v>
      </c>
      <c r="AT15">
        <v>-1E-3</v>
      </c>
      <c r="AU15">
        <v>1E-3</v>
      </c>
      <c r="AV15">
        <v>-1E-3</v>
      </c>
      <c r="AW15" s="16">
        <v>1.4999999999999999E-2</v>
      </c>
      <c r="AX15" s="16">
        <v>-1.4999999999999999E-2</v>
      </c>
      <c r="JS15">
        <v>30.502684236212787</v>
      </c>
    </row>
    <row r="16" spans="1:279" customFormat="1">
      <c r="A16" s="2">
        <v>11</v>
      </c>
      <c r="B16" s="2">
        <v>2.8376899999999998</v>
      </c>
      <c r="C16" s="2">
        <v>0.316633</v>
      </c>
      <c r="D16" s="2">
        <v>0.33369399999999999</v>
      </c>
      <c r="E16" s="2">
        <v>36.056884420000003</v>
      </c>
      <c r="F16" s="17">
        <f t="shared" si="0"/>
        <v>44252.693877314814</v>
      </c>
      <c r="G16" s="9">
        <v>44252.693877314814</v>
      </c>
      <c r="H16" s="25">
        <v>1</v>
      </c>
      <c r="I16" s="5">
        <v>2.8410000000000002</v>
      </c>
      <c r="J16" s="5">
        <v>0.34040999999999999</v>
      </c>
      <c r="K16" s="5">
        <v>0.35546</v>
      </c>
      <c r="L16" s="5">
        <v>35.338000000000001</v>
      </c>
      <c r="M16" s="5">
        <v>2</v>
      </c>
      <c r="N16" s="5">
        <v>2.8380000000000001</v>
      </c>
      <c r="O16" s="5">
        <v>0.31642999999999999</v>
      </c>
      <c r="P16" s="5">
        <v>0.33309</v>
      </c>
      <c r="Q16" s="5">
        <v>35.654000000000003</v>
      </c>
      <c r="R16" s="5">
        <v>3</v>
      </c>
      <c r="S16" s="5">
        <v>2.8769999999999998</v>
      </c>
      <c r="T16" s="5">
        <v>0.30902000000000002</v>
      </c>
      <c r="U16" s="5">
        <v>0.32385000000000003</v>
      </c>
      <c r="V16" s="5">
        <v>35.533999999999999</v>
      </c>
      <c r="W16" s="22">
        <f t="shared" si="1"/>
        <v>-1.0399999999997078E-3</v>
      </c>
      <c r="X16" s="21">
        <f t="shared" si="2"/>
        <v>3.7000000000009248E-5</v>
      </c>
      <c r="Y16" s="21">
        <f t="shared" si="3"/>
        <v>-2.7300000000002322E-4</v>
      </c>
      <c r="Z16" s="11">
        <f t="shared" si="4"/>
        <v>-1.3231910022610927E-2</v>
      </c>
      <c r="AA16" s="22">
        <f t="shared" si="5"/>
        <v>1.0620000000000296E-2</v>
      </c>
      <c r="AB16" s="21">
        <f t="shared" si="6"/>
        <v>-2.4340000000000028E-2</v>
      </c>
      <c r="AC16" s="21">
        <f t="shared" si="7"/>
        <v>-2.2266000000000008E-2</v>
      </c>
      <c r="AD16" s="11">
        <f t="shared" si="8"/>
        <v>-1.6232727292408766E-2</v>
      </c>
      <c r="AE16" s="22">
        <f t="shared" si="9"/>
        <v>3.3819999999999961E-2</v>
      </c>
      <c r="AF16" s="21">
        <f t="shared" si="10"/>
        <v>-3.0792999999999959E-2</v>
      </c>
      <c r="AG16" s="21">
        <f t="shared" si="11"/>
        <v>-2.9732999999999954E-2</v>
      </c>
      <c r="AH16" s="11">
        <f t="shared" si="12"/>
        <v>-5.95952024908597E-3</v>
      </c>
      <c r="AI16">
        <v>2.5000000000000001E-2</v>
      </c>
      <c r="AJ16">
        <v>-2.5000000000000001E-2</v>
      </c>
      <c r="AK16">
        <v>1.5E-3</v>
      </c>
      <c r="AL16">
        <v>-1.5E-3</v>
      </c>
      <c r="AM16">
        <v>1.5E-3</v>
      </c>
      <c r="AN16">
        <v>-1.5E-3</v>
      </c>
      <c r="AO16" s="16">
        <v>2.5000000000000001E-2</v>
      </c>
      <c r="AP16" s="16">
        <v>-2.5000000000000001E-2</v>
      </c>
      <c r="AQ16">
        <v>1.4999999999999999E-2</v>
      </c>
      <c r="AR16">
        <v>-1.4999999999999999E-2</v>
      </c>
      <c r="AS16">
        <v>1E-3</v>
      </c>
      <c r="AT16">
        <v>-1E-3</v>
      </c>
      <c r="AU16">
        <v>1E-3</v>
      </c>
      <c r="AV16">
        <v>-1E-3</v>
      </c>
      <c r="AW16" s="16">
        <v>1.4999999999999999E-2</v>
      </c>
      <c r="AX16" s="16">
        <v>-1.4999999999999999E-2</v>
      </c>
      <c r="JP16">
        <v>30.502684236212787</v>
      </c>
      <c r="JQ16">
        <v>28.935185185185187</v>
      </c>
    </row>
    <row r="17" spans="1:279" customFormat="1">
      <c r="A17" s="2">
        <v>12</v>
      </c>
      <c r="B17" s="2">
        <v>2.8411900000000001</v>
      </c>
      <c r="C17" s="2">
        <v>0.31551099999999999</v>
      </c>
      <c r="D17" s="2">
        <v>0.33511600000000002</v>
      </c>
      <c r="E17" s="2">
        <v>36.022814070000003</v>
      </c>
      <c r="F17" s="17">
        <f t="shared" si="0"/>
        <v>44253.685335648152</v>
      </c>
      <c r="G17" s="9">
        <v>44253.685335648152</v>
      </c>
      <c r="H17" s="25">
        <v>1</v>
      </c>
      <c r="I17" s="5">
        <v>2.8420000000000001</v>
      </c>
      <c r="J17" s="5">
        <v>0.34046999999999999</v>
      </c>
      <c r="K17" s="5">
        <v>0.35552</v>
      </c>
      <c r="L17" s="5">
        <v>35.252000000000002</v>
      </c>
      <c r="M17" s="5">
        <v>2</v>
      </c>
      <c r="N17" s="5">
        <v>2.8380000000000001</v>
      </c>
      <c r="O17" s="5">
        <v>0.31630999999999998</v>
      </c>
      <c r="P17" s="5">
        <v>0.33304</v>
      </c>
      <c r="Q17" s="5">
        <v>35.575000000000003</v>
      </c>
      <c r="R17" s="5">
        <v>3</v>
      </c>
      <c r="S17" s="5">
        <v>2.879</v>
      </c>
      <c r="T17" s="5">
        <v>0.30909999999999999</v>
      </c>
      <c r="U17" s="5">
        <v>0.32400000000000001</v>
      </c>
      <c r="V17" s="5">
        <v>35.488</v>
      </c>
      <c r="W17" s="22">
        <f t="shared" si="1"/>
        <v>-3.9999999999817959E-5</v>
      </c>
      <c r="X17" s="21">
        <f t="shared" si="2"/>
        <v>9.7000000000013742E-5</v>
      </c>
      <c r="Y17" s="21">
        <f t="shared" si="3"/>
        <v>-2.1300000000001873E-4</v>
      </c>
      <c r="Z17" s="11">
        <f t="shared" si="4"/>
        <v>-1.5633349145879105E-2</v>
      </c>
      <c r="AA17" s="22">
        <f t="shared" si="5"/>
        <v>1.0620000000000296E-2</v>
      </c>
      <c r="AB17" s="21">
        <f t="shared" si="6"/>
        <v>-2.4460000000000037E-2</v>
      </c>
      <c r="AC17" s="21">
        <f t="shared" si="7"/>
        <v>-2.2316000000000003E-2</v>
      </c>
      <c r="AD17" s="11">
        <f t="shared" si="8"/>
        <v>-1.8412499955893891E-2</v>
      </c>
      <c r="AE17" s="22">
        <f t="shared" si="9"/>
        <v>3.5820000000000185E-2</v>
      </c>
      <c r="AF17" s="21">
        <f t="shared" si="10"/>
        <v>-3.071299999999999E-2</v>
      </c>
      <c r="AG17" s="21">
        <f t="shared" si="11"/>
        <v>-2.958299999999997E-2</v>
      </c>
      <c r="AH17" s="11">
        <f t="shared" si="12"/>
        <v>-7.2463402543919697E-3</v>
      </c>
      <c r="AI17">
        <v>2.5000000000000001E-2</v>
      </c>
      <c r="AJ17">
        <v>-2.5000000000000001E-2</v>
      </c>
      <c r="AK17">
        <v>1.5E-3</v>
      </c>
      <c r="AL17">
        <v>-1.5E-3</v>
      </c>
      <c r="AM17">
        <v>1.5E-3</v>
      </c>
      <c r="AN17">
        <v>-1.5E-3</v>
      </c>
      <c r="AO17" s="16">
        <v>2.5000000000000001E-2</v>
      </c>
      <c r="AP17" s="16">
        <v>-2.5000000000000001E-2</v>
      </c>
      <c r="AQ17">
        <v>1.4999999999999999E-2</v>
      </c>
      <c r="AR17">
        <v>-1.4999999999999999E-2</v>
      </c>
      <c r="AS17">
        <v>1E-3</v>
      </c>
      <c r="AT17">
        <v>-1E-3</v>
      </c>
      <c r="AU17">
        <v>1E-3</v>
      </c>
      <c r="AV17">
        <v>-1E-3</v>
      </c>
      <c r="AW17" s="16">
        <v>1.4999999999999999E-2</v>
      </c>
      <c r="AX17" s="16">
        <v>-1.4999999999999999E-2</v>
      </c>
    </row>
    <row r="18" spans="1:279" customFormat="1">
      <c r="A18" s="2">
        <v>13</v>
      </c>
      <c r="B18" s="2">
        <v>2.8266200000000001</v>
      </c>
      <c r="C18" s="2">
        <v>0.31408199999999997</v>
      </c>
      <c r="D18" s="2">
        <v>0.33310899999999999</v>
      </c>
      <c r="E18" s="2">
        <v>36.326532659999998</v>
      </c>
      <c r="F18" s="17" t="str">
        <f t="shared" si="0"/>
        <v/>
      </c>
      <c r="G18" s="9"/>
      <c r="H18" s="25">
        <v>1</v>
      </c>
      <c r="I18" s="5"/>
      <c r="J18" s="5"/>
      <c r="K18" s="5"/>
      <c r="L18" s="5"/>
      <c r="M18" s="5">
        <v>2</v>
      </c>
      <c r="N18" s="5"/>
      <c r="O18" s="5"/>
      <c r="P18" s="5"/>
      <c r="Q18" s="5"/>
      <c r="R18" s="5">
        <v>3</v>
      </c>
      <c r="S18" s="5"/>
      <c r="T18" s="5"/>
      <c r="U18" s="5"/>
      <c r="V18" s="5"/>
      <c r="W18" s="22">
        <f t="shared" si="1"/>
        <v>-2.8420399999999999</v>
      </c>
      <c r="X18" s="21">
        <f t="shared" si="2"/>
        <v>-0.34037299999999998</v>
      </c>
      <c r="Y18" s="21">
        <f t="shared" si="3"/>
        <v>-0.35573300000000002</v>
      </c>
      <c r="Z18" s="11">
        <f t="shared" si="4"/>
        <v>-1</v>
      </c>
      <c r="AA18" s="22">
        <f t="shared" si="5"/>
        <v>-2.8273799999999998</v>
      </c>
      <c r="AB18" s="21">
        <f t="shared" si="6"/>
        <v>-0.34077000000000002</v>
      </c>
      <c r="AC18" s="21">
        <f t="shared" si="7"/>
        <v>-0.35535600000000001</v>
      </c>
      <c r="AD18" s="11">
        <f t="shared" si="8"/>
        <v>-1</v>
      </c>
      <c r="AE18" s="22">
        <f t="shared" si="9"/>
        <v>-2.8431799999999998</v>
      </c>
      <c r="AF18" s="21">
        <f t="shared" si="10"/>
        <v>-0.33981299999999998</v>
      </c>
      <c r="AG18" s="21">
        <f t="shared" si="11"/>
        <v>-0.35358299999999998</v>
      </c>
      <c r="AH18" s="11">
        <f t="shared" si="12"/>
        <v>-1</v>
      </c>
      <c r="AI18">
        <v>2.5000000000000001E-2</v>
      </c>
      <c r="AJ18">
        <v>-2.5000000000000001E-2</v>
      </c>
      <c r="AK18">
        <v>1.5E-3</v>
      </c>
      <c r="AL18">
        <v>-1.5E-3</v>
      </c>
      <c r="AM18">
        <v>1.5E-3</v>
      </c>
      <c r="AN18">
        <v>-1.5E-3</v>
      </c>
      <c r="AO18" s="16">
        <v>2.5000000000000001E-2</v>
      </c>
      <c r="AP18" s="16">
        <v>-2.5000000000000001E-2</v>
      </c>
      <c r="AQ18">
        <v>1.4999999999999999E-2</v>
      </c>
      <c r="AR18">
        <v>-1.4999999999999999E-2</v>
      </c>
      <c r="AS18">
        <v>1E-3</v>
      </c>
      <c r="AT18">
        <v>-1E-3</v>
      </c>
      <c r="AU18">
        <v>1E-3</v>
      </c>
      <c r="AV18">
        <v>-1E-3</v>
      </c>
      <c r="AW18" s="16">
        <v>1.4999999999999999E-2</v>
      </c>
      <c r="AX18" s="16">
        <v>-1.4999999999999999E-2</v>
      </c>
      <c r="JQ18">
        <v>24.187306501547987</v>
      </c>
      <c r="JR18">
        <v>27.64263600176913</v>
      </c>
      <c r="JS18">
        <v>24.187306501547987</v>
      </c>
    </row>
    <row r="19" spans="1:279" customFormat="1">
      <c r="A19" s="2">
        <v>14</v>
      </c>
      <c r="B19" s="2">
        <v>2.8204699999999998</v>
      </c>
      <c r="C19" s="2">
        <v>0.315411</v>
      </c>
      <c r="D19" s="2">
        <v>0.33248100000000003</v>
      </c>
      <c r="E19" s="2">
        <v>35.805226130000001</v>
      </c>
      <c r="F19" s="17" t="str">
        <f t="shared" si="0"/>
        <v/>
      </c>
      <c r="G19" s="9"/>
      <c r="H19" s="25">
        <v>1</v>
      </c>
      <c r="I19" s="5"/>
      <c r="J19" s="5"/>
      <c r="K19" s="5"/>
      <c r="L19" s="5"/>
      <c r="M19" s="5">
        <v>2</v>
      </c>
      <c r="N19" s="5"/>
      <c r="O19" s="5"/>
      <c r="P19" s="5"/>
      <c r="Q19" s="5"/>
      <c r="R19" s="5">
        <v>3</v>
      </c>
      <c r="S19" s="5"/>
      <c r="T19" s="5"/>
      <c r="U19" s="5"/>
      <c r="V19" s="5"/>
      <c r="W19" s="22">
        <f t="shared" si="1"/>
        <v>-2.8420399999999999</v>
      </c>
      <c r="X19" s="21">
        <f t="shared" si="2"/>
        <v>-0.34037299999999998</v>
      </c>
      <c r="Y19" s="21">
        <f t="shared" si="3"/>
        <v>-0.35573300000000002</v>
      </c>
      <c r="Z19" s="11">
        <f t="shared" si="4"/>
        <v>-1</v>
      </c>
      <c r="AA19" s="22">
        <f t="shared" si="5"/>
        <v>-2.8273799999999998</v>
      </c>
      <c r="AB19" s="21">
        <f t="shared" si="6"/>
        <v>-0.34077000000000002</v>
      </c>
      <c r="AC19" s="21">
        <f t="shared" si="7"/>
        <v>-0.35535600000000001</v>
      </c>
      <c r="AD19" s="11">
        <f t="shared" si="8"/>
        <v>-1</v>
      </c>
      <c r="AE19" s="22">
        <f t="shared" si="9"/>
        <v>-2.8431799999999998</v>
      </c>
      <c r="AF19" s="21">
        <f t="shared" si="10"/>
        <v>-0.33981299999999998</v>
      </c>
      <c r="AG19" s="21">
        <f t="shared" si="11"/>
        <v>-0.35358299999999998</v>
      </c>
      <c r="AH19" s="11">
        <f t="shared" si="12"/>
        <v>-1</v>
      </c>
      <c r="AI19">
        <v>2.5000000000000001E-2</v>
      </c>
      <c r="AJ19">
        <v>-2.5000000000000001E-2</v>
      </c>
      <c r="AK19">
        <v>1.5E-3</v>
      </c>
      <c r="AL19">
        <v>-1.5E-3</v>
      </c>
      <c r="AM19">
        <v>1.5E-3</v>
      </c>
      <c r="AN19">
        <v>-1.5E-3</v>
      </c>
      <c r="AO19" s="16">
        <v>2.5000000000000001E-2</v>
      </c>
      <c r="AP19" s="16">
        <v>-2.5000000000000001E-2</v>
      </c>
      <c r="AQ19">
        <v>1.4999999999999999E-2</v>
      </c>
      <c r="AR19">
        <v>-1.4999999999999999E-2</v>
      </c>
      <c r="AS19">
        <v>1E-3</v>
      </c>
      <c r="AT19">
        <v>-1E-3</v>
      </c>
      <c r="AU19">
        <v>1E-3</v>
      </c>
      <c r="AV19">
        <v>-1E-3</v>
      </c>
      <c r="AW19" s="16">
        <v>1.4999999999999999E-2</v>
      </c>
      <c r="AX19" s="16">
        <v>-1.4999999999999999E-2</v>
      </c>
    </row>
    <row r="20" spans="1:279" customFormat="1">
      <c r="A20" s="2">
        <v>15</v>
      </c>
      <c r="B20" s="2">
        <v>2.8273799999999998</v>
      </c>
      <c r="C20" s="2">
        <v>0.31547700000000001</v>
      </c>
      <c r="D20" s="2">
        <v>0.332453</v>
      </c>
      <c r="E20" s="2">
        <v>36.038592960000003</v>
      </c>
      <c r="F20" s="17" t="str">
        <f t="shared" si="0"/>
        <v/>
      </c>
      <c r="G20" s="9"/>
      <c r="H20" s="25">
        <v>1</v>
      </c>
      <c r="I20" s="5"/>
      <c r="J20" s="5"/>
      <c r="K20" s="5"/>
      <c r="L20" s="5"/>
      <c r="M20" s="5">
        <v>2</v>
      </c>
      <c r="N20" s="5"/>
      <c r="O20" s="5"/>
      <c r="P20" s="5"/>
      <c r="Q20" s="5"/>
      <c r="R20" s="5">
        <v>3</v>
      </c>
      <c r="S20" s="5"/>
      <c r="T20" s="5"/>
      <c r="U20" s="5"/>
      <c r="V20" s="5"/>
      <c r="W20" s="22">
        <f t="shared" si="1"/>
        <v>-2.8420399999999999</v>
      </c>
      <c r="X20" s="21">
        <f t="shared" si="2"/>
        <v>-0.34037299999999998</v>
      </c>
      <c r="Y20" s="21">
        <f t="shared" si="3"/>
        <v>-0.35573300000000002</v>
      </c>
      <c r="Z20" s="11">
        <f t="shared" si="4"/>
        <v>-1</v>
      </c>
      <c r="AA20" s="22">
        <f t="shared" si="5"/>
        <v>-2.8273799999999998</v>
      </c>
      <c r="AB20" s="21">
        <f t="shared" si="6"/>
        <v>-0.34077000000000002</v>
      </c>
      <c r="AC20" s="21">
        <f t="shared" si="7"/>
        <v>-0.35535600000000001</v>
      </c>
      <c r="AD20" s="11">
        <f t="shared" si="8"/>
        <v>-1</v>
      </c>
      <c r="AE20" s="22">
        <f t="shared" si="9"/>
        <v>-2.8431799999999998</v>
      </c>
      <c r="AF20" s="21">
        <f t="shared" si="10"/>
        <v>-0.33981299999999998</v>
      </c>
      <c r="AG20" s="21">
        <f t="shared" si="11"/>
        <v>-0.35358299999999998</v>
      </c>
      <c r="AH20" s="11">
        <f t="shared" si="12"/>
        <v>-1</v>
      </c>
      <c r="AI20">
        <v>2.5000000000000001E-2</v>
      </c>
      <c r="AJ20">
        <v>-2.5000000000000001E-2</v>
      </c>
      <c r="AK20">
        <v>1.5E-3</v>
      </c>
      <c r="AL20">
        <v>-1.5E-3</v>
      </c>
      <c r="AM20">
        <v>1.5E-3</v>
      </c>
      <c r="AN20">
        <v>-1.5E-3</v>
      </c>
      <c r="AO20" s="16">
        <v>2.5000000000000001E-2</v>
      </c>
      <c r="AP20" s="16">
        <v>-2.5000000000000001E-2</v>
      </c>
      <c r="AQ20">
        <v>1.4999999999999999E-2</v>
      </c>
      <c r="AR20">
        <v>-1.4999999999999999E-2</v>
      </c>
      <c r="AS20">
        <v>1E-3</v>
      </c>
      <c r="AT20">
        <v>-1E-3</v>
      </c>
      <c r="AU20">
        <v>1E-3</v>
      </c>
      <c r="AV20">
        <v>-1E-3</v>
      </c>
      <c r="AW20" s="16">
        <v>1.4999999999999999E-2</v>
      </c>
      <c r="AX20" s="16">
        <v>-1.4999999999999999E-2</v>
      </c>
      <c r="JP20">
        <v>27.64263600176913</v>
      </c>
      <c r="JQ20">
        <v>26.386152547143258</v>
      </c>
    </row>
    <row r="21" spans="1:279" customFormat="1">
      <c r="A21" s="2">
        <v>16</v>
      </c>
      <c r="B21" s="2">
        <v>2.8434599999999999</v>
      </c>
      <c r="C21" s="2">
        <v>0.41336899999999999</v>
      </c>
      <c r="D21" s="2">
        <v>0.39493899999999998</v>
      </c>
      <c r="E21" s="2">
        <v>36.194472359999999</v>
      </c>
      <c r="F21" s="17" t="str">
        <f t="shared" si="0"/>
        <v/>
      </c>
      <c r="G21" s="9"/>
      <c r="H21" s="25">
        <v>1</v>
      </c>
      <c r="I21" s="5"/>
      <c r="J21" s="5"/>
      <c r="K21" s="5"/>
      <c r="L21" s="5"/>
      <c r="M21" s="5">
        <v>2</v>
      </c>
      <c r="N21" s="5"/>
      <c r="O21" s="5"/>
      <c r="P21" s="5"/>
      <c r="Q21" s="5"/>
      <c r="R21" s="5">
        <v>3</v>
      </c>
      <c r="S21" s="5"/>
      <c r="T21" s="5"/>
      <c r="U21" s="5"/>
      <c r="V21" s="5"/>
      <c r="W21" s="22">
        <f t="shared" si="1"/>
        <v>-2.8420399999999999</v>
      </c>
      <c r="X21" s="21">
        <f t="shared" si="2"/>
        <v>-0.34037299999999998</v>
      </c>
      <c r="Y21" s="21">
        <f t="shared" si="3"/>
        <v>-0.35573300000000002</v>
      </c>
      <c r="Z21" s="11">
        <f t="shared" si="4"/>
        <v>-1</v>
      </c>
      <c r="AA21" s="22">
        <f t="shared" si="5"/>
        <v>-2.8273799999999998</v>
      </c>
      <c r="AB21" s="21">
        <f t="shared" si="6"/>
        <v>-0.34077000000000002</v>
      </c>
      <c r="AC21" s="21">
        <f t="shared" si="7"/>
        <v>-0.35535600000000001</v>
      </c>
      <c r="AD21" s="11">
        <f t="shared" si="8"/>
        <v>-1</v>
      </c>
      <c r="AE21" s="22">
        <f t="shared" si="9"/>
        <v>-2.8431799999999998</v>
      </c>
      <c r="AF21" s="21">
        <f t="shared" si="10"/>
        <v>-0.33981299999999998</v>
      </c>
      <c r="AG21" s="21">
        <f t="shared" si="11"/>
        <v>-0.35358299999999998</v>
      </c>
      <c r="AH21" s="11">
        <f t="shared" si="12"/>
        <v>-1</v>
      </c>
      <c r="AI21">
        <v>2.5000000000000001E-2</v>
      </c>
      <c r="AJ21">
        <v>-2.5000000000000001E-2</v>
      </c>
      <c r="AK21">
        <v>1.5E-3</v>
      </c>
      <c r="AL21">
        <v>-1.5E-3</v>
      </c>
      <c r="AM21">
        <v>1.5E-3</v>
      </c>
      <c r="AN21">
        <v>-1.5E-3</v>
      </c>
      <c r="AO21" s="16">
        <v>2.5000000000000001E-2</v>
      </c>
      <c r="AP21" s="16">
        <v>-2.5000000000000001E-2</v>
      </c>
      <c r="AQ21">
        <v>1.4999999999999999E-2</v>
      </c>
      <c r="AR21">
        <v>-1.4999999999999999E-2</v>
      </c>
      <c r="AS21">
        <v>1E-3</v>
      </c>
      <c r="AT21">
        <v>-1E-3</v>
      </c>
      <c r="AU21">
        <v>1E-3</v>
      </c>
      <c r="AV21">
        <v>-1E-3</v>
      </c>
      <c r="AW21" s="16">
        <v>1.4999999999999999E-2</v>
      </c>
      <c r="AX21" s="16">
        <v>-1.4999999999999999E-2</v>
      </c>
      <c r="JP21">
        <v>28.935185185185187</v>
      </c>
      <c r="JQ21">
        <v>28.935185185185187</v>
      </c>
    </row>
    <row r="22" spans="1:279" customFormat="1">
      <c r="A22" s="2">
        <v>17</v>
      </c>
      <c r="B22" s="2">
        <v>2.8357000000000001</v>
      </c>
      <c r="C22" s="2">
        <v>0.41425200000000001</v>
      </c>
      <c r="D22" s="2">
        <v>0.39605899999999999</v>
      </c>
      <c r="E22" s="2">
        <v>36.177688439999997</v>
      </c>
      <c r="F22" s="17" t="str">
        <f t="shared" si="0"/>
        <v/>
      </c>
      <c r="G22" s="9"/>
      <c r="H22" s="25">
        <v>1</v>
      </c>
      <c r="I22" s="5"/>
      <c r="J22" s="5"/>
      <c r="K22" s="5"/>
      <c r="L22" s="5"/>
      <c r="M22" s="5">
        <v>2</v>
      </c>
      <c r="N22" s="5"/>
      <c r="O22" s="5"/>
      <c r="P22" s="5"/>
      <c r="Q22" s="5"/>
      <c r="R22" s="5">
        <v>3</v>
      </c>
      <c r="S22" s="5"/>
      <c r="T22" s="5"/>
      <c r="U22" s="5"/>
      <c r="V22" s="5"/>
      <c r="W22" s="22">
        <f t="shared" si="1"/>
        <v>-2.8420399999999999</v>
      </c>
      <c r="X22" s="21">
        <f t="shared" si="2"/>
        <v>-0.34037299999999998</v>
      </c>
      <c r="Y22" s="21">
        <f t="shared" si="3"/>
        <v>-0.35573300000000002</v>
      </c>
      <c r="Z22" s="11">
        <f t="shared" si="4"/>
        <v>-1</v>
      </c>
      <c r="AA22" s="22">
        <f t="shared" si="5"/>
        <v>-2.8273799999999998</v>
      </c>
      <c r="AB22" s="21">
        <f t="shared" si="6"/>
        <v>-0.34077000000000002</v>
      </c>
      <c r="AC22" s="21">
        <f t="shared" si="7"/>
        <v>-0.35535600000000001</v>
      </c>
      <c r="AD22" s="11">
        <f t="shared" si="8"/>
        <v>-1</v>
      </c>
      <c r="AE22" s="22">
        <f t="shared" si="9"/>
        <v>-2.8431799999999998</v>
      </c>
      <c r="AF22" s="21">
        <f t="shared" si="10"/>
        <v>-0.33981299999999998</v>
      </c>
      <c r="AG22" s="21">
        <f t="shared" si="11"/>
        <v>-0.35358299999999998</v>
      </c>
      <c r="AH22" s="11">
        <f t="shared" si="12"/>
        <v>-1</v>
      </c>
      <c r="AI22">
        <v>2.5000000000000001E-2</v>
      </c>
      <c r="AJ22">
        <v>-2.5000000000000001E-2</v>
      </c>
      <c r="AK22">
        <v>1.5E-3</v>
      </c>
      <c r="AL22">
        <v>-1.5E-3</v>
      </c>
      <c r="AM22">
        <v>1.5E-3</v>
      </c>
      <c r="AN22">
        <v>-1.5E-3</v>
      </c>
      <c r="AO22" s="16">
        <v>2.5000000000000001E-2</v>
      </c>
      <c r="AP22" s="16">
        <v>-2.5000000000000001E-2</v>
      </c>
      <c r="AQ22">
        <v>1.4999999999999999E-2</v>
      </c>
      <c r="AR22">
        <v>-1.4999999999999999E-2</v>
      </c>
      <c r="AS22">
        <v>1E-3</v>
      </c>
      <c r="AT22">
        <v>-1E-3</v>
      </c>
      <c r="AU22">
        <v>1E-3</v>
      </c>
      <c r="AV22">
        <v>-1E-3</v>
      </c>
      <c r="AW22" s="16">
        <v>1.4999999999999999E-2</v>
      </c>
      <c r="AX22" s="16">
        <v>-1.4999999999999999E-2</v>
      </c>
    </row>
    <row r="23" spans="1:279" customFormat="1">
      <c r="A23" s="2">
        <v>18</v>
      </c>
      <c r="B23" s="2">
        <v>2.8380700000000001</v>
      </c>
      <c r="C23" s="2">
        <v>0.41282099999999999</v>
      </c>
      <c r="D23" s="2">
        <v>0.39573000000000003</v>
      </c>
      <c r="E23" s="2">
        <v>35.874472359999999</v>
      </c>
      <c r="F23" s="17" t="str">
        <f t="shared" si="0"/>
        <v/>
      </c>
      <c r="G23" s="9"/>
      <c r="H23" s="25">
        <v>1</v>
      </c>
      <c r="I23" s="5"/>
      <c r="J23" s="5"/>
      <c r="K23" s="5"/>
      <c r="L23" s="5"/>
      <c r="M23" s="5">
        <v>2</v>
      </c>
      <c r="N23" s="5"/>
      <c r="O23" s="5"/>
      <c r="P23" s="5"/>
      <c r="Q23" s="5"/>
      <c r="R23" s="5">
        <v>3</v>
      </c>
      <c r="S23" s="5"/>
      <c r="T23" s="5"/>
      <c r="U23" s="5"/>
      <c r="V23" s="5"/>
      <c r="W23" s="22">
        <f t="shared" si="1"/>
        <v>-2.8420399999999999</v>
      </c>
      <c r="X23" s="21">
        <f t="shared" si="2"/>
        <v>-0.34037299999999998</v>
      </c>
      <c r="Y23" s="21">
        <f t="shared" si="3"/>
        <v>-0.35573300000000002</v>
      </c>
      <c r="Z23" s="11">
        <f t="shared" si="4"/>
        <v>-1</v>
      </c>
      <c r="AA23" s="22">
        <f t="shared" si="5"/>
        <v>-2.8273799999999998</v>
      </c>
      <c r="AB23" s="21">
        <f t="shared" si="6"/>
        <v>-0.34077000000000002</v>
      </c>
      <c r="AC23" s="21">
        <f t="shared" si="7"/>
        <v>-0.35535600000000001</v>
      </c>
      <c r="AD23" s="11">
        <f t="shared" si="8"/>
        <v>-1</v>
      </c>
      <c r="AE23" s="22">
        <f t="shared" si="9"/>
        <v>-2.8431799999999998</v>
      </c>
      <c r="AF23" s="21">
        <f t="shared" si="10"/>
        <v>-0.33981299999999998</v>
      </c>
      <c r="AG23" s="21">
        <f t="shared" si="11"/>
        <v>-0.35358299999999998</v>
      </c>
      <c r="AH23" s="11">
        <f t="shared" si="12"/>
        <v>-1</v>
      </c>
      <c r="AI23">
        <v>2.5000000000000001E-2</v>
      </c>
      <c r="AJ23">
        <v>-2.5000000000000001E-2</v>
      </c>
      <c r="AK23">
        <v>1.5E-3</v>
      </c>
      <c r="AL23">
        <v>-1.5E-3</v>
      </c>
      <c r="AM23">
        <v>1.5E-3</v>
      </c>
      <c r="AN23">
        <v>-1.5E-3</v>
      </c>
      <c r="AO23" s="16">
        <v>2.5000000000000001E-2</v>
      </c>
      <c r="AP23" s="16">
        <v>-2.5000000000000001E-2</v>
      </c>
      <c r="AQ23">
        <v>1.4999999999999999E-2</v>
      </c>
      <c r="AR23">
        <v>-1.4999999999999999E-2</v>
      </c>
      <c r="AS23">
        <v>1E-3</v>
      </c>
      <c r="AT23">
        <v>-1E-3</v>
      </c>
      <c r="AU23">
        <v>1E-3</v>
      </c>
      <c r="AV23">
        <v>-1E-3</v>
      </c>
      <c r="AW23" s="16">
        <v>1.4999999999999999E-2</v>
      </c>
      <c r="AX23" s="16">
        <v>-1.4999999999999999E-2</v>
      </c>
    </row>
    <row r="24" spans="1:279" customFormat="1">
      <c r="A24" s="2">
        <v>19</v>
      </c>
      <c r="B24" s="2">
        <v>2.8471500000000001</v>
      </c>
      <c r="C24" s="2">
        <v>0.41238999999999998</v>
      </c>
      <c r="D24" s="2">
        <v>0.39388200000000001</v>
      </c>
      <c r="E24" s="2">
        <v>36.292964820000002</v>
      </c>
      <c r="F24" s="17" t="str">
        <f t="shared" si="0"/>
        <v/>
      </c>
      <c r="G24" s="9"/>
      <c r="H24" s="25">
        <v>1</v>
      </c>
      <c r="I24" s="5"/>
      <c r="J24" s="5"/>
      <c r="K24" s="5"/>
      <c r="L24" s="5"/>
      <c r="M24" s="5">
        <v>2</v>
      </c>
      <c r="N24" s="5"/>
      <c r="O24" s="5"/>
      <c r="P24" s="5"/>
      <c r="Q24" s="5"/>
      <c r="R24" s="5">
        <v>3</v>
      </c>
      <c r="S24" s="5"/>
      <c r="T24" s="5"/>
      <c r="U24" s="5"/>
      <c r="V24" s="5"/>
      <c r="W24" s="22">
        <f t="shared" si="1"/>
        <v>-2.8420399999999999</v>
      </c>
      <c r="X24" s="21">
        <f t="shared" si="2"/>
        <v>-0.34037299999999998</v>
      </c>
      <c r="Y24" s="21">
        <f t="shared" si="3"/>
        <v>-0.35573300000000002</v>
      </c>
      <c r="Z24" s="11">
        <f t="shared" si="4"/>
        <v>-1</v>
      </c>
      <c r="AA24" s="22">
        <f t="shared" si="5"/>
        <v>-2.8273799999999998</v>
      </c>
      <c r="AB24" s="21">
        <f t="shared" si="6"/>
        <v>-0.34077000000000002</v>
      </c>
      <c r="AC24" s="21">
        <f t="shared" si="7"/>
        <v>-0.35535600000000001</v>
      </c>
      <c r="AD24" s="11">
        <f t="shared" si="8"/>
        <v>-1</v>
      </c>
      <c r="AE24" s="22">
        <f t="shared" si="9"/>
        <v>-2.8431799999999998</v>
      </c>
      <c r="AF24" s="21">
        <f t="shared" si="10"/>
        <v>-0.33981299999999998</v>
      </c>
      <c r="AG24" s="21">
        <f t="shared" si="11"/>
        <v>-0.35358299999999998</v>
      </c>
      <c r="AH24" s="11">
        <f t="shared" si="12"/>
        <v>-1</v>
      </c>
      <c r="AI24">
        <v>2.5000000000000001E-2</v>
      </c>
      <c r="AJ24">
        <v>-2.5000000000000001E-2</v>
      </c>
      <c r="AK24">
        <v>1.5E-3</v>
      </c>
      <c r="AL24">
        <v>-1.5E-3</v>
      </c>
      <c r="AM24">
        <v>1.5E-3</v>
      </c>
      <c r="AN24">
        <v>-1.5E-3</v>
      </c>
      <c r="AO24" s="16">
        <v>2.5000000000000001E-2</v>
      </c>
      <c r="AP24" s="16">
        <v>-2.5000000000000001E-2</v>
      </c>
      <c r="AQ24">
        <v>1.4999999999999999E-2</v>
      </c>
      <c r="AR24">
        <v>-1.4999999999999999E-2</v>
      </c>
      <c r="AS24">
        <v>1E-3</v>
      </c>
      <c r="AT24">
        <v>-1E-3</v>
      </c>
      <c r="AU24">
        <v>1E-3</v>
      </c>
      <c r="AV24">
        <v>-1E-3</v>
      </c>
      <c r="AW24" s="16">
        <v>1.4999999999999999E-2</v>
      </c>
      <c r="AX24" s="16">
        <v>-1.4999999999999999E-2</v>
      </c>
    </row>
    <row r="25" spans="1:279" customFormat="1">
      <c r="A25" s="2">
        <v>20</v>
      </c>
      <c r="B25" s="2">
        <v>2.84327</v>
      </c>
      <c r="C25" s="2">
        <v>0.41363</v>
      </c>
      <c r="D25" s="2">
        <v>0.39663199999999998</v>
      </c>
      <c r="E25" s="2">
        <v>35.848542709999997</v>
      </c>
      <c r="F25" s="17" t="str">
        <f t="shared" si="0"/>
        <v/>
      </c>
      <c r="G25" s="9"/>
      <c r="H25" s="25">
        <v>1</v>
      </c>
      <c r="I25" s="5"/>
      <c r="J25" s="5"/>
      <c r="K25" s="5"/>
      <c r="L25" s="5"/>
      <c r="M25" s="5">
        <v>2</v>
      </c>
      <c r="N25" s="5"/>
      <c r="O25" s="5"/>
      <c r="P25" s="5"/>
      <c r="Q25" s="5"/>
      <c r="R25" s="5">
        <v>3</v>
      </c>
      <c r="S25" s="5"/>
      <c r="T25" s="5"/>
      <c r="U25" s="5"/>
      <c r="V25" s="5"/>
      <c r="W25" s="22">
        <f t="shared" si="1"/>
        <v>-2.8420399999999999</v>
      </c>
      <c r="X25" s="21">
        <f t="shared" si="2"/>
        <v>-0.34037299999999998</v>
      </c>
      <c r="Y25" s="21">
        <f t="shared" si="3"/>
        <v>-0.35573300000000002</v>
      </c>
      <c r="Z25" s="11">
        <f t="shared" si="4"/>
        <v>-1</v>
      </c>
      <c r="AA25" s="22">
        <f t="shared" si="5"/>
        <v>-2.8273799999999998</v>
      </c>
      <c r="AB25" s="21">
        <f t="shared" si="6"/>
        <v>-0.34077000000000002</v>
      </c>
      <c r="AC25" s="21">
        <f t="shared" si="7"/>
        <v>-0.35535600000000001</v>
      </c>
      <c r="AD25" s="11">
        <f t="shared" si="8"/>
        <v>-1</v>
      </c>
      <c r="AE25" s="22">
        <f t="shared" si="9"/>
        <v>-2.8431799999999998</v>
      </c>
      <c r="AF25" s="21">
        <f t="shared" si="10"/>
        <v>-0.33981299999999998</v>
      </c>
      <c r="AG25" s="21">
        <f t="shared" si="11"/>
        <v>-0.35358299999999998</v>
      </c>
      <c r="AH25" s="11">
        <f t="shared" si="12"/>
        <v>-1</v>
      </c>
      <c r="AI25">
        <v>2.5000000000000001E-2</v>
      </c>
      <c r="AJ25">
        <v>-2.5000000000000001E-2</v>
      </c>
      <c r="AK25">
        <v>1.5E-3</v>
      </c>
      <c r="AL25">
        <v>-1.5E-3</v>
      </c>
      <c r="AM25">
        <v>1.5E-3</v>
      </c>
      <c r="AN25">
        <v>-1.5E-3</v>
      </c>
      <c r="AO25" s="16">
        <v>2.5000000000000001E-2</v>
      </c>
      <c r="AP25" s="16">
        <v>-2.5000000000000001E-2</v>
      </c>
      <c r="AQ25">
        <v>1.4999999999999999E-2</v>
      </c>
      <c r="AR25">
        <v>-1.4999999999999999E-2</v>
      </c>
      <c r="AS25">
        <v>1E-3</v>
      </c>
      <c r="AT25">
        <v>-1E-3</v>
      </c>
      <c r="AU25">
        <v>1E-3</v>
      </c>
      <c r="AV25">
        <v>-1E-3</v>
      </c>
      <c r="AW25" s="16">
        <v>1.4999999999999999E-2</v>
      </c>
      <c r="AX25" s="16">
        <v>-1.4999999999999999E-2</v>
      </c>
    </row>
    <row r="26" spans="1:279" customFormat="1">
      <c r="A26" s="2">
        <v>21</v>
      </c>
      <c r="B26" s="2">
        <v>2.8800699999999999</v>
      </c>
      <c r="C26" s="2">
        <v>0.30926300000000001</v>
      </c>
      <c r="D26" s="2">
        <v>0.32457399999999997</v>
      </c>
      <c r="E26" s="2">
        <v>35.796884419999998</v>
      </c>
      <c r="F26" s="17" t="str">
        <f t="shared" si="0"/>
        <v/>
      </c>
      <c r="G26" s="9"/>
      <c r="H26" s="25">
        <v>1</v>
      </c>
      <c r="I26" s="5"/>
      <c r="J26" s="5"/>
      <c r="K26" s="5"/>
      <c r="L26" s="5"/>
      <c r="M26" s="5">
        <v>2</v>
      </c>
      <c r="N26" s="5"/>
      <c r="O26" s="5"/>
      <c r="P26" s="5"/>
      <c r="Q26" s="5"/>
      <c r="R26" s="5">
        <v>3</v>
      </c>
      <c r="S26" s="5"/>
      <c r="T26" s="5"/>
      <c r="U26" s="5"/>
      <c r="V26" s="5"/>
      <c r="W26" s="22">
        <f t="shared" si="1"/>
        <v>-2.8420399999999999</v>
      </c>
      <c r="X26" s="21">
        <f t="shared" si="2"/>
        <v>-0.34037299999999998</v>
      </c>
      <c r="Y26" s="21">
        <f t="shared" si="3"/>
        <v>-0.35573300000000002</v>
      </c>
      <c r="Z26" s="11">
        <f t="shared" si="4"/>
        <v>-1</v>
      </c>
      <c r="AA26" s="22">
        <f t="shared" si="5"/>
        <v>-2.8273799999999998</v>
      </c>
      <c r="AB26" s="21">
        <f t="shared" si="6"/>
        <v>-0.34077000000000002</v>
      </c>
      <c r="AC26" s="21">
        <f t="shared" si="7"/>
        <v>-0.35535600000000001</v>
      </c>
      <c r="AD26" s="11">
        <f t="shared" si="8"/>
        <v>-1</v>
      </c>
      <c r="AE26" s="22">
        <f t="shared" si="9"/>
        <v>-2.8431799999999998</v>
      </c>
      <c r="AF26" s="21">
        <f t="shared" si="10"/>
        <v>-0.33981299999999998</v>
      </c>
      <c r="AG26" s="21">
        <f t="shared" si="11"/>
        <v>-0.35358299999999998</v>
      </c>
      <c r="AH26" s="11">
        <f t="shared" si="12"/>
        <v>-1</v>
      </c>
      <c r="AI26">
        <v>2.5000000000000001E-2</v>
      </c>
      <c r="AJ26">
        <v>-2.5000000000000001E-2</v>
      </c>
      <c r="AK26">
        <v>1.5E-3</v>
      </c>
      <c r="AL26">
        <v>-1.5E-3</v>
      </c>
      <c r="AM26">
        <v>1.5E-3</v>
      </c>
      <c r="AN26">
        <v>-1.5E-3</v>
      </c>
      <c r="AO26" s="16">
        <v>2.5000000000000001E-2</v>
      </c>
      <c r="AP26" s="16">
        <v>-2.5000000000000001E-2</v>
      </c>
      <c r="AQ26">
        <v>1.4999999999999999E-2</v>
      </c>
      <c r="AR26">
        <v>-1.4999999999999999E-2</v>
      </c>
      <c r="AS26">
        <v>1E-3</v>
      </c>
      <c r="AT26">
        <v>-1E-3</v>
      </c>
      <c r="AU26">
        <v>1E-3</v>
      </c>
      <c r="AV26">
        <v>-1E-3</v>
      </c>
      <c r="AW26" s="16">
        <v>1.4999999999999999E-2</v>
      </c>
      <c r="AX26" s="16">
        <v>-1.4999999999999999E-2</v>
      </c>
    </row>
    <row r="27" spans="1:279" customFormat="1">
      <c r="A27" s="2">
        <v>22</v>
      </c>
      <c r="B27" s="2">
        <v>2.8711799999999998</v>
      </c>
      <c r="C27" s="2">
        <v>0.310448</v>
      </c>
      <c r="D27" s="2">
        <v>0.32414199999999999</v>
      </c>
      <c r="E27" s="2">
        <v>35.845728639999997</v>
      </c>
      <c r="F27" s="17" t="str">
        <f t="shared" si="0"/>
        <v/>
      </c>
      <c r="G27" s="9"/>
      <c r="H27" s="25">
        <v>1</v>
      </c>
      <c r="I27" s="5"/>
      <c r="J27" s="5"/>
      <c r="K27" s="5"/>
      <c r="L27" s="5"/>
      <c r="M27" s="5">
        <v>2</v>
      </c>
      <c r="N27" s="5"/>
      <c r="O27" s="5"/>
      <c r="P27" s="5"/>
      <c r="Q27" s="5"/>
      <c r="R27" s="5">
        <v>3</v>
      </c>
      <c r="S27" s="5"/>
      <c r="T27" s="5"/>
      <c r="U27" s="5"/>
      <c r="V27" s="5"/>
      <c r="W27" s="22">
        <f t="shared" si="1"/>
        <v>-2.8420399999999999</v>
      </c>
      <c r="X27" s="21">
        <f t="shared" si="2"/>
        <v>-0.34037299999999998</v>
      </c>
      <c r="Y27" s="21">
        <f t="shared" si="3"/>
        <v>-0.35573300000000002</v>
      </c>
      <c r="Z27" s="11">
        <f t="shared" si="4"/>
        <v>-1</v>
      </c>
      <c r="AA27" s="22">
        <f t="shared" si="5"/>
        <v>-2.8273799999999998</v>
      </c>
      <c r="AB27" s="21">
        <f t="shared" si="6"/>
        <v>-0.34077000000000002</v>
      </c>
      <c r="AC27" s="21">
        <f t="shared" si="7"/>
        <v>-0.35535600000000001</v>
      </c>
      <c r="AD27" s="11">
        <f t="shared" si="8"/>
        <v>-1</v>
      </c>
      <c r="AE27" s="22">
        <f t="shared" si="9"/>
        <v>-2.8431799999999998</v>
      </c>
      <c r="AF27" s="21">
        <f t="shared" si="10"/>
        <v>-0.33981299999999998</v>
      </c>
      <c r="AG27" s="21">
        <f t="shared" si="11"/>
        <v>-0.35358299999999998</v>
      </c>
      <c r="AH27" s="11">
        <f t="shared" si="12"/>
        <v>-1</v>
      </c>
      <c r="AI27">
        <v>2.5000000000000001E-2</v>
      </c>
      <c r="AJ27">
        <v>-2.5000000000000001E-2</v>
      </c>
      <c r="AK27">
        <v>1.5E-3</v>
      </c>
      <c r="AL27">
        <v>-1.5E-3</v>
      </c>
      <c r="AM27">
        <v>1.5E-3</v>
      </c>
      <c r="AN27">
        <v>-1.5E-3</v>
      </c>
      <c r="AO27" s="16">
        <v>2.5000000000000001E-2</v>
      </c>
      <c r="AP27" s="16">
        <v>-2.5000000000000001E-2</v>
      </c>
      <c r="AQ27">
        <v>1.4999999999999999E-2</v>
      </c>
      <c r="AR27">
        <v>-1.4999999999999999E-2</v>
      </c>
      <c r="AS27">
        <v>1E-3</v>
      </c>
      <c r="AT27">
        <v>-1E-3</v>
      </c>
      <c r="AU27">
        <v>1E-3</v>
      </c>
      <c r="AV27">
        <v>-1E-3</v>
      </c>
      <c r="AW27" s="16">
        <v>1.4999999999999999E-2</v>
      </c>
      <c r="AX27" s="16">
        <v>-1.4999999999999999E-2</v>
      </c>
    </row>
    <row r="28" spans="1:279" customFormat="1">
      <c r="A28" s="2">
        <v>23</v>
      </c>
      <c r="B28" s="2">
        <v>2.8551899999999999</v>
      </c>
      <c r="C28" s="2">
        <v>0.30933500000000003</v>
      </c>
      <c r="D28" s="2">
        <v>0.32479400000000003</v>
      </c>
      <c r="E28" s="2">
        <v>35.94040201</v>
      </c>
      <c r="F28" s="17" t="str">
        <f t="shared" si="0"/>
        <v/>
      </c>
      <c r="G28" s="9"/>
      <c r="H28" s="25">
        <v>1</v>
      </c>
      <c r="I28" s="5"/>
      <c r="J28" s="5"/>
      <c r="K28" s="5"/>
      <c r="L28" s="5"/>
      <c r="M28" s="5">
        <v>2</v>
      </c>
      <c r="N28" s="5"/>
      <c r="O28" s="5"/>
      <c r="P28" s="5"/>
      <c r="Q28" s="5"/>
      <c r="R28" s="5">
        <v>3</v>
      </c>
      <c r="S28" s="5"/>
      <c r="T28" s="5"/>
      <c r="U28" s="5"/>
      <c r="V28" s="5"/>
      <c r="W28" s="22">
        <f t="shared" si="1"/>
        <v>-2.8420399999999999</v>
      </c>
      <c r="X28" s="21">
        <f t="shared" si="2"/>
        <v>-0.34037299999999998</v>
      </c>
      <c r="Y28" s="21">
        <f t="shared" si="3"/>
        <v>-0.35573300000000002</v>
      </c>
      <c r="Z28" s="11">
        <f t="shared" si="4"/>
        <v>-1</v>
      </c>
      <c r="AA28" s="22">
        <f t="shared" si="5"/>
        <v>-2.8273799999999998</v>
      </c>
      <c r="AB28" s="21">
        <f t="shared" si="6"/>
        <v>-0.34077000000000002</v>
      </c>
      <c r="AC28" s="21">
        <f t="shared" si="7"/>
        <v>-0.35535600000000001</v>
      </c>
      <c r="AD28" s="11">
        <f t="shared" si="8"/>
        <v>-1</v>
      </c>
      <c r="AE28" s="22">
        <f t="shared" si="9"/>
        <v>-2.8431799999999998</v>
      </c>
      <c r="AF28" s="21">
        <f t="shared" si="10"/>
        <v>-0.33981299999999998</v>
      </c>
      <c r="AG28" s="21">
        <f t="shared" si="11"/>
        <v>-0.35358299999999998</v>
      </c>
      <c r="AH28" s="11">
        <f t="shared" si="12"/>
        <v>-1</v>
      </c>
      <c r="AI28">
        <v>2.5000000000000001E-2</v>
      </c>
      <c r="AJ28">
        <v>-2.5000000000000001E-2</v>
      </c>
      <c r="AK28">
        <v>1.5E-3</v>
      </c>
      <c r="AL28">
        <v>-1.5E-3</v>
      </c>
      <c r="AM28">
        <v>1.5E-3</v>
      </c>
      <c r="AN28">
        <v>-1.5E-3</v>
      </c>
      <c r="AO28" s="16">
        <v>2.5000000000000001E-2</v>
      </c>
      <c r="AP28" s="16">
        <v>-2.5000000000000001E-2</v>
      </c>
      <c r="AQ28">
        <v>1.4999999999999999E-2</v>
      </c>
      <c r="AR28">
        <v>-1.4999999999999999E-2</v>
      </c>
      <c r="AS28">
        <v>1E-3</v>
      </c>
      <c r="AT28">
        <v>-1E-3</v>
      </c>
      <c r="AU28">
        <v>1E-3</v>
      </c>
      <c r="AV28">
        <v>-1E-3</v>
      </c>
      <c r="AW28" s="16">
        <v>1.4999999999999999E-2</v>
      </c>
      <c r="AX28" s="16">
        <v>-1.4999999999999999E-2</v>
      </c>
    </row>
    <row r="29" spans="1:279" customFormat="1">
      <c r="A29" s="2">
        <v>24</v>
      </c>
      <c r="B29" s="2">
        <v>2.8692899999999999</v>
      </c>
      <c r="C29" s="2">
        <v>0.310334</v>
      </c>
      <c r="D29" s="2">
        <v>0.32224700000000001</v>
      </c>
      <c r="E29" s="2">
        <v>35.960703520000003</v>
      </c>
      <c r="F29" s="17" t="str">
        <f t="shared" si="0"/>
        <v/>
      </c>
      <c r="G29" s="9"/>
      <c r="H29" s="25">
        <v>1</v>
      </c>
      <c r="I29" s="5"/>
      <c r="J29" s="5"/>
      <c r="K29" s="5"/>
      <c r="L29" s="5"/>
      <c r="M29" s="5">
        <v>2</v>
      </c>
      <c r="N29" s="5"/>
      <c r="O29" s="5"/>
      <c r="P29" s="5"/>
      <c r="Q29" s="5"/>
      <c r="R29" s="5">
        <v>3</v>
      </c>
      <c r="S29" s="5"/>
      <c r="T29" s="5"/>
      <c r="U29" s="5"/>
      <c r="V29" s="5"/>
      <c r="W29" s="22">
        <f t="shared" si="1"/>
        <v>-2.8420399999999999</v>
      </c>
      <c r="X29" s="21">
        <f t="shared" si="2"/>
        <v>-0.34037299999999998</v>
      </c>
      <c r="Y29" s="21">
        <f t="shared" si="3"/>
        <v>-0.35573300000000002</v>
      </c>
      <c r="Z29" s="11">
        <f t="shared" si="4"/>
        <v>-1</v>
      </c>
      <c r="AA29" s="22">
        <f t="shared" si="5"/>
        <v>-2.8273799999999998</v>
      </c>
      <c r="AB29" s="21">
        <f t="shared" si="6"/>
        <v>-0.34077000000000002</v>
      </c>
      <c r="AC29" s="21">
        <f t="shared" si="7"/>
        <v>-0.35535600000000001</v>
      </c>
      <c r="AD29" s="11">
        <f t="shared" si="8"/>
        <v>-1</v>
      </c>
      <c r="AE29" s="22">
        <f t="shared" si="9"/>
        <v>-2.8431799999999998</v>
      </c>
      <c r="AF29" s="21">
        <f t="shared" si="10"/>
        <v>-0.33981299999999998</v>
      </c>
      <c r="AG29" s="21">
        <f t="shared" si="11"/>
        <v>-0.35358299999999998</v>
      </c>
      <c r="AH29" s="11">
        <f t="shared" si="12"/>
        <v>-1</v>
      </c>
      <c r="AI29">
        <v>2.5000000000000001E-2</v>
      </c>
      <c r="AJ29">
        <v>-2.5000000000000001E-2</v>
      </c>
      <c r="AK29">
        <v>1.5E-3</v>
      </c>
      <c r="AL29">
        <v>-1.5E-3</v>
      </c>
      <c r="AM29">
        <v>1.5E-3</v>
      </c>
      <c r="AN29">
        <v>-1.5E-3</v>
      </c>
      <c r="AO29" s="16">
        <v>2.5000000000000001E-2</v>
      </c>
      <c r="AP29" s="16">
        <v>-2.5000000000000001E-2</v>
      </c>
      <c r="AQ29">
        <v>1.4999999999999999E-2</v>
      </c>
      <c r="AR29">
        <v>-1.4999999999999999E-2</v>
      </c>
      <c r="AS29">
        <v>1E-3</v>
      </c>
      <c r="AT29">
        <v>-1E-3</v>
      </c>
      <c r="AU29">
        <v>1E-3</v>
      </c>
      <c r="AV29">
        <v>-1E-3</v>
      </c>
      <c r="AW29" s="16">
        <v>1.4999999999999999E-2</v>
      </c>
      <c r="AX29" s="16">
        <v>-1.4999999999999999E-2</v>
      </c>
    </row>
    <row r="30" spans="1:279" customFormat="1">
      <c r="A30" s="2">
        <v>25</v>
      </c>
      <c r="B30" s="2">
        <v>2.8627600000000002</v>
      </c>
      <c r="C30" s="2">
        <v>0.31073000000000001</v>
      </c>
      <c r="D30" s="2">
        <v>0.32468999999999998</v>
      </c>
      <c r="E30" s="2">
        <v>36.033567840000003</v>
      </c>
      <c r="F30" s="17" t="str">
        <f t="shared" si="0"/>
        <v/>
      </c>
      <c r="G30" s="9"/>
      <c r="H30" s="25">
        <v>1</v>
      </c>
      <c r="I30" s="5"/>
      <c r="J30" s="5"/>
      <c r="K30" s="5"/>
      <c r="L30" s="5"/>
      <c r="M30" s="5">
        <v>2</v>
      </c>
      <c r="N30" s="5"/>
      <c r="O30" s="5"/>
      <c r="P30" s="5"/>
      <c r="Q30" s="5"/>
      <c r="R30" s="5">
        <v>3</v>
      </c>
      <c r="S30" s="5"/>
      <c r="T30" s="5"/>
      <c r="U30" s="5"/>
      <c r="V30" s="5"/>
      <c r="W30" s="22">
        <f t="shared" si="1"/>
        <v>-2.8420399999999999</v>
      </c>
      <c r="X30" s="21">
        <f t="shared" si="2"/>
        <v>-0.34037299999999998</v>
      </c>
      <c r="Y30" s="21">
        <f t="shared" si="3"/>
        <v>-0.35573300000000002</v>
      </c>
      <c r="Z30" s="11">
        <f t="shared" si="4"/>
        <v>-1</v>
      </c>
      <c r="AA30" s="22">
        <f t="shared" si="5"/>
        <v>-2.8273799999999998</v>
      </c>
      <c r="AB30" s="21">
        <f t="shared" si="6"/>
        <v>-0.34077000000000002</v>
      </c>
      <c r="AC30" s="21">
        <f t="shared" si="7"/>
        <v>-0.35535600000000001</v>
      </c>
      <c r="AD30" s="11">
        <f t="shared" si="8"/>
        <v>-1</v>
      </c>
      <c r="AE30" s="22">
        <f t="shared" si="9"/>
        <v>-2.8431799999999998</v>
      </c>
      <c r="AF30" s="21">
        <f t="shared" si="10"/>
        <v>-0.33981299999999998</v>
      </c>
      <c r="AG30" s="21">
        <f t="shared" si="11"/>
        <v>-0.35358299999999998</v>
      </c>
      <c r="AH30" s="11">
        <f t="shared" si="12"/>
        <v>-1</v>
      </c>
      <c r="AI30">
        <v>2.5000000000000001E-2</v>
      </c>
      <c r="AJ30">
        <v>-2.5000000000000001E-2</v>
      </c>
      <c r="AK30">
        <v>1.5E-3</v>
      </c>
      <c r="AL30">
        <v>-1.5E-3</v>
      </c>
      <c r="AM30">
        <v>1.5E-3</v>
      </c>
      <c r="AN30">
        <v>-1.5E-3</v>
      </c>
      <c r="AO30" s="16">
        <v>2.5000000000000001E-2</v>
      </c>
      <c r="AP30" s="16">
        <v>-2.5000000000000001E-2</v>
      </c>
      <c r="AQ30">
        <v>1.4999999999999999E-2</v>
      </c>
      <c r="AR30">
        <v>-1.4999999999999999E-2</v>
      </c>
      <c r="AS30">
        <v>1E-3</v>
      </c>
      <c r="AT30">
        <v>-1E-3</v>
      </c>
      <c r="AU30">
        <v>1E-3</v>
      </c>
      <c r="AV30">
        <v>-1E-3</v>
      </c>
      <c r="AW30" s="16">
        <v>1.4999999999999999E-2</v>
      </c>
      <c r="AX30" s="16">
        <v>-1.4999999999999999E-2</v>
      </c>
    </row>
    <row r="31" spans="1:279" customFormat="1">
      <c r="A31" s="2">
        <v>26</v>
      </c>
      <c r="B31" s="2">
        <v>2.8230200000000001</v>
      </c>
      <c r="C31" s="2">
        <v>0.38470500000000002</v>
      </c>
      <c r="D31" s="2">
        <v>0.37662800000000002</v>
      </c>
      <c r="E31" s="2">
        <v>35.635276380000001</v>
      </c>
      <c r="F31" s="17" t="str">
        <f t="shared" si="0"/>
        <v/>
      </c>
      <c r="G31" s="9"/>
      <c r="H31" s="25">
        <v>1</v>
      </c>
      <c r="I31" s="5"/>
      <c r="J31" s="5"/>
      <c r="K31" s="5"/>
      <c r="L31" s="5"/>
      <c r="M31" s="5">
        <v>2</v>
      </c>
      <c r="N31" s="5"/>
      <c r="O31" s="5"/>
      <c r="P31" s="5"/>
      <c r="Q31" s="5"/>
      <c r="R31" s="5">
        <v>3</v>
      </c>
      <c r="S31" s="5"/>
      <c r="T31" s="5"/>
      <c r="U31" s="5"/>
      <c r="V31" s="5"/>
      <c r="W31" s="22">
        <f t="shared" si="1"/>
        <v>-2.8420399999999999</v>
      </c>
      <c r="X31" s="21">
        <f t="shared" si="2"/>
        <v>-0.34037299999999998</v>
      </c>
      <c r="Y31" s="21">
        <f t="shared" si="3"/>
        <v>-0.35573300000000002</v>
      </c>
      <c r="Z31" s="11">
        <f t="shared" si="4"/>
        <v>-1</v>
      </c>
      <c r="AA31" s="22">
        <f t="shared" si="5"/>
        <v>-2.8273799999999998</v>
      </c>
      <c r="AB31" s="21">
        <f t="shared" si="6"/>
        <v>-0.34077000000000002</v>
      </c>
      <c r="AC31" s="21">
        <f t="shared" si="7"/>
        <v>-0.35535600000000001</v>
      </c>
      <c r="AD31" s="11">
        <f t="shared" si="8"/>
        <v>-1</v>
      </c>
      <c r="AE31" s="22">
        <f t="shared" si="9"/>
        <v>-2.8431799999999998</v>
      </c>
      <c r="AF31" s="21">
        <f t="shared" si="10"/>
        <v>-0.33981299999999998</v>
      </c>
      <c r="AG31" s="21">
        <f t="shared" si="11"/>
        <v>-0.35358299999999998</v>
      </c>
      <c r="AH31" s="11">
        <f t="shared" si="12"/>
        <v>-1</v>
      </c>
      <c r="AI31">
        <v>2.5000000000000001E-2</v>
      </c>
      <c r="AJ31">
        <v>-2.5000000000000001E-2</v>
      </c>
      <c r="AK31">
        <v>1.5E-3</v>
      </c>
      <c r="AL31">
        <v>-1.5E-3</v>
      </c>
      <c r="AM31">
        <v>1.5E-3</v>
      </c>
      <c r="AN31">
        <v>-1.5E-3</v>
      </c>
      <c r="AO31" s="16">
        <v>2.5000000000000001E-2</v>
      </c>
      <c r="AP31" s="16">
        <v>-2.5000000000000001E-2</v>
      </c>
      <c r="AQ31">
        <v>1.4999999999999999E-2</v>
      </c>
      <c r="AR31">
        <v>-1.4999999999999999E-2</v>
      </c>
      <c r="AS31">
        <v>1E-3</v>
      </c>
      <c r="AT31">
        <v>-1E-3</v>
      </c>
      <c r="AU31">
        <v>1E-3</v>
      </c>
      <c r="AV31">
        <v>-1E-3</v>
      </c>
      <c r="AW31" s="16">
        <v>1.4999999999999999E-2</v>
      </c>
      <c r="AX31" s="16">
        <v>-1.4999999999999999E-2</v>
      </c>
    </row>
    <row r="32" spans="1:279" customFormat="1">
      <c r="A32" s="2">
        <v>27</v>
      </c>
      <c r="B32" s="2">
        <v>2.8352300000000001</v>
      </c>
      <c r="C32" s="2">
        <v>0.38015300000000002</v>
      </c>
      <c r="D32" s="2">
        <v>0.37209500000000001</v>
      </c>
      <c r="E32" s="2">
        <v>36.222211059999999</v>
      </c>
      <c r="F32" s="17" t="str">
        <f t="shared" si="0"/>
        <v/>
      </c>
      <c r="G32" s="9"/>
      <c r="H32" s="25">
        <v>1</v>
      </c>
      <c r="I32" s="5"/>
      <c r="J32" s="5"/>
      <c r="K32" s="5"/>
      <c r="L32" s="5"/>
      <c r="M32" s="5">
        <v>2</v>
      </c>
      <c r="N32" s="5"/>
      <c r="O32" s="5"/>
      <c r="P32" s="5"/>
      <c r="Q32" s="5"/>
      <c r="R32" s="5">
        <v>3</v>
      </c>
      <c r="S32" s="5"/>
      <c r="T32" s="5"/>
      <c r="U32" s="5"/>
      <c r="V32" s="5"/>
      <c r="W32" s="22">
        <f t="shared" si="1"/>
        <v>-2.8420399999999999</v>
      </c>
      <c r="X32" s="21">
        <f t="shared" si="2"/>
        <v>-0.34037299999999998</v>
      </c>
      <c r="Y32" s="21">
        <f t="shared" si="3"/>
        <v>-0.35573300000000002</v>
      </c>
      <c r="Z32" s="11">
        <f t="shared" si="4"/>
        <v>-1</v>
      </c>
      <c r="AA32" s="22">
        <f t="shared" si="5"/>
        <v>-2.8273799999999998</v>
      </c>
      <c r="AB32" s="21">
        <f t="shared" si="6"/>
        <v>-0.34077000000000002</v>
      </c>
      <c r="AC32" s="21">
        <f t="shared" si="7"/>
        <v>-0.35535600000000001</v>
      </c>
      <c r="AD32" s="11">
        <f t="shared" si="8"/>
        <v>-1</v>
      </c>
      <c r="AE32" s="22">
        <f t="shared" si="9"/>
        <v>-2.8431799999999998</v>
      </c>
      <c r="AF32" s="21">
        <f t="shared" si="10"/>
        <v>-0.33981299999999998</v>
      </c>
      <c r="AG32" s="21">
        <f t="shared" si="11"/>
        <v>-0.35358299999999998</v>
      </c>
      <c r="AH32" s="11">
        <f t="shared" si="12"/>
        <v>-1</v>
      </c>
      <c r="AI32">
        <v>2.5000000000000001E-2</v>
      </c>
      <c r="AJ32">
        <v>-2.5000000000000001E-2</v>
      </c>
      <c r="AK32">
        <v>1.5E-3</v>
      </c>
      <c r="AL32">
        <v>-1.5E-3</v>
      </c>
      <c r="AM32">
        <v>1.5E-3</v>
      </c>
      <c r="AN32">
        <v>-1.5E-3</v>
      </c>
      <c r="AO32" s="16">
        <v>2.5000000000000001E-2</v>
      </c>
      <c r="AP32" s="16">
        <v>-2.5000000000000001E-2</v>
      </c>
      <c r="AQ32">
        <v>1.4999999999999999E-2</v>
      </c>
      <c r="AR32">
        <v>-1.4999999999999999E-2</v>
      </c>
      <c r="AS32">
        <v>1E-3</v>
      </c>
      <c r="AT32">
        <v>-1E-3</v>
      </c>
      <c r="AU32">
        <v>1E-3</v>
      </c>
      <c r="AV32">
        <v>-1E-3</v>
      </c>
      <c r="AW32" s="16">
        <v>1.4999999999999999E-2</v>
      </c>
      <c r="AX32" s="16">
        <v>-1.4999999999999999E-2</v>
      </c>
    </row>
    <row r="33" spans="1:279" customFormat="1">
      <c r="A33" s="2">
        <v>28</v>
      </c>
      <c r="B33" s="2">
        <v>2.85188</v>
      </c>
      <c r="C33" s="2">
        <v>0.38174200000000003</v>
      </c>
      <c r="D33" s="2">
        <v>0.37269799999999997</v>
      </c>
      <c r="E33" s="2">
        <v>35.992462310000001</v>
      </c>
      <c r="F33" s="17" t="str">
        <f t="shared" si="0"/>
        <v/>
      </c>
      <c r="G33" s="9"/>
      <c r="H33" s="25">
        <v>1</v>
      </c>
      <c r="I33" s="5"/>
      <c r="J33" s="5"/>
      <c r="K33" s="5"/>
      <c r="L33" s="5"/>
      <c r="M33" s="5">
        <v>2</v>
      </c>
      <c r="N33" s="5"/>
      <c r="O33" s="5"/>
      <c r="P33" s="5"/>
      <c r="Q33" s="5"/>
      <c r="R33" s="5">
        <v>3</v>
      </c>
      <c r="S33" s="5"/>
      <c r="T33" s="5"/>
      <c r="U33" s="5"/>
      <c r="V33" s="5"/>
      <c r="W33" s="22">
        <f t="shared" si="1"/>
        <v>-2.8420399999999999</v>
      </c>
      <c r="X33" s="21">
        <f t="shared" si="2"/>
        <v>-0.34037299999999998</v>
      </c>
      <c r="Y33" s="21">
        <f t="shared" si="3"/>
        <v>-0.35573300000000002</v>
      </c>
      <c r="Z33" s="11">
        <f t="shared" si="4"/>
        <v>-1</v>
      </c>
      <c r="AA33" s="22">
        <f t="shared" si="5"/>
        <v>-2.8273799999999998</v>
      </c>
      <c r="AB33" s="21">
        <f t="shared" si="6"/>
        <v>-0.34077000000000002</v>
      </c>
      <c r="AC33" s="21">
        <f t="shared" si="7"/>
        <v>-0.35535600000000001</v>
      </c>
      <c r="AD33" s="11">
        <f t="shared" si="8"/>
        <v>-1</v>
      </c>
      <c r="AE33" s="22">
        <f t="shared" si="9"/>
        <v>-2.8431799999999998</v>
      </c>
      <c r="AF33" s="21">
        <f t="shared" si="10"/>
        <v>-0.33981299999999998</v>
      </c>
      <c r="AG33" s="21">
        <f t="shared" si="11"/>
        <v>-0.35358299999999998</v>
      </c>
      <c r="AH33" s="11">
        <f t="shared" si="12"/>
        <v>-1</v>
      </c>
      <c r="AI33">
        <v>2.5000000000000001E-2</v>
      </c>
      <c r="AJ33">
        <v>-2.5000000000000001E-2</v>
      </c>
      <c r="AK33">
        <v>1.5E-3</v>
      </c>
      <c r="AL33">
        <v>-1.5E-3</v>
      </c>
      <c r="AM33">
        <v>1.5E-3</v>
      </c>
      <c r="AN33">
        <v>-1.5E-3</v>
      </c>
      <c r="AO33" s="16">
        <v>2.5000000000000001E-2</v>
      </c>
      <c r="AP33" s="16">
        <v>-2.5000000000000001E-2</v>
      </c>
      <c r="AQ33">
        <v>1.4999999999999999E-2</v>
      </c>
      <c r="AR33">
        <v>-1.4999999999999999E-2</v>
      </c>
      <c r="AS33">
        <v>1E-3</v>
      </c>
      <c r="AT33">
        <v>-1E-3</v>
      </c>
      <c r="AU33">
        <v>1E-3</v>
      </c>
      <c r="AV33">
        <v>-1E-3</v>
      </c>
      <c r="AW33" s="16">
        <v>1.4999999999999999E-2</v>
      </c>
      <c r="AX33" s="16">
        <v>-1.4999999999999999E-2</v>
      </c>
      <c r="JR33">
        <v>12.849506578947368</v>
      </c>
    </row>
    <row r="34" spans="1:279" customFormat="1">
      <c r="A34" s="2">
        <v>29</v>
      </c>
      <c r="B34" s="2">
        <v>2.8308800000000001</v>
      </c>
      <c r="C34" s="2">
        <v>0.384849</v>
      </c>
      <c r="D34" s="2">
        <v>0.37690899999999999</v>
      </c>
      <c r="E34" s="2">
        <v>35.510653269999999</v>
      </c>
      <c r="F34" s="17" t="str">
        <f t="shared" si="0"/>
        <v/>
      </c>
      <c r="G34" s="9"/>
      <c r="H34" s="25">
        <v>1</v>
      </c>
      <c r="I34" s="5"/>
      <c r="J34" s="5"/>
      <c r="K34" s="5"/>
      <c r="L34" s="5"/>
      <c r="M34" s="5">
        <v>2</v>
      </c>
      <c r="N34" s="5"/>
      <c r="O34" s="5"/>
      <c r="P34" s="5"/>
      <c r="Q34" s="5"/>
      <c r="R34" s="5">
        <v>3</v>
      </c>
      <c r="S34" s="5"/>
      <c r="T34" s="5"/>
      <c r="U34" s="5"/>
      <c r="V34" s="5"/>
      <c r="W34" s="22">
        <f t="shared" si="1"/>
        <v>-2.8420399999999999</v>
      </c>
      <c r="X34" s="21">
        <f t="shared" si="2"/>
        <v>-0.34037299999999998</v>
      </c>
      <c r="Y34" s="21">
        <f t="shared" si="3"/>
        <v>-0.35573300000000002</v>
      </c>
      <c r="Z34" s="11">
        <f t="shared" si="4"/>
        <v>-1</v>
      </c>
      <c r="AA34" s="22">
        <f t="shared" si="5"/>
        <v>-2.8273799999999998</v>
      </c>
      <c r="AB34" s="21">
        <f t="shared" si="6"/>
        <v>-0.34077000000000002</v>
      </c>
      <c r="AC34" s="21">
        <f t="shared" si="7"/>
        <v>-0.35535600000000001</v>
      </c>
      <c r="AD34" s="11">
        <f t="shared" si="8"/>
        <v>-1</v>
      </c>
      <c r="AE34" s="22">
        <f t="shared" si="9"/>
        <v>-2.8431799999999998</v>
      </c>
      <c r="AF34" s="21">
        <f t="shared" si="10"/>
        <v>-0.33981299999999998</v>
      </c>
      <c r="AG34" s="21">
        <f t="shared" si="11"/>
        <v>-0.35358299999999998</v>
      </c>
      <c r="AH34" s="11">
        <f t="shared" si="12"/>
        <v>-1</v>
      </c>
      <c r="AI34">
        <v>2.5000000000000001E-2</v>
      </c>
      <c r="AJ34">
        <v>-2.5000000000000001E-2</v>
      </c>
      <c r="AK34">
        <v>1.5E-3</v>
      </c>
      <c r="AL34">
        <v>-1.5E-3</v>
      </c>
      <c r="AM34">
        <v>1.5E-3</v>
      </c>
      <c r="AN34">
        <v>-1.5E-3</v>
      </c>
      <c r="AO34" s="16">
        <v>2.5000000000000001E-2</v>
      </c>
      <c r="AP34" s="16">
        <v>-2.5000000000000001E-2</v>
      </c>
      <c r="AQ34">
        <v>1.4999999999999999E-2</v>
      </c>
      <c r="AR34">
        <v>-1.4999999999999999E-2</v>
      </c>
      <c r="AS34">
        <v>1E-3</v>
      </c>
      <c r="AT34">
        <v>-1E-3</v>
      </c>
      <c r="AU34">
        <v>1E-3</v>
      </c>
      <c r="AV34">
        <v>-1E-3</v>
      </c>
      <c r="AW34" s="16">
        <v>1.4999999999999999E-2</v>
      </c>
      <c r="AX34" s="16">
        <v>-1.4999999999999999E-2</v>
      </c>
      <c r="JR34">
        <v>12.849506578947368</v>
      </c>
      <c r="JS34">
        <v>12.849506578947368</v>
      </c>
    </row>
    <row r="35" spans="1:279" customFormat="1">
      <c r="A35" s="2">
        <v>30</v>
      </c>
      <c r="B35" s="2">
        <v>2.8273799999999998</v>
      </c>
      <c r="C35" s="2">
        <v>0.38408700000000001</v>
      </c>
      <c r="D35" s="2">
        <v>0.37581199999999998</v>
      </c>
      <c r="E35" s="2">
        <v>36.036984920000002</v>
      </c>
      <c r="F35" s="17" t="str">
        <f t="shared" si="0"/>
        <v/>
      </c>
      <c r="G35" s="9"/>
      <c r="H35" s="25">
        <v>1</v>
      </c>
      <c r="I35" s="5"/>
      <c r="J35" s="5"/>
      <c r="K35" s="5"/>
      <c r="L35" s="5"/>
      <c r="M35" s="5">
        <v>2</v>
      </c>
      <c r="N35" s="5"/>
      <c r="O35" s="5"/>
      <c r="P35" s="5"/>
      <c r="Q35" s="5"/>
      <c r="R35" s="5">
        <v>3</v>
      </c>
      <c r="S35" s="5"/>
      <c r="T35" s="5"/>
      <c r="U35" s="5"/>
      <c r="V35" s="5"/>
      <c r="W35" s="22">
        <f t="shared" si="1"/>
        <v>-2.8420399999999999</v>
      </c>
      <c r="X35" s="21">
        <f t="shared" si="2"/>
        <v>-0.34037299999999998</v>
      </c>
      <c r="Y35" s="21">
        <f t="shared" si="3"/>
        <v>-0.35573300000000002</v>
      </c>
      <c r="Z35" s="11">
        <f t="shared" si="4"/>
        <v>-1</v>
      </c>
      <c r="AA35" s="22">
        <f t="shared" si="5"/>
        <v>-2.8273799999999998</v>
      </c>
      <c r="AB35" s="21">
        <f t="shared" si="6"/>
        <v>-0.34077000000000002</v>
      </c>
      <c r="AC35" s="21">
        <f t="shared" si="7"/>
        <v>-0.35535600000000001</v>
      </c>
      <c r="AD35" s="11">
        <f t="shared" si="8"/>
        <v>-1</v>
      </c>
      <c r="AE35" s="22">
        <f t="shared" si="9"/>
        <v>-2.8431799999999998</v>
      </c>
      <c r="AF35" s="21">
        <f t="shared" si="10"/>
        <v>-0.33981299999999998</v>
      </c>
      <c r="AG35" s="21">
        <f t="shared" si="11"/>
        <v>-0.35358299999999998</v>
      </c>
      <c r="AH35" s="11">
        <f t="shared" si="12"/>
        <v>-1</v>
      </c>
      <c r="AI35">
        <v>2.5000000000000001E-2</v>
      </c>
      <c r="AJ35">
        <v>-2.5000000000000001E-2</v>
      </c>
      <c r="AK35">
        <v>1.5E-3</v>
      </c>
      <c r="AL35">
        <v>-1.5E-3</v>
      </c>
      <c r="AM35">
        <v>1.5E-3</v>
      </c>
      <c r="AN35">
        <v>-1.5E-3</v>
      </c>
      <c r="AO35" s="16">
        <v>2.5000000000000001E-2</v>
      </c>
      <c r="AP35" s="16">
        <v>-2.5000000000000001E-2</v>
      </c>
      <c r="AQ35">
        <v>1.4999999999999999E-2</v>
      </c>
      <c r="AR35">
        <v>-1.4999999999999999E-2</v>
      </c>
      <c r="AS35">
        <v>1E-3</v>
      </c>
      <c r="AT35">
        <v>-1E-3</v>
      </c>
      <c r="AU35">
        <v>1E-3</v>
      </c>
      <c r="AV35">
        <v>-1E-3</v>
      </c>
      <c r="AW35" s="16">
        <v>1.4999999999999999E-2</v>
      </c>
      <c r="AX35" s="16">
        <v>-1.4999999999999999E-2</v>
      </c>
    </row>
    <row r="36" spans="1:279" customFormat="1">
      <c r="F36" s="17" t="str">
        <f t="shared" si="0"/>
        <v/>
      </c>
      <c r="G36" s="9"/>
      <c r="H36" s="25">
        <v>1</v>
      </c>
      <c r="I36" s="5"/>
      <c r="J36" s="5"/>
      <c r="K36" s="5"/>
      <c r="L36" s="5"/>
      <c r="M36" s="5">
        <v>2</v>
      </c>
      <c r="N36" s="5"/>
      <c r="O36" s="5"/>
      <c r="P36" s="5"/>
      <c r="Q36" s="5"/>
      <c r="R36" s="5">
        <v>3</v>
      </c>
      <c r="S36" s="5"/>
      <c r="T36" s="5"/>
      <c r="U36" s="5"/>
      <c r="V36" s="5"/>
      <c r="W36" s="22">
        <f t="shared" si="1"/>
        <v>-2.8420399999999999</v>
      </c>
      <c r="X36" s="21">
        <f t="shared" si="2"/>
        <v>-0.34037299999999998</v>
      </c>
      <c r="Y36" s="21">
        <f t="shared" si="3"/>
        <v>-0.35573300000000002</v>
      </c>
      <c r="Z36" s="11">
        <f t="shared" si="4"/>
        <v>-1</v>
      </c>
      <c r="AA36" s="22">
        <f t="shared" si="5"/>
        <v>-2.8273799999999998</v>
      </c>
      <c r="AB36" s="21">
        <f t="shared" si="6"/>
        <v>-0.34077000000000002</v>
      </c>
      <c r="AC36" s="21">
        <f t="shared" si="7"/>
        <v>-0.35535600000000001</v>
      </c>
      <c r="AD36" s="11">
        <f t="shared" si="8"/>
        <v>-1</v>
      </c>
      <c r="AE36" s="22">
        <f t="shared" si="9"/>
        <v>-2.8431799999999998</v>
      </c>
      <c r="AF36" s="21">
        <f t="shared" si="10"/>
        <v>-0.33981299999999998</v>
      </c>
      <c r="AG36" s="21">
        <f t="shared" si="11"/>
        <v>-0.35358299999999998</v>
      </c>
      <c r="AH36" s="11">
        <f t="shared" si="12"/>
        <v>-1</v>
      </c>
      <c r="AI36">
        <v>2.5000000000000001E-2</v>
      </c>
      <c r="AJ36">
        <v>-2.5000000000000001E-2</v>
      </c>
      <c r="AK36">
        <v>1.5E-3</v>
      </c>
      <c r="AL36">
        <v>-1.5E-3</v>
      </c>
      <c r="AM36">
        <v>1.5E-3</v>
      </c>
      <c r="AN36">
        <v>-1.5E-3</v>
      </c>
      <c r="AO36" s="16">
        <v>2.5000000000000001E-2</v>
      </c>
      <c r="AP36" s="16">
        <v>-2.5000000000000001E-2</v>
      </c>
      <c r="AQ36">
        <v>1.4999999999999999E-2</v>
      </c>
      <c r="AR36">
        <v>-1.4999999999999999E-2</v>
      </c>
      <c r="AS36">
        <v>1E-3</v>
      </c>
      <c r="AT36">
        <v>-1E-3</v>
      </c>
      <c r="AU36">
        <v>1E-3</v>
      </c>
      <c r="AV36">
        <v>-1E-3</v>
      </c>
      <c r="AW36" s="16">
        <v>1.4999999999999999E-2</v>
      </c>
      <c r="AX36" s="16">
        <v>-1.4999999999999999E-2</v>
      </c>
    </row>
    <row r="37" spans="1:279" customFormat="1">
      <c r="F37" s="17" t="str">
        <f t="shared" si="0"/>
        <v/>
      </c>
      <c r="G37" s="9"/>
      <c r="H37" s="25">
        <v>1</v>
      </c>
      <c r="I37" s="5"/>
      <c r="J37" s="5"/>
      <c r="K37" s="5"/>
      <c r="L37" s="5"/>
      <c r="M37" s="5">
        <v>2</v>
      </c>
      <c r="N37" s="5"/>
      <c r="O37" s="5"/>
      <c r="P37" s="5"/>
      <c r="Q37" s="5"/>
      <c r="R37" s="5">
        <v>3</v>
      </c>
      <c r="S37" s="5"/>
      <c r="T37" s="5"/>
      <c r="U37" s="5"/>
      <c r="V37" s="5"/>
      <c r="W37" s="22">
        <f t="shared" si="1"/>
        <v>-2.8420399999999999</v>
      </c>
      <c r="X37" s="21">
        <f t="shared" si="2"/>
        <v>-0.34037299999999998</v>
      </c>
      <c r="Y37" s="21">
        <f t="shared" si="3"/>
        <v>-0.35573300000000002</v>
      </c>
      <c r="Z37" s="11">
        <f t="shared" si="4"/>
        <v>-1</v>
      </c>
      <c r="AA37" s="22">
        <f t="shared" si="5"/>
        <v>-2.8273799999999998</v>
      </c>
      <c r="AB37" s="21">
        <f t="shared" si="6"/>
        <v>-0.34077000000000002</v>
      </c>
      <c r="AC37" s="21">
        <f t="shared" si="7"/>
        <v>-0.35535600000000001</v>
      </c>
      <c r="AD37" s="11">
        <f t="shared" si="8"/>
        <v>-1</v>
      </c>
      <c r="AE37" s="22">
        <f t="shared" si="9"/>
        <v>-2.8431799999999998</v>
      </c>
      <c r="AF37" s="21">
        <f t="shared" si="10"/>
        <v>-0.33981299999999998</v>
      </c>
      <c r="AG37" s="21">
        <f t="shared" si="11"/>
        <v>-0.35358299999999998</v>
      </c>
      <c r="AH37" s="11">
        <f t="shared" si="12"/>
        <v>-1</v>
      </c>
      <c r="AI37">
        <v>2.5000000000000001E-2</v>
      </c>
      <c r="AJ37">
        <v>-2.5000000000000001E-2</v>
      </c>
      <c r="AK37">
        <v>1.5E-3</v>
      </c>
      <c r="AL37">
        <v>-1.5E-3</v>
      </c>
      <c r="AM37">
        <v>1.5E-3</v>
      </c>
      <c r="AN37">
        <v>-1.5E-3</v>
      </c>
      <c r="AO37" s="16">
        <v>2.5000000000000001E-2</v>
      </c>
      <c r="AP37" s="16">
        <v>-2.5000000000000001E-2</v>
      </c>
      <c r="AQ37">
        <v>1.4999999999999999E-2</v>
      </c>
      <c r="AR37">
        <v>-1.4999999999999999E-2</v>
      </c>
      <c r="AS37">
        <v>1E-3</v>
      </c>
      <c r="AT37">
        <v>-1E-3</v>
      </c>
      <c r="AU37">
        <v>1E-3</v>
      </c>
      <c r="AV37">
        <v>-1E-3</v>
      </c>
      <c r="AW37" s="16">
        <v>1.4999999999999999E-2</v>
      </c>
      <c r="AX37" s="16">
        <v>-1.4999999999999999E-2</v>
      </c>
    </row>
    <row r="38" spans="1:279" customFormat="1">
      <c r="F38" s="17" t="str">
        <f t="shared" si="0"/>
        <v/>
      </c>
      <c r="G38" s="9"/>
      <c r="H38" s="25">
        <v>1</v>
      </c>
      <c r="I38" s="5"/>
      <c r="J38" s="5"/>
      <c r="K38" s="5"/>
      <c r="L38" s="5"/>
      <c r="M38" s="5">
        <v>2</v>
      </c>
      <c r="N38" s="5"/>
      <c r="O38" s="5"/>
      <c r="P38" s="5"/>
      <c r="Q38" s="5"/>
      <c r="R38" s="5">
        <v>3</v>
      </c>
      <c r="S38" s="5"/>
      <c r="T38" s="5"/>
      <c r="U38" s="5"/>
      <c r="V38" s="5"/>
      <c r="W38" s="22">
        <f t="shared" si="1"/>
        <v>-2.8420399999999999</v>
      </c>
      <c r="X38" s="21">
        <f t="shared" si="2"/>
        <v>-0.34037299999999998</v>
      </c>
      <c r="Y38" s="21">
        <f t="shared" si="3"/>
        <v>-0.35573300000000002</v>
      </c>
      <c r="Z38" s="11">
        <f t="shared" si="4"/>
        <v>-1</v>
      </c>
      <c r="AA38" s="22">
        <f t="shared" si="5"/>
        <v>-2.8273799999999998</v>
      </c>
      <c r="AB38" s="21">
        <f t="shared" si="6"/>
        <v>-0.34077000000000002</v>
      </c>
      <c r="AC38" s="21">
        <f t="shared" si="7"/>
        <v>-0.35535600000000001</v>
      </c>
      <c r="AD38" s="11">
        <f t="shared" si="8"/>
        <v>-1</v>
      </c>
      <c r="AE38" s="22">
        <f t="shared" si="9"/>
        <v>-2.8431799999999998</v>
      </c>
      <c r="AF38" s="21">
        <f t="shared" si="10"/>
        <v>-0.33981299999999998</v>
      </c>
      <c r="AG38" s="21">
        <f t="shared" si="11"/>
        <v>-0.35358299999999998</v>
      </c>
      <c r="AH38" s="11">
        <f t="shared" si="12"/>
        <v>-1</v>
      </c>
      <c r="AI38">
        <v>2.5000000000000001E-2</v>
      </c>
      <c r="AJ38">
        <v>-2.5000000000000001E-2</v>
      </c>
      <c r="AK38">
        <v>1.5E-3</v>
      </c>
      <c r="AL38">
        <v>-1.5E-3</v>
      </c>
      <c r="AM38">
        <v>1.5E-3</v>
      </c>
      <c r="AN38">
        <v>-1.5E-3</v>
      </c>
      <c r="AO38" s="16">
        <v>2.5000000000000001E-2</v>
      </c>
      <c r="AP38" s="16">
        <v>-2.5000000000000001E-2</v>
      </c>
      <c r="AQ38">
        <v>1.4999999999999999E-2</v>
      </c>
      <c r="AR38">
        <v>-1.4999999999999999E-2</v>
      </c>
      <c r="AS38">
        <v>1E-3</v>
      </c>
      <c r="AT38">
        <v>-1E-3</v>
      </c>
      <c r="AU38">
        <v>1E-3</v>
      </c>
      <c r="AV38">
        <v>-1E-3</v>
      </c>
      <c r="AW38" s="16">
        <v>1.4999999999999999E-2</v>
      </c>
      <c r="AX38" s="16">
        <v>-1.4999999999999999E-2</v>
      </c>
    </row>
    <row r="39" spans="1:279" customFormat="1">
      <c r="F39" s="17" t="str">
        <f t="shared" si="0"/>
        <v/>
      </c>
      <c r="G39" s="9"/>
      <c r="H39" s="25">
        <v>1</v>
      </c>
      <c r="I39" s="5"/>
      <c r="J39" s="5"/>
      <c r="K39" s="5"/>
      <c r="L39" s="5"/>
      <c r="M39" s="5">
        <v>2</v>
      </c>
      <c r="N39" s="5"/>
      <c r="O39" s="5"/>
      <c r="P39" s="5"/>
      <c r="Q39" s="5"/>
      <c r="R39" s="5">
        <v>3</v>
      </c>
      <c r="S39" s="5"/>
      <c r="T39" s="5"/>
      <c r="U39" s="5"/>
      <c r="V39" s="5"/>
      <c r="W39" s="22">
        <f t="shared" si="1"/>
        <v>-2.8420399999999999</v>
      </c>
      <c r="X39" s="21">
        <f t="shared" si="2"/>
        <v>-0.34037299999999998</v>
      </c>
      <c r="Y39" s="21">
        <f t="shared" si="3"/>
        <v>-0.35573300000000002</v>
      </c>
      <c r="Z39" s="11">
        <f t="shared" si="4"/>
        <v>-1</v>
      </c>
      <c r="AA39" s="22">
        <f t="shared" si="5"/>
        <v>-2.8273799999999998</v>
      </c>
      <c r="AB39" s="21">
        <f t="shared" si="6"/>
        <v>-0.34077000000000002</v>
      </c>
      <c r="AC39" s="21">
        <f t="shared" si="7"/>
        <v>-0.35535600000000001</v>
      </c>
      <c r="AD39" s="11">
        <f t="shared" si="8"/>
        <v>-1</v>
      </c>
      <c r="AE39" s="22">
        <f t="shared" si="9"/>
        <v>-2.8431799999999998</v>
      </c>
      <c r="AF39" s="21">
        <f t="shared" si="10"/>
        <v>-0.33981299999999998</v>
      </c>
      <c r="AG39" s="21">
        <f t="shared" si="11"/>
        <v>-0.35358299999999998</v>
      </c>
      <c r="AH39" s="11">
        <f t="shared" si="12"/>
        <v>-1</v>
      </c>
      <c r="AI39">
        <v>2.5000000000000001E-2</v>
      </c>
      <c r="AJ39">
        <v>-2.5000000000000001E-2</v>
      </c>
      <c r="AK39">
        <v>1.5E-3</v>
      </c>
      <c r="AL39">
        <v>-1.5E-3</v>
      </c>
      <c r="AM39">
        <v>1.5E-3</v>
      </c>
      <c r="AN39">
        <v>-1.5E-3</v>
      </c>
      <c r="AO39" s="16">
        <v>2.5000000000000001E-2</v>
      </c>
      <c r="AP39" s="16">
        <v>-2.5000000000000001E-2</v>
      </c>
      <c r="AQ39">
        <v>1.4999999999999999E-2</v>
      </c>
      <c r="AR39">
        <v>-1.4999999999999999E-2</v>
      </c>
      <c r="AS39">
        <v>1E-3</v>
      </c>
      <c r="AT39">
        <v>-1E-3</v>
      </c>
      <c r="AU39">
        <v>1E-3</v>
      </c>
      <c r="AV39">
        <v>-1E-3</v>
      </c>
      <c r="AW39" s="16">
        <v>1.4999999999999999E-2</v>
      </c>
      <c r="AX39" s="16">
        <v>-1.4999999999999999E-2</v>
      </c>
    </row>
    <row r="40" spans="1:279" customFormat="1">
      <c r="F40" s="17" t="str">
        <f t="shared" si="0"/>
        <v/>
      </c>
      <c r="G40" s="9"/>
      <c r="H40" s="2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22" t="e">
        <f t="shared" si="1"/>
        <v>#N/A</v>
      </c>
      <c r="X40" s="21" t="e">
        <f t="shared" si="2"/>
        <v>#N/A</v>
      </c>
      <c r="Y40" s="21" t="e">
        <f t="shared" si="3"/>
        <v>#N/A</v>
      </c>
      <c r="Z40" s="11" t="e">
        <f t="shared" si="4"/>
        <v>#N/A</v>
      </c>
      <c r="AA40" s="22" t="e">
        <f t="shared" si="5"/>
        <v>#N/A</v>
      </c>
      <c r="AB40" s="21" t="e">
        <f t="shared" si="6"/>
        <v>#N/A</v>
      </c>
      <c r="AC40" s="21" t="e">
        <f t="shared" si="7"/>
        <v>#N/A</v>
      </c>
      <c r="AD40" s="11" t="e">
        <f t="shared" si="8"/>
        <v>#N/A</v>
      </c>
      <c r="AE40" s="22" t="e">
        <f t="shared" si="9"/>
        <v>#N/A</v>
      </c>
      <c r="AF40" s="21" t="e">
        <f t="shared" si="10"/>
        <v>#N/A</v>
      </c>
      <c r="AG40" s="21" t="e">
        <f t="shared" si="11"/>
        <v>#N/A</v>
      </c>
      <c r="AH40" s="11" t="e">
        <f t="shared" si="12"/>
        <v>#N/A</v>
      </c>
      <c r="AI40">
        <v>2.5000000000000001E-2</v>
      </c>
      <c r="AJ40">
        <v>-2.5000000000000001E-2</v>
      </c>
      <c r="AK40">
        <v>1.5E-3</v>
      </c>
      <c r="AL40">
        <v>-1.5E-3</v>
      </c>
      <c r="AM40">
        <v>1.5E-3</v>
      </c>
      <c r="AN40">
        <v>-1.5E-3</v>
      </c>
      <c r="AO40" s="16">
        <v>2.5000000000000001E-2</v>
      </c>
      <c r="AP40" s="16">
        <v>-2.5000000000000001E-2</v>
      </c>
      <c r="AQ40">
        <v>1.4999999999999999E-2</v>
      </c>
      <c r="AR40">
        <v>-1.4999999999999999E-2</v>
      </c>
      <c r="AS40">
        <v>1E-3</v>
      </c>
      <c r="AT40">
        <v>-1E-3</v>
      </c>
      <c r="AU40">
        <v>1E-3</v>
      </c>
      <c r="AV40">
        <v>-1E-3</v>
      </c>
      <c r="AW40" s="16">
        <v>1.4999999999999999E-2</v>
      </c>
      <c r="AX40" s="16">
        <v>-1.4999999999999999E-2</v>
      </c>
    </row>
    <row r="41" spans="1:279" customFormat="1">
      <c r="F41" s="17" t="str">
        <f t="shared" si="0"/>
        <v/>
      </c>
      <c r="G41" s="9"/>
      <c r="H41" s="2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22" t="e">
        <f t="shared" si="1"/>
        <v>#N/A</v>
      </c>
      <c r="X41" s="21" t="e">
        <f t="shared" si="2"/>
        <v>#N/A</v>
      </c>
      <c r="Y41" s="21" t="e">
        <f t="shared" si="3"/>
        <v>#N/A</v>
      </c>
      <c r="Z41" s="11" t="e">
        <f t="shared" si="4"/>
        <v>#N/A</v>
      </c>
      <c r="AA41" s="22" t="e">
        <f t="shared" si="5"/>
        <v>#N/A</v>
      </c>
      <c r="AB41" s="21" t="e">
        <f t="shared" si="6"/>
        <v>#N/A</v>
      </c>
      <c r="AC41" s="21" t="e">
        <f t="shared" si="7"/>
        <v>#N/A</v>
      </c>
      <c r="AD41" s="11" t="e">
        <f t="shared" si="8"/>
        <v>#N/A</v>
      </c>
      <c r="AE41" s="22" t="e">
        <f t="shared" si="9"/>
        <v>#N/A</v>
      </c>
      <c r="AF41" s="21" t="e">
        <f t="shared" si="10"/>
        <v>#N/A</v>
      </c>
      <c r="AG41" s="21" t="e">
        <f t="shared" si="11"/>
        <v>#N/A</v>
      </c>
      <c r="AH41" s="11" t="e">
        <f t="shared" si="12"/>
        <v>#N/A</v>
      </c>
      <c r="AI41">
        <v>2.5000000000000001E-2</v>
      </c>
      <c r="AJ41">
        <v>-2.5000000000000001E-2</v>
      </c>
      <c r="AK41">
        <v>1.5E-3</v>
      </c>
      <c r="AL41">
        <v>-1.5E-3</v>
      </c>
      <c r="AM41">
        <v>1.5E-3</v>
      </c>
      <c r="AN41">
        <v>-1.5E-3</v>
      </c>
      <c r="AO41" s="16">
        <v>2.5000000000000001E-2</v>
      </c>
      <c r="AP41" s="16">
        <v>-2.5000000000000001E-2</v>
      </c>
      <c r="AQ41">
        <v>1.4999999999999999E-2</v>
      </c>
      <c r="AR41">
        <v>-1.4999999999999999E-2</v>
      </c>
      <c r="AS41">
        <v>1E-3</v>
      </c>
      <c r="AT41">
        <v>-1E-3</v>
      </c>
      <c r="AU41">
        <v>1E-3</v>
      </c>
      <c r="AV41">
        <v>-1E-3</v>
      </c>
      <c r="AW41" s="16">
        <v>1.4999999999999999E-2</v>
      </c>
      <c r="AX41" s="16">
        <v>-1.4999999999999999E-2</v>
      </c>
    </row>
    <row r="42" spans="1:279" customFormat="1">
      <c r="F42" s="17" t="str">
        <f t="shared" si="0"/>
        <v/>
      </c>
      <c r="G42" s="9"/>
      <c r="H42" s="2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22" t="e">
        <f t="shared" si="1"/>
        <v>#N/A</v>
      </c>
      <c r="X42" s="21" t="e">
        <f t="shared" si="2"/>
        <v>#N/A</v>
      </c>
      <c r="Y42" s="21" t="e">
        <f t="shared" si="3"/>
        <v>#N/A</v>
      </c>
      <c r="Z42" s="11" t="e">
        <f t="shared" si="4"/>
        <v>#N/A</v>
      </c>
      <c r="AA42" s="22" t="e">
        <f t="shared" si="5"/>
        <v>#N/A</v>
      </c>
      <c r="AB42" s="21" t="e">
        <f t="shared" si="6"/>
        <v>#N/A</v>
      </c>
      <c r="AC42" s="21" t="e">
        <f t="shared" si="7"/>
        <v>#N/A</v>
      </c>
      <c r="AD42" s="11" t="e">
        <f t="shared" si="8"/>
        <v>#N/A</v>
      </c>
      <c r="AE42" s="22" t="e">
        <f t="shared" si="9"/>
        <v>#N/A</v>
      </c>
      <c r="AF42" s="21" t="e">
        <f t="shared" si="10"/>
        <v>#N/A</v>
      </c>
      <c r="AG42" s="21" t="e">
        <f t="shared" si="11"/>
        <v>#N/A</v>
      </c>
      <c r="AH42" s="11" t="e">
        <f t="shared" si="12"/>
        <v>#N/A</v>
      </c>
      <c r="AI42">
        <v>2.5000000000000001E-2</v>
      </c>
      <c r="AJ42">
        <v>-2.5000000000000001E-2</v>
      </c>
      <c r="AK42">
        <v>1.5E-3</v>
      </c>
      <c r="AL42">
        <v>-1.5E-3</v>
      </c>
      <c r="AM42">
        <v>1.5E-3</v>
      </c>
      <c r="AN42">
        <v>-1.5E-3</v>
      </c>
      <c r="AO42" s="16">
        <v>2.5000000000000001E-2</v>
      </c>
      <c r="AP42" s="16">
        <v>-2.5000000000000001E-2</v>
      </c>
      <c r="AQ42">
        <v>1.4999999999999999E-2</v>
      </c>
      <c r="AR42">
        <v>-1.4999999999999999E-2</v>
      </c>
      <c r="AS42">
        <v>1E-3</v>
      </c>
      <c r="AT42">
        <v>-1E-3</v>
      </c>
      <c r="AU42">
        <v>1E-3</v>
      </c>
      <c r="AV42">
        <v>-1E-3</v>
      </c>
      <c r="AW42" s="16">
        <v>1.4999999999999999E-2</v>
      </c>
      <c r="AX42" s="16">
        <v>-1.4999999999999999E-2</v>
      </c>
    </row>
    <row r="43" spans="1:279" customFormat="1">
      <c r="F43" s="17" t="str">
        <f t="shared" si="0"/>
        <v/>
      </c>
      <c r="G43" s="9"/>
      <c r="H43" s="2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22" t="e">
        <f t="shared" si="1"/>
        <v>#N/A</v>
      </c>
      <c r="X43" s="21" t="e">
        <f t="shared" si="2"/>
        <v>#N/A</v>
      </c>
      <c r="Y43" s="21" t="e">
        <f t="shared" si="3"/>
        <v>#N/A</v>
      </c>
      <c r="Z43" s="11" t="e">
        <f t="shared" si="4"/>
        <v>#N/A</v>
      </c>
      <c r="AA43" s="22" t="e">
        <f t="shared" si="5"/>
        <v>#N/A</v>
      </c>
      <c r="AB43" s="21" t="e">
        <f t="shared" si="6"/>
        <v>#N/A</v>
      </c>
      <c r="AC43" s="21" t="e">
        <f t="shared" si="7"/>
        <v>#N/A</v>
      </c>
      <c r="AD43" s="11" t="e">
        <f t="shared" si="8"/>
        <v>#N/A</v>
      </c>
      <c r="AE43" s="22" t="e">
        <f t="shared" si="9"/>
        <v>#N/A</v>
      </c>
      <c r="AF43" s="21" t="e">
        <f t="shared" si="10"/>
        <v>#N/A</v>
      </c>
      <c r="AG43" s="21" t="e">
        <f t="shared" si="11"/>
        <v>#N/A</v>
      </c>
      <c r="AH43" s="11" t="e">
        <f t="shared" si="12"/>
        <v>#N/A</v>
      </c>
      <c r="AI43">
        <v>2.5000000000000001E-2</v>
      </c>
      <c r="AJ43">
        <v>-2.5000000000000001E-2</v>
      </c>
      <c r="AK43">
        <v>1.5E-3</v>
      </c>
      <c r="AL43">
        <v>-1.5E-3</v>
      </c>
      <c r="AM43">
        <v>1.5E-3</v>
      </c>
      <c r="AN43">
        <v>-1.5E-3</v>
      </c>
      <c r="AO43" s="16">
        <v>2.5000000000000001E-2</v>
      </c>
      <c r="AP43" s="16">
        <v>-2.5000000000000001E-2</v>
      </c>
      <c r="AQ43">
        <v>1.4999999999999999E-2</v>
      </c>
      <c r="AR43">
        <v>-1.4999999999999999E-2</v>
      </c>
      <c r="AS43">
        <v>1E-3</v>
      </c>
      <c r="AT43">
        <v>-1E-3</v>
      </c>
      <c r="AU43">
        <v>1E-3</v>
      </c>
      <c r="AV43">
        <v>-1E-3</v>
      </c>
      <c r="AW43" s="16">
        <v>1.4999999999999999E-2</v>
      </c>
      <c r="AX43" s="16">
        <v>-1.4999999999999999E-2</v>
      </c>
    </row>
    <row r="44" spans="1:279" customFormat="1">
      <c r="F44" s="17" t="str">
        <f t="shared" si="0"/>
        <v/>
      </c>
      <c r="G44" s="9"/>
      <c r="H44" s="2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22" t="e">
        <f t="shared" si="1"/>
        <v>#N/A</v>
      </c>
      <c r="X44" s="21" t="e">
        <f t="shared" si="2"/>
        <v>#N/A</v>
      </c>
      <c r="Y44" s="21" t="e">
        <f t="shared" si="3"/>
        <v>#N/A</v>
      </c>
      <c r="Z44" s="11" t="e">
        <f t="shared" si="4"/>
        <v>#N/A</v>
      </c>
      <c r="AA44" s="22" t="e">
        <f t="shared" si="5"/>
        <v>#N/A</v>
      </c>
      <c r="AB44" s="21" t="e">
        <f t="shared" si="6"/>
        <v>#N/A</v>
      </c>
      <c r="AC44" s="21" t="e">
        <f t="shared" si="7"/>
        <v>#N/A</v>
      </c>
      <c r="AD44" s="11" t="e">
        <f t="shared" si="8"/>
        <v>#N/A</v>
      </c>
      <c r="AE44" s="22" t="e">
        <f t="shared" si="9"/>
        <v>#N/A</v>
      </c>
      <c r="AF44" s="21" t="e">
        <f t="shared" si="10"/>
        <v>#N/A</v>
      </c>
      <c r="AG44" s="21" t="e">
        <f t="shared" si="11"/>
        <v>#N/A</v>
      </c>
      <c r="AH44" s="11" t="e">
        <f t="shared" si="12"/>
        <v>#N/A</v>
      </c>
      <c r="AI44">
        <v>2.5000000000000001E-2</v>
      </c>
      <c r="AJ44">
        <v>-2.5000000000000001E-2</v>
      </c>
      <c r="AK44">
        <v>1.5E-3</v>
      </c>
      <c r="AL44">
        <v>-1.5E-3</v>
      </c>
      <c r="AM44">
        <v>1.5E-3</v>
      </c>
      <c r="AN44">
        <v>-1.5E-3</v>
      </c>
      <c r="AO44" s="16">
        <v>2.5000000000000001E-2</v>
      </c>
      <c r="AP44" s="16">
        <v>-2.5000000000000001E-2</v>
      </c>
      <c r="AQ44">
        <v>1.4999999999999999E-2</v>
      </c>
      <c r="AR44">
        <v>-1.4999999999999999E-2</v>
      </c>
      <c r="AS44">
        <v>1E-3</v>
      </c>
      <c r="AT44">
        <v>-1E-3</v>
      </c>
      <c r="AU44">
        <v>1E-3</v>
      </c>
      <c r="AV44">
        <v>-1E-3</v>
      </c>
      <c r="AW44" s="16">
        <v>1.4999999999999999E-2</v>
      </c>
      <c r="AX44" s="16">
        <v>-1.4999999999999999E-2</v>
      </c>
    </row>
    <row r="45" spans="1:279" customFormat="1">
      <c r="F45" s="17" t="str">
        <f t="shared" si="0"/>
        <v/>
      </c>
      <c r="G45" s="9"/>
      <c r="H45" s="2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22" t="e">
        <f t="shared" si="1"/>
        <v>#N/A</v>
      </c>
      <c r="X45" s="21" t="e">
        <f t="shared" si="2"/>
        <v>#N/A</v>
      </c>
      <c r="Y45" s="21" t="e">
        <f t="shared" si="3"/>
        <v>#N/A</v>
      </c>
      <c r="Z45" s="11" t="e">
        <f t="shared" si="4"/>
        <v>#N/A</v>
      </c>
      <c r="AA45" s="22" t="e">
        <f t="shared" si="5"/>
        <v>#N/A</v>
      </c>
      <c r="AB45" s="21" t="e">
        <f t="shared" si="6"/>
        <v>#N/A</v>
      </c>
      <c r="AC45" s="21" t="e">
        <f t="shared" si="7"/>
        <v>#N/A</v>
      </c>
      <c r="AD45" s="11" t="e">
        <f t="shared" si="8"/>
        <v>#N/A</v>
      </c>
      <c r="AE45" s="22" t="e">
        <f t="shared" si="9"/>
        <v>#N/A</v>
      </c>
      <c r="AF45" s="21" t="e">
        <f t="shared" si="10"/>
        <v>#N/A</v>
      </c>
      <c r="AG45" s="21" t="e">
        <f t="shared" si="11"/>
        <v>#N/A</v>
      </c>
      <c r="AH45" s="11" t="e">
        <f t="shared" si="12"/>
        <v>#N/A</v>
      </c>
      <c r="AI45">
        <v>2.5000000000000001E-2</v>
      </c>
      <c r="AJ45">
        <v>-2.5000000000000001E-2</v>
      </c>
      <c r="AK45">
        <v>1.5E-3</v>
      </c>
      <c r="AL45">
        <v>-1.5E-3</v>
      </c>
      <c r="AM45">
        <v>1.5E-3</v>
      </c>
      <c r="AN45">
        <v>-1.5E-3</v>
      </c>
      <c r="AO45" s="16">
        <v>2.5000000000000001E-2</v>
      </c>
      <c r="AP45" s="16">
        <v>-2.5000000000000001E-2</v>
      </c>
      <c r="AQ45">
        <v>1.4999999999999999E-2</v>
      </c>
      <c r="AR45">
        <v>-1.4999999999999999E-2</v>
      </c>
      <c r="AS45">
        <v>1E-3</v>
      </c>
      <c r="AT45">
        <v>-1E-3</v>
      </c>
      <c r="AU45">
        <v>1E-3</v>
      </c>
      <c r="AV45">
        <v>-1E-3</v>
      </c>
      <c r="AW45" s="16">
        <v>1.4999999999999999E-2</v>
      </c>
      <c r="AX45" s="16">
        <v>-1.4999999999999999E-2</v>
      </c>
    </row>
    <row r="46" spans="1:279" customFormat="1">
      <c r="F46" s="17" t="str">
        <f t="shared" si="0"/>
        <v/>
      </c>
      <c r="G46" s="9"/>
      <c r="H46" s="2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22" t="e">
        <f t="shared" si="1"/>
        <v>#N/A</v>
      </c>
      <c r="X46" s="21" t="e">
        <f t="shared" si="2"/>
        <v>#N/A</v>
      </c>
      <c r="Y46" s="21" t="e">
        <f t="shared" si="3"/>
        <v>#N/A</v>
      </c>
      <c r="Z46" s="11" t="e">
        <f t="shared" si="4"/>
        <v>#N/A</v>
      </c>
      <c r="AA46" s="22" t="e">
        <f t="shared" si="5"/>
        <v>#N/A</v>
      </c>
      <c r="AB46" s="21" t="e">
        <f t="shared" si="6"/>
        <v>#N/A</v>
      </c>
      <c r="AC46" s="21" t="e">
        <f t="shared" si="7"/>
        <v>#N/A</v>
      </c>
      <c r="AD46" s="11" t="e">
        <f t="shared" si="8"/>
        <v>#N/A</v>
      </c>
      <c r="AE46" s="22" t="e">
        <f t="shared" si="9"/>
        <v>#N/A</v>
      </c>
      <c r="AF46" s="21" t="e">
        <f t="shared" si="10"/>
        <v>#N/A</v>
      </c>
      <c r="AG46" s="21" t="e">
        <f t="shared" si="11"/>
        <v>#N/A</v>
      </c>
      <c r="AH46" s="11" t="e">
        <f t="shared" si="12"/>
        <v>#N/A</v>
      </c>
      <c r="AI46">
        <v>2.5000000000000001E-2</v>
      </c>
      <c r="AJ46">
        <v>-2.5000000000000001E-2</v>
      </c>
      <c r="AK46">
        <v>1.5E-3</v>
      </c>
      <c r="AL46">
        <v>-1.5E-3</v>
      </c>
      <c r="AM46">
        <v>1.5E-3</v>
      </c>
      <c r="AN46">
        <v>-1.5E-3</v>
      </c>
      <c r="AO46" s="16">
        <v>2.5000000000000001E-2</v>
      </c>
      <c r="AP46" s="16">
        <v>-2.5000000000000001E-2</v>
      </c>
      <c r="AQ46">
        <v>1.4999999999999999E-2</v>
      </c>
      <c r="AR46">
        <v>-1.4999999999999999E-2</v>
      </c>
      <c r="AS46">
        <v>1E-3</v>
      </c>
      <c r="AT46">
        <v>-1E-3</v>
      </c>
      <c r="AU46">
        <v>1E-3</v>
      </c>
      <c r="AV46">
        <v>-1E-3</v>
      </c>
      <c r="AW46" s="16">
        <v>1.4999999999999999E-2</v>
      </c>
      <c r="AX46" s="16">
        <v>-1.4999999999999999E-2</v>
      </c>
      <c r="JR46">
        <v>12.849506578947368</v>
      </c>
      <c r="JS46">
        <v>25.699013157894736</v>
      </c>
    </row>
    <row r="47" spans="1:279" customFormat="1">
      <c r="F47" s="17" t="str">
        <f t="shared" si="0"/>
        <v/>
      </c>
      <c r="G47" s="9"/>
      <c r="H47" s="2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22" t="e">
        <f t="shared" si="1"/>
        <v>#N/A</v>
      </c>
      <c r="X47" s="21" t="e">
        <f t="shared" si="2"/>
        <v>#N/A</v>
      </c>
      <c r="Y47" s="21" t="e">
        <f t="shared" si="3"/>
        <v>#N/A</v>
      </c>
      <c r="Z47" s="11" t="e">
        <f t="shared" si="4"/>
        <v>#N/A</v>
      </c>
      <c r="AA47" s="22" t="e">
        <f t="shared" si="5"/>
        <v>#N/A</v>
      </c>
      <c r="AB47" s="21" t="e">
        <f t="shared" si="6"/>
        <v>#N/A</v>
      </c>
      <c r="AC47" s="21" t="e">
        <f t="shared" si="7"/>
        <v>#N/A</v>
      </c>
      <c r="AD47" s="11" t="e">
        <f t="shared" si="8"/>
        <v>#N/A</v>
      </c>
      <c r="AE47" s="22" t="e">
        <f t="shared" si="9"/>
        <v>#N/A</v>
      </c>
      <c r="AF47" s="21" t="e">
        <f t="shared" si="10"/>
        <v>#N/A</v>
      </c>
      <c r="AG47" s="21" t="e">
        <f t="shared" si="11"/>
        <v>#N/A</v>
      </c>
      <c r="AH47" s="11" t="e">
        <f t="shared" si="12"/>
        <v>#N/A</v>
      </c>
      <c r="AI47">
        <v>2.5000000000000001E-2</v>
      </c>
      <c r="AJ47">
        <v>-2.5000000000000001E-2</v>
      </c>
      <c r="AK47">
        <v>1.5E-3</v>
      </c>
      <c r="AL47">
        <v>-1.5E-3</v>
      </c>
      <c r="AM47">
        <v>1.5E-3</v>
      </c>
      <c r="AN47">
        <v>-1.5E-3</v>
      </c>
      <c r="AO47" s="16">
        <v>2.5000000000000001E-2</v>
      </c>
      <c r="AP47" s="16">
        <v>-2.5000000000000001E-2</v>
      </c>
      <c r="AQ47">
        <v>1.4999999999999999E-2</v>
      </c>
      <c r="AR47">
        <v>-1.4999999999999999E-2</v>
      </c>
      <c r="AS47">
        <v>1E-3</v>
      </c>
      <c r="AT47">
        <v>-1E-3</v>
      </c>
      <c r="AU47">
        <v>1E-3</v>
      </c>
      <c r="AV47">
        <v>-1E-3</v>
      </c>
      <c r="AW47" s="16">
        <v>1.4999999999999999E-2</v>
      </c>
      <c r="AX47" s="16">
        <v>-1.4999999999999999E-2</v>
      </c>
    </row>
    <row r="48" spans="1:279" customFormat="1">
      <c r="F48" s="17" t="str">
        <f t="shared" si="0"/>
        <v/>
      </c>
      <c r="G48" s="9"/>
      <c r="H48" s="2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22" t="e">
        <f t="shared" si="1"/>
        <v>#N/A</v>
      </c>
      <c r="X48" s="21" t="e">
        <f t="shared" si="2"/>
        <v>#N/A</v>
      </c>
      <c r="Y48" s="21" t="e">
        <f t="shared" si="3"/>
        <v>#N/A</v>
      </c>
      <c r="Z48" s="11" t="e">
        <f t="shared" si="4"/>
        <v>#N/A</v>
      </c>
      <c r="AA48" s="22" t="e">
        <f t="shared" si="5"/>
        <v>#N/A</v>
      </c>
      <c r="AB48" s="21" t="e">
        <f t="shared" si="6"/>
        <v>#N/A</v>
      </c>
      <c r="AC48" s="21" t="e">
        <f t="shared" si="7"/>
        <v>#N/A</v>
      </c>
      <c r="AD48" s="11" t="e">
        <f t="shared" si="8"/>
        <v>#N/A</v>
      </c>
      <c r="AE48" s="22" t="e">
        <f t="shared" si="9"/>
        <v>#N/A</v>
      </c>
      <c r="AF48" s="21" t="e">
        <f t="shared" si="10"/>
        <v>#N/A</v>
      </c>
      <c r="AG48" s="21" t="e">
        <f t="shared" si="11"/>
        <v>#N/A</v>
      </c>
      <c r="AH48" s="11" t="e">
        <f t="shared" si="12"/>
        <v>#N/A</v>
      </c>
      <c r="AI48">
        <v>2.5000000000000001E-2</v>
      </c>
      <c r="AJ48">
        <v>-2.5000000000000001E-2</v>
      </c>
      <c r="AK48">
        <v>1.5E-3</v>
      </c>
      <c r="AL48">
        <v>-1.5E-3</v>
      </c>
      <c r="AM48">
        <v>1.5E-3</v>
      </c>
      <c r="AN48">
        <v>-1.5E-3</v>
      </c>
      <c r="AO48" s="16">
        <v>2.5000000000000001E-2</v>
      </c>
      <c r="AP48" s="16">
        <v>-2.5000000000000001E-2</v>
      </c>
      <c r="AQ48">
        <v>1.4999999999999999E-2</v>
      </c>
      <c r="AR48">
        <v>-1.4999999999999999E-2</v>
      </c>
      <c r="AS48">
        <v>1E-3</v>
      </c>
      <c r="AT48">
        <v>-1E-3</v>
      </c>
      <c r="AU48">
        <v>1E-3</v>
      </c>
      <c r="AV48">
        <v>-1E-3</v>
      </c>
      <c r="AW48" s="16">
        <v>1.4999999999999999E-2</v>
      </c>
      <c r="AX48" s="16">
        <v>-1.4999999999999999E-2</v>
      </c>
      <c r="JQ48">
        <v>12.849506578947368</v>
      </c>
      <c r="JR48">
        <v>12.849506578947368</v>
      </c>
      <c r="JS48">
        <v>12.849506578947368</v>
      </c>
    </row>
    <row r="49" spans="6:279" customFormat="1">
      <c r="F49" s="17" t="str">
        <f t="shared" si="0"/>
        <v/>
      </c>
      <c r="G49" s="9"/>
      <c r="H49" s="2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22" t="e">
        <f t="shared" si="1"/>
        <v>#N/A</v>
      </c>
      <c r="X49" s="21" t="e">
        <f t="shared" si="2"/>
        <v>#N/A</v>
      </c>
      <c r="Y49" s="21" t="e">
        <f t="shared" si="3"/>
        <v>#N/A</v>
      </c>
      <c r="Z49" s="11" t="e">
        <f t="shared" si="4"/>
        <v>#N/A</v>
      </c>
      <c r="AA49" s="22" t="e">
        <f t="shared" si="5"/>
        <v>#N/A</v>
      </c>
      <c r="AB49" s="21" t="e">
        <f t="shared" si="6"/>
        <v>#N/A</v>
      </c>
      <c r="AC49" s="21" t="e">
        <f t="shared" si="7"/>
        <v>#N/A</v>
      </c>
      <c r="AD49" s="11" t="e">
        <f t="shared" si="8"/>
        <v>#N/A</v>
      </c>
      <c r="AE49" s="22" t="e">
        <f t="shared" si="9"/>
        <v>#N/A</v>
      </c>
      <c r="AF49" s="21" t="e">
        <f t="shared" si="10"/>
        <v>#N/A</v>
      </c>
      <c r="AG49" s="21" t="e">
        <f t="shared" si="11"/>
        <v>#N/A</v>
      </c>
      <c r="AH49" s="11" t="e">
        <f t="shared" si="12"/>
        <v>#N/A</v>
      </c>
      <c r="AI49">
        <v>2.5000000000000001E-2</v>
      </c>
      <c r="AJ49">
        <v>-2.5000000000000001E-2</v>
      </c>
      <c r="AK49">
        <v>1.5E-3</v>
      </c>
      <c r="AL49">
        <v>-1.5E-3</v>
      </c>
      <c r="AM49">
        <v>1.5E-3</v>
      </c>
      <c r="AN49">
        <v>-1.5E-3</v>
      </c>
      <c r="AO49" s="16">
        <v>2.5000000000000001E-2</v>
      </c>
      <c r="AP49" s="16">
        <v>-2.5000000000000001E-2</v>
      </c>
      <c r="AQ49">
        <v>1.4999999999999999E-2</v>
      </c>
      <c r="AR49">
        <v>-1.4999999999999999E-2</v>
      </c>
      <c r="AS49">
        <v>1E-3</v>
      </c>
      <c r="AT49">
        <v>-1E-3</v>
      </c>
      <c r="AU49">
        <v>1E-3</v>
      </c>
      <c r="AV49">
        <v>-1E-3</v>
      </c>
      <c r="AW49" s="16">
        <v>1.4999999999999999E-2</v>
      </c>
      <c r="AX49" s="16">
        <v>-1.4999999999999999E-2</v>
      </c>
    </row>
    <row r="50" spans="6:279" customFormat="1">
      <c r="F50" s="17" t="str">
        <f t="shared" si="0"/>
        <v/>
      </c>
      <c r="G50" s="9"/>
      <c r="H50" s="2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22" t="e">
        <f t="shared" si="1"/>
        <v>#N/A</v>
      </c>
      <c r="X50" s="21" t="e">
        <f t="shared" si="2"/>
        <v>#N/A</v>
      </c>
      <c r="Y50" s="21" t="e">
        <f t="shared" si="3"/>
        <v>#N/A</v>
      </c>
      <c r="Z50" s="11" t="e">
        <f t="shared" si="4"/>
        <v>#N/A</v>
      </c>
      <c r="AA50" s="22" t="e">
        <f t="shared" si="5"/>
        <v>#N/A</v>
      </c>
      <c r="AB50" s="21" t="e">
        <f t="shared" si="6"/>
        <v>#N/A</v>
      </c>
      <c r="AC50" s="21" t="e">
        <f t="shared" si="7"/>
        <v>#N/A</v>
      </c>
      <c r="AD50" s="11" t="e">
        <f t="shared" si="8"/>
        <v>#N/A</v>
      </c>
      <c r="AE50" s="22" t="e">
        <f t="shared" si="9"/>
        <v>#N/A</v>
      </c>
      <c r="AF50" s="21" t="e">
        <f t="shared" si="10"/>
        <v>#N/A</v>
      </c>
      <c r="AG50" s="21" t="e">
        <f t="shared" si="11"/>
        <v>#N/A</v>
      </c>
      <c r="AH50" s="11" t="e">
        <f t="shared" si="12"/>
        <v>#N/A</v>
      </c>
      <c r="AI50">
        <v>2.5000000000000001E-2</v>
      </c>
      <c r="AJ50">
        <v>-2.5000000000000001E-2</v>
      </c>
      <c r="AK50">
        <v>1.5E-3</v>
      </c>
      <c r="AL50">
        <v>-1.5E-3</v>
      </c>
      <c r="AM50">
        <v>1.5E-3</v>
      </c>
      <c r="AN50">
        <v>-1.5E-3</v>
      </c>
      <c r="AO50" s="16">
        <v>2.5000000000000001E-2</v>
      </c>
      <c r="AP50" s="16">
        <v>-2.5000000000000001E-2</v>
      </c>
      <c r="AQ50">
        <v>1.4999999999999999E-2</v>
      </c>
      <c r="AR50">
        <v>-1.4999999999999999E-2</v>
      </c>
      <c r="AS50">
        <v>1E-3</v>
      </c>
      <c r="AT50">
        <v>-1E-3</v>
      </c>
      <c r="AU50">
        <v>1E-3</v>
      </c>
      <c r="AV50">
        <v>-1E-3</v>
      </c>
      <c r="AW50" s="16">
        <v>1.4999999999999999E-2</v>
      </c>
      <c r="AX50" s="16">
        <v>-1.4999999999999999E-2</v>
      </c>
    </row>
    <row r="51" spans="6:279" customFormat="1">
      <c r="F51" s="17" t="str">
        <f t="shared" si="0"/>
        <v/>
      </c>
      <c r="G51" s="9"/>
      <c r="H51" s="2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22" t="e">
        <f t="shared" si="1"/>
        <v>#N/A</v>
      </c>
      <c r="X51" s="21" t="e">
        <f t="shared" si="2"/>
        <v>#N/A</v>
      </c>
      <c r="Y51" s="21" t="e">
        <f t="shared" si="3"/>
        <v>#N/A</v>
      </c>
      <c r="Z51" s="11" t="e">
        <f t="shared" si="4"/>
        <v>#N/A</v>
      </c>
      <c r="AA51" s="22" t="e">
        <f t="shared" si="5"/>
        <v>#N/A</v>
      </c>
      <c r="AB51" s="21" t="e">
        <f t="shared" si="6"/>
        <v>#N/A</v>
      </c>
      <c r="AC51" s="21" t="e">
        <f t="shared" si="7"/>
        <v>#N/A</v>
      </c>
      <c r="AD51" s="11" t="e">
        <f t="shared" si="8"/>
        <v>#N/A</v>
      </c>
      <c r="AE51" s="22" t="e">
        <f t="shared" si="9"/>
        <v>#N/A</v>
      </c>
      <c r="AF51" s="21" t="e">
        <f t="shared" si="10"/>
        <v>#N/A</v>
      </c>
      <c r="AG51" s="21" t="e">
        <f t="shared" si="11"/>
        <v>#N/A</v>
      </c>
      <c r="AH51" s="11" t="e">
        <f t="shared" si="12"/>
        <v>#N/A</v>
      </c>
      <c r="AI51">
        <v>2.5000000000000001E-2</v>
      </c>
      <c r="AJ51">
        <v>-2.5000000000000001E-2</v>
      </c>
      <c r="AK51">
        <v>1.5E-3</v>
      </c>
      <c r="AL51">
        <v>-1.5E-3</v>
      </c>
      <c r="AM51">
        <v>1.5E-3</v>
      </c>
      <c r="AN51">
        <v>-1.5E-3</v>
      </c>
      <c r="AO51" s="16">
        <v>2.5000000000000001E-2</v>
      </c>
      <c r="AP51" s="16">
        <v>-2.5000000000000001E-2</v>
      </c>
      <c r="AQ51">
        <v>1.4999999999999999E-2</v>
      </c>
      <c r="AR51">
        <v>-1.4999999999999999E-2</v>
      </c>
      <c r="AS51">
        <v>1E-3</v>
      </c>
      <c r="AT51">
        <v>-1E-3</v>
      </c>
      <c r="AU51">
        <v>1E-3</v>
      </c>
      <c r="AV51">
        <v>-1E-3</v>
      </c>
      <c r="AW51" s="16">
        <v>1.4999999999999999E-2</v>
      </c>
      <c r="AX51" s="16">
        <v>-1.4999999999999999E-2</v>
      </c>
    </row>
    <row r="52" spans="6:279" customFormat="1">
      <c r="F52" s="17" t="str">
        <f t="shared" si="0"/>
        <v/>
      </c>
      <c r="G52" s="9"/>
      <c r="H52" s="2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22" t="e">
        <f t="shared" si="1"/>
        <v>#N/A</v>
      </c>
      <c r="X52" s="21" t="e">
        <f t="shared" si="2"/>
        <v>#N/A</v>
      </c>
      <c r="Y52" s="21" t="e">
        <f t="shared" si="3"/>
        <v>#N/A</v>
      </c>
      <c r="Z52" s="11" t="e">
        <f t="shared" si="4"/>
        <v>#N/A</v>
      </c>
      <c r="AA52" s="22" t="e">
        <f t="shared" si="5"/>
        <v>#N/A</v>
      </c>
      <c r="AB52" s="21" t="e">
        <f t="shared" si="6"/>
        <v>#N/A</v>
      </c>
      <c r="AC52" s="21" t="e">
        <f t="shared" si="7"/>
        <v>#N/A</v>
      </c>
      <c r="AD52" s="11" t="e">
        <f t="shared" si="8"/>
        <v>#N/A</v>
      </c>
      <c r="AE52" s="22" t="e">
        <f t="shared" si="9"/>
        <v>#N/A</v>
      </c>
      <c r="AF52" s="21" t="e">
        <f t="shared" si="10"/>
        <v>#N/A</v>
      </c>
      <c r="AG52" s="21" t="e">
        <f t="shared" si="11"/>
        <v>#N/A</v>
      </c>
      <c r="AH52" s="11" t="e">
        <f t="shared" si="12"/>
        <v>#N/A</v>
      </c>
      <c r="AI52">
        <v>2.5000000000000001E-2</v>
      </c>
      <c r="AJ52">
        <v>-2.5000000000000001E-2</v>
      </c>
      <c r="AK52">
        <v>1.5E-3</v>
      </c>
      <c r="AL52">
        <v>-1.5E-3</v>
      </c>
      <c r="AM52">
        <v>1.5E-3</v>
      </c>
      <c r="AN52">
        <v>-1.5E-3</v>
      </c>
      <c r="AO52" s="16">
        <v>2.5000000000000001E-2</v>
      </c>
      <c r="AP52" s="16">
        <v>-2.5000000000000001E-2</v>
      </c>
      <c r="AQ52">
        <v>1.4999999999999999E-2</v>
      </c>
      <c r="AR52">
        <v>-1.4999999999999999E-2</v>
      </c>
      <c r="AS52">
        <v>1E-3</v>
      </c>
      <c r="AT52">
        <v>-1E-3</v>
      </c>
      <c r="AU52">
        <v>1E-3</v>
      </c>
      <c r="AV52">
        <v>-1E-3</v>
      </c>
      <c r="AW52" s="16">
        <v>1.4999999999999999E-2</v>
      </c>
      <c r="AX52" s="16">
        <v>-1.4999999999999999E-2</v>
      </c>
    </row>
    <row r="53" spans="6:279" customFormat="1">
      <c r="F53" s="17" t="str">
        <f t="shared" si="0"/>
        <v/>
      </c>
      <c r="G53" s="9"/>
      <c r="H53" s="2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22" t="e">
        <f t="shared" si="1"/>
        <v>#N/A</v>
      </c>
      <c r="X53" s="21" t="e">
        <f t="shared" si="2"/>
        <v>#N/A</v>
      </c>
      <c r="Y53" s="21" t="e">
        <f t="shared" si="3"/>
        <v>#N/A</v>
      </c>
      <c r="Z53" s="11" t="e">
        <f t="shared" si="4"/>
        <v>#N/A</v>
      </c>
      <c r="AA53" s="22" t="e">
        <f t="shared" si="5"/>
        <v>#N/A</v>
      </c>
      <c r="AB53" s="21" t="e">
        <f t="shared" si="6"/>
        <v>#N/A</v>
      </c>
      <c r="AC53" s="21" t="e">
        <f t="shared" si="7"/>
        <v>#N/A</v>
      </c>
      <c r="AD53" s="11" t="e">
        <f t="shared" si="8"/>
        <v>#N/A</v>
      </c>
      <c r="AE53" s="22" t="e">
        <f t="shared" si="9"/>
        <v>#N/A</v>
      </c>
      <c r="AF53" s="21" t="e">
        <f t="shared" si="10"/>
        <v>#N/A</v>
      </c>
      <c r="AG53" s="21" t="e">
        <f t="shared" si="11"/>
        <v>#N/A</v>
      </c>
      <c r="AH53" s="11" t="e">
        <f t="shared" si="12"/>
        <v>#N/A</v>
      </c>
      <c r="AI53">
        <v>2.5000000000000001E-2</v>
      </c>
      <c r="AJ53">
        <v>-2.5000000000000001E-2</v>
      </c>
      <c r="AK53">
        <v>1.5E-3</v>
      </c>
      <c r="AL53">
        <v>-1.5E-3</v>
      </c>
      <c r="AM53">
        <v>1.5E-3</v>
      </c>
      <c r="AN53">
        <v>-1.5E-3</v>
      </c>
      <c r="AO53" s="16">
        <v>2.5000000000000001E-2</v>
      </c>
      <c r="AP53" s="16">
        <v>-2.5000000000000001E-2</v>
      </c>
      <c r="AQ53">
        <v>1.4999999999999999E-2</v>
      </c>
      <c r="AR53">
        <v>-1.4999999999999999E-2</v>
      </c>
      <c r="AS53">
        <v>1E-3</v>
      </c>
      <c r="AT53">
        <v>-1E-3</v>
      </c>
      <c r="AU53">
        <v>1E-3</v>
      </c>
      <c r="AV53">
        <v>-1E-3</v>
      </c>
      <c r="AW53" s="16">
        <v>1.4999999999999999E-2</v>
      </c>
      <c r="AX53" s="16">
        <v>-1.4999999999999999E-2</v>
      </c>
      <c r="JR53">
        <v>12.849506578947368</v>
      </c>
    </row>
    <row r="54" spans="6:279" customFormat="1">
      <c r="F54" s="17" t="str">
        <f t="shared" si="0"/>
        <v/>
      </c>
      <c r="G54" s="9"/>
      <c r="H54" s="2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22" t="e">
        <f t="shared" si="1"/>
        <v>#N/A</v>
      </c>
      <c r="X54" s="21" t="e">
        <f t="shared" si="2"/>
        <v>#N/A</v>
      </c>
      <c r="Y54" s="21" t="e">
        <f t="shared" si="3"/>
        <v>#N/A</v>
      </c>
      <c r="Z54" s="11" t="e">
        <f t="shared" si="4"/>
        <v>#N/A</v>
      </c>
      <c r="AA54" s="22" t="e">
        <f t="shared" si="5"/>
        <v>#N/A</v>
      </c>
      <c r="AB54" s="21" t="e">
        <f t="shared" si="6"/>
        <v>#N/A</v>
      </c>
      <c r="AC54" s="21" t="e">
        <f t="shared" si="7"/>
        <v>#N/A</v>
      </c>
      <c r="AD54" s="11" t="e">
        <f t="shared" si="8"/>
        <v>#N/A</v>
      </c>
      <c r="AE54" s="22" t="e">
        <f t="shared" si="9"/>
        <v>#N/A</v>
      </c>
      <c r="AF54" s="21" t="e">
        <f t="shared" si="10"/>
        <v>#N/A</v>
      </c>
      <c r="AG54" s="21" t="e">
        <f t="shared" si="11"/>
        <v>#N/A</v>
      </c>
      <c r="AH54" s="11" t="e">
        <f t="shared" si="12"/>
        <v>#N/A</v>
      </c>
      <c r="AI54">
        <v>2.5000000000000001E-2</v>
      </c>
      <c r="AJ54">
        <v>-2.5000000000000001E-2</v>
      </c>
      <c r="AK54">
        <v>1.5E-3</v>
      </c>
      <c r="AL54">
        <v>-1.5E-3</v>
      </c>
      <c r="AM54">
        <v>1.5E-3</v>
      </c>
      <c r="AN54">
        <v>-1.5E-3</v>
      </c>
      <c r="AO54" s="16">
        <v>2.5000000000000001E-2</v>
      </c>
      <c r="AP54" s="16">
        <v>-2.5000000000000001E-2</v>
      </c>
      <c r="AQ54">
        <v>1.4999999999999999E-2</v>
      </c>
      <c r="AR54">
        <v>-1.4999999999999999E-2</v>
      </c>
      <c r="AS54">
        <v>1E-3</v>
      </c>
      <c r="AT54">
        <v>-1E-3</v>
      </c>
      <c r="AU54">
        <v>1E-3</v>
      </c>
      <c r="AV54">
        <v>-1E-3</v>
      </c>
      <c r="AW54" s="16">
        <v>1.4999999999999999E-2</v>
      </c>
      <c r="AX54" s="16">
        <v>-1.4999999999999999E-2</v>
      </c>
    </row>
    <row r="55" spans="6:279" customFormat="1">
      <c r="F55" s="17" t="str">
        <f t="shared" si="0"/>
        <v/>
      </c>
      <c r="G55" s="9"/>
      <c r="H55" s="2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22" t="e">
        <f t="shared" si="1"/>
        <v>#N/A</v>
      </c>
      <c r="X55" s="21" t="e">
        <f t="shared" si="2"/>
        <v>#N/A</v>
      </c>
      <c r="Y55" s="21" t="e">
        <f t="shared" si="3"/>
        <v>#N/A</v>
      </c>
      <c r="Z55" s="11" t="e">
        <f t="shared" si="4"/>
        <v>#N/A</v>
      </c>
      <c r="AA55" s="22" t="e">
        <f t="shared" si="5"/>
        <v>#N/A</v>
      </c>
      <c r="AB55" s="21" t="e">
        <f t="shared" si="6"/>
        <v>#N/A</v>
      </c>
      <c r="AC55" s="21" t="e">
        <f t="shared" si="7"/>
        <v>#N/A</v>
      </c>
      <c r="AD55" s="11" t="e">
        <f t="shared" si="8"/>
        <v>#N/A</v>
      </c>
      <c r="AE55" s="22" t="e">
        <f t="shared" si="9"/>
        <v>#N/A</v>
      </c>
      <c r="AF55" s="21" t="e">
        <f t="shared" si="10"/>
        <v>#N/A</v>
      </c>
      <c r="AG55" s="21" t="e">
        <f t="shared" si="11"/>
        <v>#N/A</v>
      </c>
      <c r="AH55" s="11" t="e">
        <f t="shared" si="12"/>
        <v>#N/A</v>
      </c>
      <c r="AI55">
        <v>2.5000000000000001E-2</v>
      </c>
      <c r="AJ55">
        <v>-2.5000000000000001E-2</v>
      </c>
      <c r="AK55">
        <v>1.5E-3</v>
      </c>
      <c r="AL55">
        <v>-1.5E-3</v>
      </c>
      <c r="AM55">
        <v>1.5E-3</v>
      </c>
      <c r="AN55">
        <v>-1.5E-3</v>
      </c>
      <c r="AO55" s="16">
        <v>2.5000000000000001E-2</v>
      </c>
      <c r="AP55" s="16">
        <v>-2.5000000000000001E-2</v>
      </c>
      <c r="AQ55">
        <v>1.4999999999999999E-2</v>
      </c>
      <c r="AR55">
        <v>-1.4999999999999999E-2</v>
      </c>
      <c r="AS55">
        <v>1E-3</v>
      </c>
      <c r="AT55">
        <v>-1E-3</v>
      </c>
      <c r="AU55">
        <v>1E-3</v>
      </c>
      <c r="AV55">
        <v>-1E-3</v>
      </c>
      <c r="AW55" s="16">
        <v>1.4999999999999999E-2</v>
      </c>
      <c r="AX55" s="16">
        <v>-1.4999999999999999E-2</v>
      </c>
      <c r="JR55">
        <v>12.849506578947368</v>
      </c>
      <c r="JS55">
        <v>12.849506578947368</v>
      </c>
    </row>
    <row r="56" spans="6:279" customFormat="1">
      <c r="F56" s="17" t="str">
        <f t="shared" si="0"/>
        <v/>
      </c>
      <c r="G56" s="9"/>
      <c r="H56" s="2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22" t="e">
        <f t="shared" si="1"/>
        <v>#N/A</v>
      </c>
      <c r="X56" s="21" t="e">
        <f t="shared" si="2"/>
        <v>#N/A</v>
      </c>
      <c r="Y56" s="21" t="e">
        <f t="shared" si="3"/>
        <v>#N/A</v>
      </c>
      <c r="Z56" s="11" t="e">
        <f t="shared" si="4"/>
        <v>#N/A</v>
      </c>
      <c r="AA56" s="22" t="e">
        <f t="shared" si="5"/>
        <v>#N/A</v>
      </c>
      <c r="AB56" s="21" t="e">
        <f t="shared" si="6"/>
        <v>#N/A</v>
      </c>
      <c r="AC56" s="21" t="e">
        <f t="shared" si="7"/>
        <v>#N/A</v>
      </c>
      <c r="AD56" s="11" t="e">
        <f t="shared" si="8"/>
        <v>#N/A</v>
      </c>
      <c r="AE56" s="22" t="e">
        <f t="shared" si="9"/>
        <v>#N/A</v>
      </c>
      <c r="AF56" s="21" t="e">
        <f t="shared" si="10"/>
        <v>#N/A</v>
      </c>
      <c r="AG56" s="21" t="e">
        <f t="shared" si="11"/>
        <v>#N/A</v>
      </c>
      <c r="AH56" s="11" t="e">
        <f t="shared" si="12"/>
        <v>#N/A</v>
      </c>
      <c r="AI56">
        <v>2.5000000000000001E-2</v>
      </c>
      <c r="AJ56">
        <v>-2.5000000000000001E-2</v>
      </c>
      <c r="AK56">
        <v>1.5E-3</v>
      </c>
      <c r="AL56">
        <v>-1.5E-3</v>
      </c>
      <c r="AM56">
        <v>1.5E-3</v>
      </c>
      <c r="AN56">
        <v>-1.5E-3</v>
      </c>
      <c r="AO56" s="16">
        <v>2.5000000000000001E-2</v>
      </c>
      <c r="AP56" s="16">
        <v>-2.5000000000000001E-2</v>
      </c>
      <c r="AQ56">
        <v>1.4999999999999999E-2</v>
      </c>
      <c r="AR56">
        <v>-1.4999999999999999E-2</v>
      </c>
      <c r="AS56">
        <v>1E-3</v>
      </c>
      <c r="AT56">
        <v>-1E-3</v>
      </c>
      <c r="AU56">
        <v>1E-3</v>
      </c>
      <c r="AV56">
        <v>-1E-3</v>
      </c>
      <c r="AW56" s="16">
        <v>1.4999999999999999E-2</v>
      </c>
      <c r="AX56" s="16">
        <v>-1.4999999999999999E-2</v>
      </c>
      <c r="JP56">
        <v>12.849506578947368</v>
      </c>
    </row>
    <row r="57" spans="6:279" customFormat="1">
      <c r="F57" s="17" t="str">
        <f t="shared" si="0"/>
        <v/>
      </c>
      <c r="G57" s="9"/>
      <c r="H57" s="2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22" t="e">
        <f t="shared" si="1"/>
        <v>#N/A</v>
      </c>
      <c r="X57" s="21" t="e">
        <f t="shared" si="2"/>
        <v>#N/A</v>
      </c>
      <c r="Y57" s="21" t="e">
        <f t="shared" si="3"/>
        <v>#N/A</v>
      </c>
      <c r="Z57" s="11" t="e">
        <f t="shared" si="4"/>
        <v>#N/A</v>
      </c>
      <c r="AA57" s="22" t="e">
        <f t="shared" si="5"/>
        <v>#N/A</v>
      </c>
      <c r="AB57" s="21" t="e">
        <f t="shared" si="6"/>
        <v>#N/A</v>
      </c>
      <c r="AC57" s="21" t="e">
        <f t="shared" si="7"/>
        <v>#N/A</v>
      </c>
      <c r="AD57" s="11" t="e">
        <f t="shared" si="8"/>
        <v>#N/A</v>
      </c>
      <c r="AE57" s="22" t="e">
        <f t="shared" si="9"/>
        <v>#N/A</v>
      </c>
      <c r="AF57" s="21" t="e">
        <f t="shared" si="10"/>
        <v>#N/A</v>
      </c>
      <c r="AG57" s="21" t="e">
        <f t="shared" si="11"/>
        <v>#N/A</v>
      </c>
      <c r="AH57" s="11" t="e">
        <f t="shared" si="12"/>
        <v>#N/A</v>
      </c>
      <c r="AI57">
        <v>2.5000000000000001E-2</v>
      </c>
      <c r="AJ57">
        <v>-2.5000000000000001E-2</v>
      </c>
      <c r="AK57">
        <v>1.5E-3</v>
      </c>
      <c r="AL57">
        <v>-1.5E-3</v>
      </c>
      <c r="AM57">
        <v>1.5E-3</v>
      </c>
      <c r="AN57">
        <v>-1.5E-3</v>
      </c>
      <c r="AO57" s="16">
        <v>2.5000000000000001E-2</v>
      </c>
      <c r="AP57" s="16">
        <v>-2.5000000000000001E-2</v>
      </c>
      <c r="AQ57">
        <v>1.4999999999999999E-2</v>
      </c>
      <c r="AR57">
        <v>-1.4999999999999999E-2</v>
      </c>
      <c r="AS57">
        <v>1E-3</v>
      </c>
      <c r="AT57">
        <v>-1E-3</v>
      </c>
      <c r="AU57">
        <v>1E-3</v>
      </c>
      <c r="AV57">
        <v>-1E-3</v>
      </c>
      <c r="AW57" s="16">
        <v>1.4999999999999999E-2</v>
      </c>
      <c r="AX57" s="16">
        <v>-1.4999999999999999E-2</v>
      </c>
      <c r="JP57">
        <v>38.548519736842103</v>
      </c>
      <c r="JR57">
        <v>12.849506578947368</v>
      </c>
      <c r="JS57">
        <v>12.849506578947368</v>
      </c>
    </row>
    <row r="58" spans="6:279" customFormat="1">
      <c r="F58" s="17" t="str">
        <f t="shared" si="0"/>
        <v/>
      </c>
      <c r="G58" s="9"/>
      <c r="H58" s="2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22" t="e">
        <f t="shared" si="1"/>
        <v>#N/A</v>
      </c>
      <c r="X58" s="21" t="e">
        <f t="shared" si="2"/>
        <v>#N/A</v>
      </c>
      <c r="Y58" s="21" t="e">
        <f t="shared" si="3"/>
        <v>#N/A</v>
      </c>
      <c r="Z58" s="11" t="e">
        <f t="shared" si="4"/>
        <v>#N/A</v>
      </c>
      <c r="AA58" s="22" t="e">
        <f t="shared" si="5"/>
        <v>#N/A</v>
      </c>
      <c r="AB58" s="21" t="e">
        <f t="shared" si="6"/>
        <v>#N/A</v>
      </c>
      <c r="AC58" s="21" t="e">
        <f t="shared" si="7"/>
        <v>#N/A</v>
      </c>
      <c r="AD58" s="11" t="e">
        <f t="shared" si="8"/>
        <v>#N/A</v>
      </c>
      <c r="AE58" s="22" t="e">
        <f t="shared" si="9"/>
        <v>#N/A</v>
      </c>
      <c r="AF58" s="21" t="e">
        <f t="shared" si="10"/>
        <v>#N/A</v>
      </c>
      <c r="AG58" s="21" t="e">
        <f t="shared" si="11"/>
        <v>#N/A</v>
      </c>
      <c r="AH58" s="11" t="e">
        <f t="shared" si="12"/>
        <v>#N/A</v>
      </c>
      <c r="AI58">
        <v>2.5000000000000001E-2</v>
      </c>
      <c r="AJ58">
        <v>-2.5000000000000001E-2</v>
      </c>
      <c r="AK58">
        <v>1.5E-3</v>
      </c>
      <c r="AL58">
        <v>-1.5E-3</v>
      </c>
      <c r="AM58">
        <v>1.5E-3</v>
      </c>
      <c r="AN58">
        <v>-1.5E-3</v>
      </c>
      <c r="AO58" s="16">
        <v>2.5000000000000001E-2</v>
      </c>
      <c r="AP58" s="16">
        <v>-2.5000000000000001E-2</v>
      </c>
      <c r="AQ58">
        <v>1.4999999999999999E-2</v>
      </c>
      <c r="AR58">
        <v>-1.4999999999999999E-2</v>
      </c>
      <c r="AS58">
        <v>1E-3</v>
      </c>
      <c r="AT58">
        <v>-1E-3</v>
      </c>
      <c r="AU58">
        <v>1E-3</v>
      </c>
      <c r="AV58">
        <v>-1E-3</v>
      </c>
      <c r="AW58" s="16">
        <v>1.4999999999999999E-2</v>
      </c>
      <c r="AX58" s="16">
        <v>-1.4999999999999999E-2</v>
      </c>
    </row>
    <row r="59" spans="6:279" customFormat="1">
      <c r="F59" s="17" t="str">
        <f t="shared" si="0"/>
        <v/>
      </c>
      <c r="G59" s="9"/>
      <c r="H59" s="2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22" t="e">
        <f t="shared" si="1"/>
        <v>#N/A</v>
      </c>
      <c r="X59" s="21" t="e">
        <f t="shared" si="2"/>
        <v>#N/A</v>
      </c>
      <c r="Y59" s="21" t="e">
        <f t="shared" si="3"/>
        <v>#N/A</v>
      </c>
      <c r="Z59" s="11" t="e">
        <f t="shared" si="4"/>
        <v>#N/A</v>
      </c>
      <c r="AA59" s="22" t="e">
        <f t="shared" si="5"/>
        <v>#N/A</v>
      </c>
      <c r="AB59" s="21" t="e">
        <f t="shared" si="6"/>
        <v>#N/A</v>
      </c>
      <c r="AC59" s="21" t="e">
        <f t="shared" si="7"/>
        <v>#N/A</v>
      </c>
      <c r="AD59" s="11" t="e">
        <f t="shared" si="8"/>
        <v>#N/A</v>
      </c>
      <c r="AE59" s="22" t="e">
        <f t="shared" si="9"/>
        <v>#N/A</v>
      </c>
      <c r="AF59" s="21" t="e">
        <f t="shared" si="10"/>
        <v>#N/A</v>
      </c>
      <c r="AG59" s="21" t="e">
        <f t="shared" si="11"/>
        <v>#N/A</v>
      </c>
      <c r="AH59" s="11" t="e">
        <f t="shared" si="12"/>
        <v>#N/A</v>
      </c>
      <c r="AI59">
        <v>2.5000000000000001E-2</v>
      </c>
      <c r="AJ59">
        <v>-2.5000000000000001E-2</v>
      </c>
      <c r="AK59">
        <v>1.5E-3</v>
      </c>
      <c r="AL59">
        <v>-1.5E-3</v>
      </c>
      <c r="AM59">
        <v>1.5E-3</v>
      </c>
      <c r="AN59">
        <v>-1.5E-3</v>
      </c>
      <c r="AO59" s="16">
        <v>2.5000000000000001E-2</v>
      </c>
      <c r="AP59" s="16">
        <v>-2.5000000000000001E-2</v>
      </c>
      <c r="AQ59">
        <v>1.4999999999999999E-2</v>
      </c>
      <c r="AR59">
        <v>-1.4999999999999999E-2</v>
      </c>
      <c r="AS59">
        <v>1E-3</v>
      </c>
      <c r="AT59">
        <v>-1E-3</v>
      </c>
      <c r="AU59">
        <v>1E-3</v>
      </c>
      <c r="AV59">
        <v>-1E-3</v>
      </c>
      <c r="AW59" s="16">
        <v>1.4999999999999999E-2</v>
      </c>
      <c r="AX59" s="16">
        <v>-1.4999999999999999E-2</v>
      </c>
      <c r="JQ59">
        <v>12.849506578947368</v>
      </c>
      <c r="JR59">
        <v>12.849506578947368</v>
      </c>
      <c r="JS59">
        <v>38.548519736842103</v>
      </c>
    </row>
    <row r="60" spans="6:279" customFormat="1">
      <c r="F60" s="17" t="str">
        <f t="shared" si="0"/>
        <v/>
      </c>
      <c r="G60" s="9"/>
      <c r="H60" s="2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22" t="e">
        <f t="shared" si="1"/>
        <v>#N/A</v>
      </c>
      <c r="X60" s="21" t="e">
        <f t="shared" si="2"/>
        <v>#N/A</v>
      </c>
      <c r="Y60" s="21" t="e">
        <f t="shared" si="3"/>
        <v>#N/A</v>
      </c>
      <c r="Z60" s="11" t="e">
        <f t="shared" si="4"/>
        <v>#N/A</v>
      </c>
      <c r="AA60" s="22" t="e">
        <f t="shared" si="5"/>
        <v>#N/A</v>
      </c>
      <c r="AB60" s="21" t="e">
        <f t="shared" si="6"/>
        <v>#N/A</v>
      </c>
      <c r="AC60" s="21" t="e">
        <f t="shared" si="7"/>
        <v>#N/A</v>
      </c>
      <c r="AD60" s="11" t="e">
        <f t="shared" si="8"/>
        <v>#N/A</v>
      </c>
      <c r="AE60" s="22" t="e">
        <f t="shared" si="9"/>
        <v>#N/A</v>
      </c>
      <c r="AF60" s="21" t="e">
        <f t="shared" si="10"/>
        <v>#N/A</v>
      </c>
      <c r="AG60" s="21" t="e">
        <f t="shared" si="11"/>
        <v>#N/A</v>
      </c>
      <c r="AH60" s="11" t="e">
        <f t="shared" si="12"/>
        <v>#N/A</v>
      </c>
      <c r="AI60">
        <v>2.5000000000000001E-2</v>
      </c>
      <c r="AJ60">
        <v>-2.5000000000000001E-2</v>
      </c>
      <c r="AK60">
        <v>1.5E-3</v>
      </c>
      <c r="AL60">
        <v>-1.5E-3</v>
      </c>
      <c r="AM60">
        <v>1.5E-3</v>
      </c>
      <c r="AN60">
        <v>-1.5E-3</v>
      </c>
      <c r="AO60" s="16">
        <v>2.5000000000000001E-2</v>
      </c>
      <c r="AP60" s="16">
        <v>-2.5000000000000001E-2</v>
      </c>
      <c r="AQ60">
        <v>1.4999999999999999E-2</v>
      </c>
      <c r="AR60">
        <v>-1.4999999999999999E-2</v>
      </c>
      <c r="AS60">
        <v>1E-3</v>
      </c>
      <c r="AT60">
        <v>-1E-3</v>
      </c>
      <c r="AU60">
        <v>1E-3</v>
      </c>
      <c r="AV60">
        <v>-1E-3</v>
      </c>
      <c r="AW60" s="16">
        <v>1.4999999999999999E-2</v>
      </c>
      <c r="AX60" s="16">
        <v>-1.4999999999999999E-2</v>
      </c>
    </row>
    <row r="61" spans="6:279" customFormat="1">
      <c r="F61" s="17" t="str">
        <f t="shared" si="0"/>
        <v/>
      </c>
      <c r="G61" s="9"/>
      <c r="H61" s="2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22" t="e">
        <f t="shared" si="1"/>
        <v>#N/A</v>
      </c>
      <c r="X61" s="21" t="e">
        <f t="shared" si="2"/>
        <v>#N/A</v>
      </c>
      <c r="Y61" s="21" t="e">
        <f t="shared" si="3"/>
        <v>#N/A</v>
      </c>
      <c r="Z61" s="11" t="e">
        <f t="shared" si="4"/>
        <v>#N/A</v>
      </c>
      <c r="AA61" s="22" t="e">
        <f t="shared" si="5"/>
        <v>#N/A</v>
      </c>
      <c r="AB61" s="21" t="e">
        <f t="shared" si="6"/>
        <v>#N/A</v>
      </c>
      <c r="AC61" s="21" t="e">
        <f t="shared" si="7"/>
        <v>#N/A</v>
      </c>
      <c r="AD61" s="11" t="e">
        <f t="shared" si="8"/>
        <v>#N/A</v>
      </c>
      <c r="AE61" s="22" t="e">
        <f t="shared" si="9"/>
        <v>#N/A</v>
      </c>
      <c r="AF61" s="21" t="e">
        <f t="shared" si="10"/>
        <v>#N/A</v>
      </c>
      <c r="AG61" s="21" t="e">
        <f t="shared" si="11"/>
        <v>#N/A</v>
      </c>
      <c r="AH61" s="11" t="e">
        <f t="shared" si="12"/>
        <v>#N/A</v>
      </c>
      <c r="AI61">
        <v>2.5000000000000001E-2</v>
      </c>
      <c r="AJ61">
        <v>-2.5000000000000001E-2</v>
      </c>
      <c r="AK61">
        <v>1.5E-3</v>
      </c>
      <c r="AL61">
        <v>-1.5E-3</v>
      </c>
      <c r="AM61">
        <v>1.5E-3</v>
      </c>
      <c r="AN61">
        <v>-1.5E-3</v>
      </c>
      <c r="AO61" s="16">
        <v>2.5000000000000001E-2</v>
      </c>
      <c r="AP61" s="16">
        <v>-2.5000000000000001E-2</v>
      </c>
      <c r="AQ61">
        <v>1.4999999999999999E-2</v>
      </c>
      <c r="AR61">
        <v>-1.4999999999999999E-2</v>
      </c>
      <c r="AS61">
        <v>1E-3</v>
      </c>
      <c r="AT61">
        <v>-1E-3</v>
      </c>
      <c r="AU61">
        <v>1E-3</v>
      </c>
      <c r="AV61">
        <v>-1E-3</v>
      </c>
      <c r="AW61" s="16">
        <v>1.4999999999999999E-2</v>
      </c>
      <c r="AX61" s="16">
        <v>-1.4999999999999999E-2</v>
      </c>
      <c r="JS61">
        <v>12.849506578947368</v>
      </c>
    </row>
    <row r="62" spans="6:279" customFormat="1">
      <c r="F62" s="17" t="str">
        <f t="shared" si="0"/>
        <v/>
      </c>
      <c r="G62" s="9"/>
      <c r="H62" s="2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22" t="e">
        <f t="shared" si="1"/>
        <v>#N/A</v>
      </c>
      <c r="X62" s="21" t="e">
        <f t="shared" si="2"/>
        <v>#N/A</v>
      </c>
      <c r="Y62" s="21" t="e">
        <f t="shared" si="3"/>
        <v>#N/A</v>
      </c>
      <c r="Z62" s="11" t="e">
        <f t="shared" si="4"/>
        <v>#N/A</v>
      </c>
      <c r="AA62" s="22" t="e">
        <f t="shared" si="5"/>
        <v>#N/A</v>
      </c>
      <c r="AB62" s="21" t="e">
        <f t="shared" si="6"/>
        <v>#N/A</v>
      </c>
      <c r="AC62" s="21" t="e">
        <f t="shared" si="7"/>
        <v>#N/A</v>
      </c>
      <c r="AD62" s="11" t="e">
        <f t="shared" si="8"/>
        <v>#N/A</v>
      </c>
      <c r="AE62" s="22" t="e">
        <f t="shared" si="9"/>
        <v>#N/A</v>
      </c>
      <c r="AF62" s="21" t="e">
        <f t="shared" si="10"/>
        <v>#N/A</v>
      </c>
      <c r="AG62" s="21" t="e">
        <f t="shared" si="11"/>
        <v>#N/A</v>
      </c>
      <c r="AH62" s="11" t="e">
        <f t="shared" si="12"/>
        <v>#N/A</v>
      </c>
      <c r="AI62">
        <v>2.5000000000000001E-2</v>
      </c>
      <c r="AJ62">
        <v>-2.5000000000000001E-2</v>
      </c>
      <c r="AK62">
        <v>1.5E-3</v>
      </c>
      <c r="AL62">
        <v>-1.5E-3</v>
      </c>
      <c r="AM62">
        <v>1.5E-3</v>
      </c>
      <c r="AN62">
        <v>-1.5E-3</v>
      </c>
      <c r="AO62" s="16">
        <v>2.5000000000000001E-2</v>
      </c>
      <c r="AP62" s="16">
        <v>-2.5000000000000001E-2</v>
      </c>
      <c r="AQ62">
        <v>1.4999999999999999E-2</v>
      </c>
      <c r="AR62">
        <v>-1.4999999999999999E-2</v>
      </c>
      <c r="AS62">
        <v>1E-3</v>
      </c>
      <c r="AT62">
        <v>-1E-3</v>
      </c>
      <c r="AU62">
        <v>1E-3</v>
      </c>
      <c r="AV62">
        <v>-1E-3</v>
      </c>
      <c r="AW62" s="16">
        <v>1.4999999999999999E-2</v>
      </c>
      <c r="AX62" s="16">
        <v>-1.4999999999999999E-2</v>
      </c>
      <c r="JS62">
        <v>12.849506578947368</v>
      </c>
    </row>
    <row r="63" spans="6:279" customFormat="1">
      <c r="F63" s="17" t="str">
        <f t="shared" si="0"/>
        <v/>
      </c>
      <c r="G63" s="9"/>
      <c r="H63" s="2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22" t="e">
        <f t="shared" si="1"/>
        <v>#N/A</v>
      </c>
      <c r="X63" s="21" t="e">
        <f t="shared" si="2"/>
        <v>#N/A</v>
      </c>
      <c r="Y63" s="21" t="e">
        <f t="shared" si="3"/>
        <v>#N/A</v>
      </c>
      <c r="Z63" s="11" t="e">
        <f t="shared" si="4"/>
        <v>#N/A</v>
      </c>
      <c r="AA63" s="22" t="e">
        <f t="shared" si="5"/>
        <v>#N/A</v>
      </c>
      <c r="AB63" s="21" t="e">
        <f t="shared" si="6"/>
        <v>#N/A</v>
      </c>
      <c r="AC63" s="21" t="e">
        <f t="shared" si="7"/>
        <v>#N/A</v>
      </c>
      <c r="AD63" s="11" t="e">
        <f t="shared" si="8"/>
        <v>#N/A</v>
      </c>
      <c r="AE63" s="22" t="e">
        <f t="shared" si="9"/>
        <v>#N/A</v>
      </c>
      <c r="AF63" s="21" t="e">
        <f t="shared" si="10"/>
        <v>#N/A</v>
      </c>
      <c r="AG63" s="21" t="e">
        <f t="shared" si="11"/>
        <v>#N/A</v>
      </c>
      <c r="AH63" s="11" t="e">
        <f t="shared" si="12"/>
        <v>#N/A</v>
      </c>
      <c r="AI63">
        <v>2.5000000000000001E-2</v>
      </c>
      <c r="AJ63">
        <v>-2.5000000000000001E-2</v>
      </c>
      <c r="AK63">
        <v>1.5E-3</v>
      </c>
      <c r="AL63">
        <v>-1.5E-3</v>
      </c>
      <c r="AM63">
        <v>1.5E-3</v>
      </c>
      <c r="AN63">
        <v>-1.5E-3</v>
      </c>
      <c r="AO63" s="16">
        <v>2.5000000000000001E-2</v>
      </c>
      <c r="AP63" s="16">
        <v>-2.5000000000000001E-2</v>
      </c>
      <c r="AQ63">
        <v>1.4999999999999999E-2</v>
      </c>
      <c r="AR63">
        <v>-1.4999999999999999E-2</v>
      </c>
      <c r="AS63">
        <v>1E-3</v>
      </c>
      <c r="AT63">
        <v>-1E-3</v>
      </c>
      <c r="AU63">
        <v>1E-3</v>
      </c>
      <c r="AV63">
        <v>-1E-3</v>
      </c>
      <c r="AW63" s="16">
        <v>1.4999999999999999E-2</v>
      </c>
      <c r="AX63" s="16">
        <v>-1.4999999999999999E-2</v>
      </c>
      <c r="JR63">
        <v>12.849506578947368</v>
      </c>
    </row>
    <row r="64" spans="6:279" customFormat="1">
      <c r="F64" s="17" t="str">
        <f t="shared" si="0"/>
        <v/>
      </c>
      <c r="G64" s="9"/>
      <c r="H64" s="2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22" t="e">
        <f t="shared" si="1"/>
        <v>#N/A</v>
      </c>
      <c r="X64" s="21" t="e">
        <f t="shared" si="2"/>
        <v>#N/A</v>
      </c>
      <c r="Y64" s="21" t="e">
        <f t="shared" si="3"/>
        <v>#N/A</v>
      </c>
      <c r="Z64" s="11" t="e">
        <f t="shared" si="4"/>
        <v>#N/A</v>
      </c>
      <c r="AA64" s="22" t="e">
        <f t="shared" si="5"/>
        <v>#N/A</v>
      </c>
      <c r="AB64" s="21" t="e">
        <f t="shared" si="6"/>
        <v>#N/A</v>
      </c>
      <c r="AC64" s="21" t="e">
        <f t="shared" si="7"/>
        <v>#N/A</v>
      </c>
      <c r="AD64" s="11" t="e">
        <f t="shared" si="8"/>
        <v>#N/A</v>
      </c>
      <c r="AE64" s="22" t="e">
        <f t="shared" si="9"/>
        <v>#N/A</v>
      </c>
      <c r="AF64" s="21" t="e">
        <f t="shared" si="10"/>
        <v>#N/A</v>
      </c>
      <c r="AG64" s="21" t="e">
        <f t="shared" si="11"/>
        <v>#N/A</v>
      </c>
      <c r="AH64" s="11" t="e">
        <f t="shared" si="12"/>
        <v>#N/A</v>
      </c>
      <c r="AI64">
        <v>2.5000000000000001E-2</v>
      </c>
      <c r="AJ64">
        <v>-2.5000000000000001E-2</v>
      </c>
      <c r="AK64">
        <v>1.5E-3</v>
      </c>
      <c r="AL64">
        <v>-1.5E-3</v>
      </c>
      <c r="AM64">
        <v>1.5E-3</v>
      </c>
      <c r="AN64">
        <v>-1.5E-3</v>
      </c>
      <c r="AO64" s="16">
        <v>2.5000000000000001E-2</v>
      </c>
      <c r="AP64" s="16">
        <v>-2.5000000000000001E-2</v>
      </c>
      <c r="AQ64">
        <v>1.4999999999999999E-2</v>
      </c>
      <c r="AR64">
        <v>-1.4999999999999999E-2</v>
      </c>
      <c r="AS64">
        <v>1E-3</v>
      </c>
      <c r="AT64">
        <v>-1E-3</v>
      </c>
      <c r="AU64">
        <v>1E-3</v>
      </c>
      <c r="AV64">
        <v>-1E-3</v>
      </c>
      <c r="AW64" s="16">
        <v>1.4999999999999999E-2</v>
      </c>
      <c r="AX64" s="16">
        <v>-1.4999999999999999E-2</v>
      </c>
    </row>
    <row r="65" spans="6:278" customFormat="1">
      <c r="F65" s="17" t="str">
        <f t="shared" si="0"/>
        <v/>
      </c>
      <c r="G65" s="9"/>
      <c r="H65" s="2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22" t="e">
        <f t="shared" si="1"/>
        <v>#N/A</v>
      </c>
      <c r="X65" s="21" t="e">
        <f t="shared" si="2"/>
        <v>#N/A</v>
      </c>
      <c r="Y65" s="21" t="e">
        <f t="shared" si="3"/>
        <v>#N/A</v>
      </c>
      <c r="Z65" s="11" t="e">
        <f t="shared" si="4"/>
        <v>#N/A</v>
      </c>
      <c r="AA65" s="22" t="e">
        <f t="shared" si="5"/>
        <v>#N/A</v>
      </c>
      <c r="AB65" s="21" t="e">
        <f t="shared" si="6"/>
        <v>#N/A</v>
      </c>
      <c r="AC65" s="21" t="e">
        <f t="shared" si="7"/>
        <v>#N/A</v>
      </c>
      <c r="AD65" s="11" t="e">
        <f t="shared" si="8"/>
        <v>#N/A</v>
      </c>
      <c r="AE65" s="22" t="e">
        <f t="shared" si="9"/>
        <v>#N/A</v>
      </c>
      <c r="AF65" s="21" t="e">
        <f t="shared" si="10"/>
        <v>#N/A</v>
      </c>
      <c r="AG65" s="21" t="e">
        <f t="shared" si="11"/>
        <v>#N/A</v>
      </c>
      <c r="AH65" s="11" t="e">
        <f t="shared" si="12"/>
        <v>#N/A</v>
      </c>
      <c r="AI65">
        <v>2.5000000000000001E-2</v>
      </c>
      <c r="AJ65">
        <v>-2.5000000000000001E-2</v>
      </c>
      <c r="AK65">
        <v>1.5E-3</v>
      </c>
      <c r="AL65">
        <v>-1.5E-3</v>
      </c>
      <c r="AM65">
        <v>1.5E-3</v>
      </c>
      <c r="AN65">
        <v>-1.5E-3</v>
      </c>
      <c r="AO65" s="16">
        <v>2.5000000000000001E-2</v>
      </c>
      <c r="AP65" s="16">
        <v>-2.5000000000000001E-2</v>
      </c>
      <c r="AQ65">
        <v>1.4999999999999999E-2</v>
      </c>
      <c r="AR65">
        <v>-1.4999999999999999E-2</v>
      </c>
      <c r="AS65">
        <v>1E-3</v>
      </c>
      <c r="AT65">
        <v>-1E-3</v>
      </c>
      <c r="AU65">
        <v>1E-3</v>
      </c>
      <c r="AV65">
        <v>-1E-3</v>
      </c>
      <c r="AW65" s="16">
        <v>1.4999999999999999E-2</v>
      </c>
      <c r="AX65" s="16">
        <v>-1.4999999999999999E-2</v>
      </c>
      <c r="JR65">
        <v>12.849506578947368</v>
      </c>
    </row>
    <row r="66" spans="6:278" customFormat="1">
      <c r="F66" s="17" t="str">
        <f t="shared" si="0"/>
        <v/>
      </c>
      <c r="G66" s="9"/>
      <c r="H66" s="2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22" t="e">
        <f t="shared" si="1"/>
        <v>#N/A</v>
      </c>
      <c r="X66" s="21" t="e">
        <f t="shared" si="2"/>
        <v>#N/A</v>
      </c>
      <c r="Y66" s="21" t="e">
        <f t="shared" si="3"/>
        <v>#N/A</v>
      </c>
      <c r="Z66" s="11" t="e">
        <f t="shared" si="4"/>
        <v>#N/A</v>
      </c>
      <c r="AA66" s="22" t="e">
        <f t="shared" si="5"/>
        <v>#N/A</v>
      </c>
      <c r="AB66" s="21" t="e">
        <f t="shared" si="6"/>
        <v>#N/A</v>
      </c>
      <c r="AC66" s="21" t="e">
        <f t="shared" si="7"/>
        <v>#N/A</v>
      </c>
      <c r="AD66" s="11" t="e">
        <f t="shared" si="8"/>
        <v>#N/A</v>
      </c>
      <c r="AE66" s="22" t="e">
        <f t="shared" si="9"/>
        <v>#N/A</v>
      </c>
      <c r="AF66" s="21" t="e">
        <f t="shared" si="10"/>
        <v>#N/A</v>
      </c>
      <c r="AG66" s="21" t="e">
        <f t="shared" si="11"/>
        <v>#N/A</v>
      </c>
      <c r="AH66" s="11" t="e">
        <f t="shared" si="12"/>
        <v>#N/A</v>
      </c>
      <c r="AI66">
        <v>2.5000000000000001E-2</v>
      </c>
      <c r="AJ66">
        <v>-2.5000000000000001E-2</v>
      </c>
      <c r="AK66">
        <v>1.5E-3</v>
      </c>
      <c r="AL66">
        <v>-1.5E-3</v>
      </c>
      <c r="AM66">
        <v>1.5E-3</v>
      </c>
      <c r="AN66">
        <v>-1.5E-3</v>
      </c>
      <c r="AO66" s="16">
        <v>2.5000000000000001E-2</v>
      </c>
      <c r="AP66" s="16">
        <v>-2.5000000000000001E-2</v>
      </c>
      <c r="AQ66">
        <v>1.4999999999999999E-2</v>
      </c>
      <c r="AR66">
        <v>-1.4999999999999999E-2</v>
      </c>
      <c r="AS66">
        <v>1E-3</v>
      </c>
      <c r="AT66">
        <v>-1E-3</v>
      </c>
      <c r="AU66">
        <v>1E-3</v>
      </c>
      <c r="AV66">
        <v>-1E-3</v>
      </c>
      <c r="AW66" s="16">
        <v>1.4999999999999999E-2</v>
      </c>
      <c r="AX66" s="16">
        <v>-1.4999999999999999E-2</v>
      </c>
      <c r="JR66">
        <v>24.187306501547987</v>
      </c>
    </row>
    <row r="67" spans="6:278" customFormat="1">
      <c r="F67" s="17" t="str">
        <f t="shared" si="0"/>
        <v/>
      </c>
      <c r="G67" s="9"/>
      <c r="H67" s="2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22" t="e">
        <f t="shared" si="1"/>
        <v>#N/A</v>
      </c>
      <c r="X67" s="21" t="e">
        <f t="shared" si="2"/>
        <v>#N/A</v>
      </c>
      <c r="Y67" s="21" t="e">
        <f t="shared" si="3"/>
        <v>#N/A</v>
      </c>
      <c r="Z67" s="11" t="e">
        <f t="shared" si="4"/>
        <v>#N/A</v>
      </c>
      <c r="AA67" s="22" t="e">
        <f t="shared" si="5"/>
        <v>#N/A</v>
      </c>
      <c r="AB67" s="21" t="e">
        <f t="shared" si="6"/>
        <v>#N/A</v>
      </c>
      <c r="AC67" s="21" t="e">
        <f t="shared" si="7"/>
        <v>#N/A</v>
      </c>
      <c r="AD67" s="11" t="e">
        <f t="shared" si="8"/>
        <v>#N/A</v>
      </c>
      <c r="AE67" s="22" t="e">
        <f t="shared" si="9"/>
        <v>#N/A</v>
      </c>
      <c r="AF67" s="21" t="e">
        <f t="shared" si="10"/>
        <v>#N/A</v>
      </c>
      <c r="AG67" s="21" t="e">
        <f t="shared" si="11"/>
        <v>#N/A</v>
      </c>
      <c r="AH67" s="11" t="e">
        <f t="shared" si="12"/>
        <v>#N/A</v>
      </c>
      <c r="AI67">
        <v>2.5000000000000001E-2</v>
      </c>
      <c r="AJ67">
        <v>-2.5000000000000001E-2</v>
      </c>
      <c r="AK67">
        <v>1.5E-3</v>
      </c>
      <c r="AL67">
        <v>-1.5E-3</v>
      </c>
      <c r="AM67">
        <v>1.5E-3</v>
      </c>
      <c r="AN67">
        <v>-1.5E-3</v>
      </c>
      <c r="AO67" s="16">
        <v>2.5000000000000001E-2</v>
      </c>
      <c r="AP67" s="16">
        <v>-2.5000000000000001E-2</v>
      </c>
      <c r="AQ67">
        <v>1.4999999999999999E-2</v>
      </c>
      <c r="AR67">
        <v>-1.4999999999999999E-2</v>
      </c>
      <c r="AS67">
        <v>1E-3</v>
      </c>
      <c r="AT67">
        <v>-1E-3</v>
      </c>
      <c r="AU67">
        <v>1E-3</v>
      </c>
      <c r="AV67">
        <v>-1E-3</v>
      </c>
      <c r="AW67" s="16">
        <v>1.4999999999999999E-2</v>
      </c>
      <c r="AX67" s="16">
        <v>-1.4999999999999999E-2</v>
      </c>
    </row>
    <row r="68" spans="6:278" customFormat="1">
      <c r="F68" s="17" t="str">
        <f t="shared" si="0"/>
        <v/>
      </c>
      <c r="G68" s="9"/>
      <c r="H68" s="2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22" t="e">
        <f t="shared" si="1"/>
        <v>#N/A</v>
      </c>
      <c r="X68" s="21" t="e">
        <f t="shared" si="2"/>
        <v>#N/A</v>
      </c>
      <c r="Y68" s="21" t="e">
        <f t="shared" si="3"/>
        <v>#N/A</v>
      </c>
      <c r="Z68" s="11" t="e">
        <f t="shared" si="4"/>
        <v>#N/A</v>
      </c>
      <c r="AA68" s="22" t="e">
        <f t="shared" si="5"/>
        <v>#N/A</v>
      </c>
      <c r="AB68" s="21" t="e">
        <f t="shared" si="6"/>
        <v>#N/A</v>
      </c>
      <c r="AC68" s="21" t="e">
        <f t="shared" si="7"/>
        <v>#N/A</v>
      </c>
      <c r="AD68" s="11" t="e">
        <f t="shared" si="8"/>
        <v>#N/A</v>
      </c>
      <c r="AE68" s="22" t="e">
        <f t="shared" si="9"/>
        <v>#N/A</v>
      </c>
      <c r="AF68" s="21" t="e">
        <f t="shared" si="10"/>
        <v>#N/A</v>
      </c>
      <c r="AG68" s="21" t="e">
        <f t="shared" si="11"/>
        <v>#N/A</v>
      </c>
      <c r="AH68" s="11" t="e">
        <f t="shared" si="12"/>
        <v>#N/A</v>
      </c>
      <c r="AI68">
        <v>2.5000000000000001E-2</v>
      </c>
      <c r="AJ68">
        <v>-2.5000000000000001E-2</v>
      </c>
      <c r="AK68">
        <v>1.5E-3</v>
      </c>
      <c r="AL68">
        <v>-1.5E-3</v>
      </c>
      <c r="AM68">
        <v>1.5E-3</v>
      </c>
      <c r="AN68">
        <v>-1.5E-3</v>
      </c>
      <c r="AO68" s="16">
        <v>2.5000000000000001E-2</v>
      </c>
      <c r="AP68" s="16">
        <v>-2.5000000000000001E-2</v>
      </c>
      <c r="AQ68">
        <v>1.4999999999999999E-2</v>
      </c>
      <c r="AR68">
        <v>-1.4999999999999999E-2</v>
      </c>
      <c r="AS68">
        <v>1E-3</v>
      </c>
      <c r="AT68">
        <v>-1E-3</v>
      </c>
      <c r="AU68">
        <v>1E-3</v>
      </c>
      <c r="AV68">
        <v>-1E-3</v>
      </c>
      <c r="AW68" s="16">
        <v>1.4999999999999999E-2</v>
      </c>
      <c r="AX68" s="16">
        <v>-1.4999999999999999E-2</v>
      </c>
    </row>
    <row r="69" spans="6:278" customFormat="1">
      <c r="F69" s="17" t="str">
        <f t="shared" si="0"/>
        <v/>
      </c>
      <c r="G69" s="9"/>
      <c r="H69" s="2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22" t="e">
        <f t="shared" si="1"/>
        <v>#N/A</v>
      </c>
      <c r="X69" s="21" t="e">
        <f t="shared" si="2"/>
        <v>#N/A</v>
      </c>
      <c r="Y69" s="21" t="e">
        <f t="shared" si="3"/>
        <v>#N/A</v>
      </c>
      <c r="Z69" s="11" t="e">
        <f t="shared" si="4"/>
        <v>#N/A</v>
      </c>
      <c r="AA69" s="22" t="e">
        <f t="shared" si="5"/>
        <v>#N/A</v>
      </c>
      <c r="AB69" s="21" t="e">
        <f t="shared" si="6"/>
        <v>#N/A</v>
      </c>
      <c r="AC69" s="21" t="e">
        <f t="shared" si="7"/>
        <v>#N/A</v>
      </c>
      <c r="AD69" s="11" t="e">
        <f t="shared" si="8"/>
        <v>#N/A</v>
      </c>
      <c r="AE69" s="22" t="e">
        <f t="shared" si="9"/>
        <v>#N/A</v>
      </c>
      <c r="AF69" s="21" t="e">
        <f t="shared" si="10"/>
        <v>#N/A</v>
      </c>
      <c r="AG69" s="21" t="e">
        <f t="shared" si="11"/>
        <v>#N/A</v>
      </c>
      <c r="AH69" s="11" t="e">
        <f t="shared" si="12"/>
        <v>#N/A</v>
      </c>
      <c r="AI69">
        <v>2.5000000000000001E-2</v>
      </c>
      <c r="AJ69">
        <v>-2.5000000000000001E-2</v>
      </c>
      <c r="AK69">
        <v>1.5E-3</v>
      </c>
      <c r="AL69">
        <v>-1.5E-3</v>
      </c>
      <c r="AM69">
        <v>1.5E-3</v>
      </c>
      <c r="AN69">
        <v>-1.5E-3</v>
      </c>
      <c r="AO69" s="16">
        <v>2.5000000000000001E-2</v>
      </c>
      <c r="AP69" s="16">
        <v>-2.5000000000000001E-2</v>
      </c>
      <c r="AQ69">
        <v>1.4999999999999999E-2</v>
      </c>
      <c r="AR69">
        <v>-1.4999999999999999E-2</v>
      </c>
      <c r="AS69">
        <v>1E-3</v>
      </c>
      <c r="AT69">
        <v>-1E-3</v>
      </c>
      <c r="AU69">
        <v>1E-3</v>
      </c>
      <c r="AV69">
        <v>-1E-3</v>
      </c>
      <c r="AW69" s="16">
        <v>1.4999999999999999E-2</v>
      </c>
      <c r="AX69" s="16">
        <v>-1.4999999999999999E-2</v>
      </c>
    </row>
    <row r="70" spans="6:278" customFormat="1">
      <c r="F70" s="17" t="str">
        <f t="shared" si="0"/>
        <v/>
      </c>
      <c r="G70" s="9"/>
      <c r="H70" s="2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22" t="e">
        <f t="shared" si="1"/>
        <v>#N/A</v>
      </c>
      <c r="X70" s="21" t="e">
        <f t="shared" si="2"/>
        <v>#N/A</v>
      </c>
      <c r="Y70" s="21" t="e">
        <f t="shared" si="3"/>
        <v>#N/A</v>
      </c>
      <c r="Z70" s="11" t="e">
        <f t="shared" si="4"/>
        <v>#N/A</v>
      </c>
      <c r="AA70" s="22" t="e">
        <f t="shared" si="5"/>
        <v>#N/A</v>
      </c>
      <c r="AB70" s="21" t="e">
        <f t="shared" si="6"/>
        <v>#N/A</v>
      </c>
      <c r="AC70" s="21" t="e">
        <f t="shared" si="7"/>
        <v>#N/A</v>
      </c>
      <c r="AD70" s="11" t="e">
        <f t="shared" si="8"/>
        <v>#N/A</v>
      </c>
      <c r="AE70" s="22" t="e">
        <f t="shared" si="9"/>
        <v>#N/A</v>
      </c>
      <c r="AF70" s="21" t="e">
        <f t="shared" si="10"/>
        <v>#N/A</v>
      </c>
      <c r="AG70" s="21" t="e">
        <f t="shared" si="11"/>
        <v>#N/A</v>
      </c>
      <c r="AH70" s="11" t="e">
        <f t="shared" si="12"/>
        <v>#N/A</v>
      </c>
      <c r="AI70">
        <v>2.5000000000000001E-2</v>
      </c>
      <c r="AJ70">
        <v>-2.5000000000000001E-2</v>
      </c>
      <c r="AK70">
        <v>1.5E-3</v>
      </c>
      <c r="AL70">
        <v>-1.5E-3</v>
      </c>
      <c r="AM70">
        <v>1.5E-3</v>
      </c>
      <c r="AN70">
        <v>-1.5E-3</v>
      </c>
      <c r="AO70" s="16">
        <v>2.5000000000000001E-2</v>
      </c>
      <c r="AP70" s="16">
        <v>-2.5000000000000001E-2</v>
      </c>
      <c r="AQ70">
        <v>1.4999999999999999E-2</v>
      </c>
      <c r="AR70">
        <v>-1.4999999999999999E-2</v>
      </c>
      <c r="AS70">
        <v>1E-3</v>
      </c>
      <c r="AT70">
        <v>-1E-3</v>
      </c>
      <c r="AU70">
        <v>1E-3</v>
      </c>
      <c r="AV70">
        <v>-1E-3</v>
      </c>
      <c r="AW70" s="16">
        <v>1.4999999999999999E-2</v>
      </c>
      <c r="AX70" s="16">
        <v>-1.4999999999999999E-2</v>
      </c>
    </row>
    <row r="71" spans="6:278" customFormat="1">
      <c r="F71" s="17" t="str">
        <f t="shared" ref="F71:F100" si="13">IF(G71="","",G71)</f>
        <v/>
      </c>
      <c r="G71" s="9"/>
      <c r="H71" s="2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22" t="e">
        <f t="shared" ref="W71:W100" si="14">IF(H71="",NA(),I71-VLOOKUP(H71,$A$6:$E$35,2,FALSE))</f>
        <v>#N/A</v>
      </c>
      <c r="X71" s="21" t="e">
        <f t="shared" ref="X71:X100" si="15">IF(H71="",NA(),J71-VLOOKUP(H71,$A$6:$E$35,3,FALSE))</f>
        <v>#N/A</v>
      </c>
      <c r="Y71" s="21" t="e">
        <f t="shared" ref="Y71:Y100" si="16">IF(H71="",NA(),K71-VLOOKUP(H71,$A$6:$E$35,4,FALSE))</f>
        <v>#N/A</v>
      </c>
      <c r="Z71" s="11" t="e">
        <f t="shared" ref="Z71:Z100" si="17">IF(H71="",NA(),L71/VLOOKUP(H71,$A$6:$E$35,5,FALSE)-1)</f>
        <v>#N/A</v>
      </c>
      <c r="AA71" s="22" t="e">
        <f t="shared" ref="AA71:AA100" si="18">IF(M71="",NA(),N71-VLOOKUP(M71,$A$6:$E$35,2,FALSE))</f>
        <v>#N/A</v>
      </c>
      <c r="AB71" s="21" t="e">
        <f t="shared" ref="AB71:AB100" si="19">IF(M71="",NA(),O71-VLOOKUP(M71,$A$6:$E$35,3,FALSE))</f>
        <v>#N/A</v>
      </c>
      <c r="AC71" s="21" t="e">
        <f t="shared" ref="AC71:AC100" si="20">IF(M71="",NA(),P71-VLOOKUP(M71,$A$6:$E$35,4,FALSE))</f>
        <v>#N/A</v>
      </c>
      <c r="AD71" s="11" t="e">
        <f t="shared" ref="AD71:AD100" si="21">IF(M71="",NA(),Q71/VLOOKUP(M71,$A$6:$E$35,5,FALSE)-1)</f>
        <v>#N/A</v>
      </c>
      <c r="AE71" s="22" t="e">
        <f t="shared" ref="AE71:AE100" si="22">IF(R71="",NA(),S71-VLOOKUP(R71,$A$6:$E$35,2,FALSE))</f>
        <v>#N/A</v>
      </c>
      <c r="AF71" s="21" t="e">
        <f t="shared" ref="AF71:AF100" si="23">IF(R71="",NA(),T71-VLOOKUP(R71,$A$6:$E$35,3,FALSE))</f>
        <v>#N/A</v>
      </c>
      <c r="AG71" s="21" t="e">
        <f t="shared" ref="AG71:AG100" si="24">IF(R71="",NA(),U71-VLOOKUP(R71,$A$6:$E$35,4,FALSE))</f>
        <v>#N/A</v>
      </c>
      <c r="AH71" s="11" t="e">
        <f t="shared" ref="AH71:AH100" si="25">IF(R71="",NA(),V71/VLOOKUP(R71,$A$6:$E$35,5,FALSE)-1)</f>
        <v>#N/A</v>
      </c>
      <c r="AI71">
        <v>2.5000000000000001E-2</v>
      </c>
      <c r="AJ71">
        <v>-2.5000000000000001E-2</v>
      </c>
      <c r="AK71">
        <v>1.5E-3</v>
      </c>
      <c r="AL71">
        <v>-1.5E-3</v>
      </c>
      <c r="AM71">
        <v>1.5E-3</v>
      </c>
      <c r="AN71">
        <v>-1.5E-3</v>
      </c>
      <c r="AO71" s="16">
        <v>2.5000000000000001E-2</v>
      </c>
      <c r="AP71" s="16">
        <v>-2.5000000000000001E-2</v>
      </c>
      <c r="AQ71">
        <v>1.4999999999999999E-2</v>
      </c>
      <c r="AR71">
        <v>-1.4999999999999999E-2</v>
      </c>
      <c r="AS71">
        <v>1E-3</v>
      </c>
      <c r="AT71">
        <v>-1E-3</v>
      </c>
      <c r="AU71">
        <v>1E-3</v>
      </c>
      <c r="AV71">
        <v>-1E-3</v>
      </c>
      <c r="AW71" s="16">
        <v>1.4999999999999999E-2</v>
      </c>
      <c r="AX71" s="16">
        <v>-1.4999999999999999E-2</v>
      </c>
    </row>
    <row r="72" spans="6:278" customFormat="1">
      <c r="F72" s="17" t="str">
        <f t="shared" si="13"/>
        <v/>
      </c>
      <c r="G72" s="9"/>
      <c r="H72" s="2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22" t="e">
        <f t="shared" si="14"/>
        <v>#N/A</v>
      </c>
      <c r="X72" s="21" t="e">
        <f t="shared" si="15"/>
        <v>#N/A</v>
      </c>
      <c r="Y72" s="21" t="e">
        <f t="shared" si="16"/>
        <v>#N/A</v>
      </c>
      <c r="Z72" s="11" t="e">
        <f t="shared" si="17"/>
        <v>#N/A</v>
      </c>
      <c r="AA72" s="22" t="e">
        <f t="shared" si="18"/>
        <v>#N/A</v>
      </c>
      <c r="AB72" s="21" t="e">
        <f t="shared" si="19"/>
        <v>#N/A</v>
      </c>
      <c r="AC72" s="21" t="e">
        <f t="shared" si="20"/>
        <v>#N/A</v>
      </c>
      <c r="AD72" s="11" t="e">
        <f t="shared" si="21"/>
        <v>#N/A</v>
      </c>
      <c r="AE72" s="22" t="e">
        <f t="shared" si="22"/>
        <v>#N/A</v>
      </c>
      <c r="AF72" s="21" t="e">
        <f t="shared" si="23"/>
        <v>#N/A</v>
      </c>
      <c r="AG72" s="21" t="e">
        <f t="shared" si="24"/>
        <v>#N/A</v>
      </c>
      <c r="AH72" s="11" t="e">
        <f t="shared" si="25"/>
        <v>#N/A</v>
      </c>
      <c r="AI72">
        <v>2.5000000000000001E-2</v>
      </c>
      <c r="AJ72">
        <v>-2.5000000000000001E-2</v>
      </c>
      <c r="AK72">
        <v>1.5E-3</v>
      </c>
      <c r="AL72">
        <v>-1.5E-3</v>
      </c>
      <c r="AM72">
        <v>1.5E-3</v>
      </c>
      <c r="AN72">
        <v>-1.5E-3</v>
      </c>
      <c r="AO72" s="16">
        <v>2.5000000000000001E-2</v>
      </c>
      <c r="AP72" s="16">
        <v>-2.5000000000000001E-2</v>
      </c>
      <c r="AQ72">
        <v>1.4999999999999999E-2</v>
      </c>
      <c r="AR72">
        <v>-1.4999999999999999E-2</v>
      </c>
      <c r="AS72">
        <v>1E-3</v>
      </c>
      <c r="AT72">
        <v>-1E-3</v>
      </c>
      <c r="AU72">
        <v>1E-3</v>
      </c>
      <c r="AV72">
        <v>-1E-3</v>
      </c>
      <c r="AW72" s="16">
        <v>1.4999999999999999E-2</v>
      </c>
      <c r="AX72" s="16">
        <v>-1.4999999999999999E-2</v>
      </c>
    </row>
    <row r="73" spans="6:278" customFormat="1">
      <c r="F73" s="17" t="str">
        <f t="shared" si="13"/>
        <v/>
      </c>
      <c r="G73" s="4"/>
      <c r="H73" s="2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22" t="e">
        <f t="shared" si="14"/>
        <v>#N/A</v>
      </c>
      <c r="X73" s="21" t="e">
        <f t="shared" si="15"/>
        <v>#N/A</v>
      </c>
      <c r="Y73" s="21" t="e">
        <f t="shared" si="16"/>
        <v>#N/A</v>
      </c>
      <c r="Z73" s="11" t="e">
        <f t="shared" si="17"/>
        <v>#N/A</v>
      </c>
      <c r="AA73" s="22" t="e">
        <f t="shared" si="18"/>
        <v>#N/A</v>
      </c>
      <c r="AB73" s="21" t="e">
        <f t="shared" si="19"/>
        <v>#N/A</v>
      </c>
      <c r="AC73" s="21" t="e">
        <f t="shared" si="20"/>
        <v>#N/A</v>
      </c>
      <c r="AD73" s="11" t="e">
        <f t="shared" si="21"/>
        <v>#N/A</v>
      </c>
      <c r="AE73" s="22" t="e">
        <f t="shared" si="22"/>
        <v>#N/A</v>
      </c>
      <c r="AF73" s="21" t="e">
        <f t="shared" si="23"/>
        <v>#N/A</v>
      </c>
      <c r="AG73" s="21" t="e">
        <f t="shared" si="24"/>
        <v>#N/A</v>
      </c>
      <c r="AH73" s="11" t="e">
        <f t="shared" si="25"/>
        <v>#N/A</v>
      </c>
      <c r="AI73">
        <v>2.5000000000000001E-2</v>
      </c>
      <c r="AJ73">
        <v>-2.5000000000000001E-2</v>
      </c>
      <c r="AK73">
        <v>1.5E-3</v>
      </c>
      <c r="AL73">
        <v>-1.5E-3</v>
      </c>
      <c r="AM73">
        <v>1.5E-3</v>
      </c>
      <c r="AN73">
        <v>-1.5E-3</v>
      </c>
      <c r="AO73" s="16">
        <v>2.5000000000000001E-2</v>
      </c>
      <c r="AP73" s="16">
        <v>-2.5000000000000001E-2</v>
      </c>
      <c r="AQ73">
        <v>1.4999999999999999E-2</v>
      </c>
      <c r="AR73">
        <v>-1.4999999999999999E-2</v>
      </c>
      <c r="AS73">
        <v>1E-3</v>
      </c>
      <c r="AT73">
        <v>-1E-3</v>
      </c>
      <c r="AU73">
        <v>1E-3</v>
      </c>
      <c r="AV73">
        <v>-1E-3</v>
      </c>
      <c r="AW73" s="16">
        <v>1.4999999999999999E-2</v>
      </c>
      <c r="AX73" s="16">
        <v>-1.4999999999999999E-2</v>
      </c>
    </row>
    <row r="74" spans="6:278" customFormat="1">
      <c r="F74" s="17" t="str">
        <f t="shared" si="13"/>
        <v/>
      </c>
      <c r="G74" s="4"/>
      <c r="H74" s="2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22" t="e">
        <f t="shared" si="14"/>
        <v>#N/A</v>
      </c>
      <c r="X74" s="21" t="e">
        <f t="shared" si="15"/>
        <v>#N/A</v>
      </c>
      <c r="Y74" s="21" t="e">
        <f t="shared" si="16"/>
        <v>#N/A</v>
      </c>
      <c r="Z74" s="11" t="e">
        <f t="shared" si="17"/>
        <v>#N/A</v>
      </c>
      <c r="AA74" s="22" t="e">
        <f t="shared" si="18"/>
        <v>#N/A</v>
      </c>
      <c r="AB74" s="21" t="e">
        <f t="shared" si="19"/>
        <v>#N/A</v>
      </c>
      <c r="AC74" s="21" t="e">
        <f t="shared" si="20"/>
        <v>#N/A</v>
      </c>
      <c r="AD74" s="11" t="e">
        <f t="shared" si="21"/>
        <v>#N/A</v>
      </c>
      <c r="AE74" s="22" t="e">
        <f t="shared" si="22"/>
        <v>#N/A</v>
      </c>
      <c r="AF74" s="21" t="e">
        <f t="shared" si="23"/>
        <v>#N/A</v>
      </c>
      <c r="AG74" s="21" t="e">
        <f t="shared" si="24"/>
        <v>#N/A</v>
      </c>
      <c r="AH74" s="11" t="e">
        <f t="shared" si="25"/>
        <v>#N/A</v>
      </c>
      <c r="AI74">
        <v>2.5000000000000001E-2</v>
      </c>
      <c r="AJ74">
        <v>-2.5000000000000001E-2</v>
      </c>
      <c r="AK74">
        <v>1.5E-3</v>
      </c>
      <c r="AL74">
        <v>-1.5E-3</v>
      </c>
      <c r="AM74">
        <v>1.5E-3</v>
      </c>
      <c r="AN74">
        <v>-1.5E-3</v>
      </c>
      <c r="AO74" s="16">
        <v>2.5000000000000001E-2</v>
      </c>
      <c r="AP74" s="16">
        <v>-2.5000000000000001E-2</v>
      </c>
      <c r="AQ74">
        <v>1.4999999999999999E-2</v>
      </c>
      <c r="AR74">
        <v>-1.4999999999999999E-2</v>
      </c>
      <c r="AS74">
        <v>1E-3</v>
      </c>
      <c r="AT74">
        <v>-1E-3</v>
      </c>
      <c r="AU74">
        <v>1E-3</v>
      </c>
      <c r="AV74">
        <v>-1E-3</v>
      </c>
      <c r="AW74" s="16">
        <v>1.4999999999999999E-2</v>
      </c>
      <c r="AX74" s="16">
        <v>-1.4999999999999999E-2</v>
      </c>
    </row>
    <row r="75" spans="6:278" customFormat="1">
      <c r="F75" s="17" t="str">
        <f t="shared" si="13"/>
        <v/>
      </c>
      <c r="G75" s="4"/>
      <c r="H75" s="2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22" t="e">
        <f t="shared" si="14"/>
        <v>#N/A</v>
      </c>
      <c r="X75" s="21" t="e">
        <f t="shared" si="15"/>
        <v>#N/A</v>
      </c>
      <c r="Y75" s="21" t="e">
        <f t="shared" si="16"/>
        <v>#N/A</v>
      </c>
      <c r="Z75" s="11" t="e">
        <f t="shared" si="17"/>
        <v>#N/A</v>
      </c>
      <c r="AA75" s="22" t="e">
        <f t="shared" si="18"/>
        <v>#N/A</v>
      </c>
      <c r="AB75" s="21" t="e">
        <f t="shared" si="19"/>
        <v>#N/A</v>
      </c>
      <c r="AC75" s="21" t="e">
        <f t="shared" si="20"/>
        <v>#N/A</v>
      </c>
      <c r="AD75" s="11" t="e">
        <f t="shared" si="21"/>
        <v>#N/A</v>
      </c>
      <c r="AE75" s="22" t="e">
        <f t="shared" si="22"/>
        <v>#N/A</v>
      </c>
      <c r="AF75" s="21" t="e">
        <f t="shared" si="23"/>
        <v>#N/A</v>
      </c>
      <c r="AG75" s="21" t="e">
        <f t="shared" si="24"/>
        <v>#N/A</v>
      </c>
      <c r="AH75" s="11" t="e">
        <f t="shared" si="25"/>
        <v>#N/A</v>
      </c>
      <c r="AI75">
        <v>2.5000000000000001E-2</v>
      </c>
      <c r="AJ75">
        <v>-2.5000000000000001E-2</v>
      </c>
      <c r="AK75">
        <v>1.5E-3</v>
      </c>
      <c r="AL75">
        <v>-1.5E-3</v>
      </c>
      <c r="AM75">
        <v>1.5E-3</v>
      </c>
      <c r="AN75">
        <v>-1.5E-3</v>
      </c>
      <c r="AO75" s="16">
        <v>2.5000000000000001E-2</v>
      </c>
      <c r="AP75" s="16">
        <v>-2.5000000000000001E-2</v>
      </c>
      <c r="AQ75">
        <v>1.4999999999999999E-2</v>
      </c>
      <c r="AR75">
        <v>-1.4999999999999999E-2</v>
      </c>
      <c r="AS75">
        <v>1E-3</v>
      </c>
      <c r="AT75">
        <v>-1E-3</v>
      </c>
      <c r="AU75">
        <v>1E-3</v>
      </c>
      <c r="AV75">
        <v>-1E-3</v>
      </c>
      <c r="AW75" s="16">
        <v>1.4999999999999999E-2</v>
      </c>
      <c r="AX75" s="16">
        <v>-1.4999999999999999E-2</v>
      </c>
    </row>
    <row r="76" spans="6:278" customFormat="1">
      <c r="F76" s="17" t="str">
        <f t="shared" si="13"/>
        <v/>
      </c>
      <c r="G76" s="4"/>
      <c r="H76" s="2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22" t="e">
        <f t="shared" si="14"/>
        <v>#N/A</v>
      </c>
      <c r="X76" s="21" t="e">
        <f t="shared" si="15"/>
        <v>#N/A</v>
      </c>
      <c r="Y76" s="21" t="e">
        <f t="shared" si="16"/>
        <v>#N/A</v>
      </c>
      <c r="Z76" s="11" t="e">
        <f t="shared" si="17"/>
        <v>#N/A</v>
      </c>
      <c r="AA76" s="22" t="e">
        <f t="shared" si="18"/>
        <v>#N/A</v>
      </c>
      <c r="AB76" s="21" t="e">
        <f t="shared" si="19"/>
        <v>#N/A</v>
      </c>
      <c r="AC76" s="21" t="e">
        <f t="shared" si="20"/>
        <v>#N/A</v>
      </c>
      <c r="AD76" s="11" t="e">
        <f t="shared" si="21"/>
        <v>#N/A</v>
      </c>
      <c r="AE76" s="22" t="e">
        <f t="shared" si="22"/>
        <v>#N/A</v>
      </c>
      <c r="AF76" s="21" t="e">
        <f t="shared" si="23"/>
        <v>#N/A</v>
      </c>
      <c r="AG76" s="21" t="e">
        <f t="shared" si="24"/>
        <v>#N/A</v>
      </c>
      <c r="AH76" s="11" t="e">
        <f t="shared" si="25"/>
        <v>#N/A</v>
      </c>
      <c r="AI76">
        <v>2.5000000000000001E-2</v>
      </c>
      <c r="AJ76">
        <v>-2.5000000000000001E-2</v>
      </c>
      <c r="AK76">
        <v>1.5E-3</v>
      </c>
      <c r="AL76">
        <v>-1.5E-3</v>
      </c>
      <c r="AM76">
        <v>1.5E-3</v>
      </c>
      <c r="AN76">
        <v>-1.5E-3</v>
      </c>
      <c r="AO76" s="16">
        <v>2.5000000000000001E-2</v>
      </c>
      <c r="AP76" s="16">
        <v>-2.5000000000000001E-2</v>
      </c>
      <c r="AQ76">
        <v>1.4999999999999999E-2</v>
      </c>
      <c r="AR76">
        <v>-1.4999999999999999E-2</v>
      </c>
      <c r="AS76">
        <v>1E-3</v>
      </c>
      <c r="AT76">
        <v>-1E-3</v>
      </c>
      <c r="AU76">
        <v>1E-3</v>
      </c>
      <c r="AV76">
        <v>-1E-3</v>
      </c>
      <c r="AW76" s="16">
        <v>1.4999999999999999E-2</v>
      </c>
      <c r="AX76" s="16">
        <v>-1.4999999999999999E-2</v>
      </c>
    </row>
    <row r="77" spans="6:278" customFormat="1">
      <c r="F77" s="17" t="str">
        <f t="shared" si="13"/>
        <v/>
      </c>
      <c r="G77" s="4"/>
      <c r="H77" s="2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22" t="e">
        <f t="shared" si="14"/>
        <v>#N/A</v>
      </c>
      <c r="X77" s="21" t="e">
        <f t="shared" si="15"/>
        <v>#N/A</v>
      </c>
      <c r="Y77" s="21" t="e">
        <f t="shared" si="16"/>
        <v>#N/A</v>
      </c>
      <c r="Z77" s="11" t="e">
        <f t="shared" si="17"/>
        <v>#N/A</v>
      </c>
      <c r="AA77" s="22" t="e">
        <f t="shared" si="18"/>
        <v>#N/A</v>
      </c>
      <c r="AB77" s="21" t="e">
        <f t="shared" si="19"/>
        <v>#N/A</v>
      </c>
      <c r="AC77" s="21" t="e">
        <f t="shared" si="20"/>
        <v>#N/A</v>
      </c>
      <c r="AD77" s="11" t="e">
        <f t="shared" si="21"/>
        <v>#N/A</v>
      </c>
      <c r="AE77" s="22" t="e">
        <f t="shared" si="22"/>
        <v>#N/A</v>
      </c>
      <c r="AF77" s="21" t="e">
        <f t="shared" si="23"/>
        <v>#N/A</v>
      </c>
      <c r="AG77" s="21" t="e">
        <f t="shared" si="24"/>
        <v>#N/A</v>
      </c>
      <c r="AH77" s="11" t="e">
        <f t="shared" si="25"/>
        <v>#N/A</v>
      </c>
      <c r="AI77">
        <v>2.5000000000000001E-2</v>
      </c>
      <c r="AJ77">
        <v>-2.5000000000000001E-2</v>
      </c>
      <c r="AK77">
        <v>1.5E-3</v>
      </c>
      <c r="AL77">
        <v>-1.5E-3</v>
      </c>
      <c r="AM77">
        <v>1.5E-3</v>
      </c>
      <c r="AN77">
        <v>-1.5E-3</v>
      </c>
      <c r="AO77" s="16">
        <v>2.5000000000000001E-2</v>
      </c>
      <c r="AP77" s="16">
        <v>-2.5000000000000001E-2</v>
      </c>
      <c r="AQ77">
        <v>1.4999999999999999E-2</v>
      </c>
      <c r="AR77">
        <v>-1.4999999999999999E-2</v>
      </c>
      <c r="AS77">
        <v>1E-3</v>
      </c>
      <c r="AT77">
        <v>-1E-3</v>
      </c>
      <c r="AU77">
        <v>1E-3</v>
      </c>
      <c r="AV77">
        <v>-1E-3</v>
      </c>
      <c r="AW77" s="16">
        <v>1.4999999999999999E-2</v>
      </c>
      <c r="AX77" s="16">
        <v>-1.4999999999999999E-2</v>
      </c>
    </row>
    <row r="78" spans="6:278" customFormat="1">
      <c r="F78" s="17" t="str">
        <f t="shared" si="13"/>
        <v/>
      </c>
      <c r="G78" s="4"/>
      <c r="H78" s="2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22" t="e">
        <f t="shared" si="14"/>
        <v>#N/A</v>
      </c>
      <c r="X78" s="21" t="e">
        <f t="shared" si="15"/>
        <v>#N/A</v>
      </c>
      <c r="Y78" s="21" t="e">
        <f t="shared" si="16"/>
        <v>#N/A</v>
      </c>
      <c r="Z78" s="11" t="e">
        <f t="shared" si="17"/>
        <v>#N/A</v>
      </c>
      <c r="AA78" s="22" t="e">
        <f t="shared" si="18"/>
        <v>#N/A</v>
      </c>
      <c r="AB78" s="21" t="e">
        <f t="shared" si="19"/>
        <v>#N/A</v>
      </c>
      <c r="AC78" s="21" t="e">
        <f t="shared" si="20"/>
        <v>#N/A</v>
      </c>
      <c r="AD78" s="11" t="e">
        <f t="shared" si="21"/>
        <v>#N/A</v>
      </c>
      <c r="AE78" s="22" t="e">
        <f t="shared" si="22"/>
        <v>#N/A</v>
      </c>
      <c r="AF78" s="21" t="e">
        <f t="shared" si="23"/>
        <v>#N/A</v>
      </c>
      <c r="AG78" s="21" t="e">
        <f t="shared" si="24"/>
        <v>#N/A</v>
      </c>
      <c r="AH78" s="11" t="e">
        <f t="shared" si="25"/>
        <v>#N/A</v>
      </c>
      <c r="AI78">
        <v>2.5000000000000001E-2</v>
      </c>
      <c r="AJ78">
        <v>-2.5000000000000001E-2</v>
      </c>
      <c r="AK78">
        <v>1.5E-3</v>
      </c>
      <c r="AL78">
        <v>-1.5E-3</v>
      </c>
      <c r="AM78">
        <v>1.5E-3</v>
      </c>
      <c r="AN78">
        <v>-1.5E-3</v>
      </c>
      <c r="AO78" s="16">
        <v>2.5000000000000001E-2</v>
      </c>
      <c r="AP78" s="16">
        <v>-2.5000000000000001E-2</v>
      </c>
      <c r="AQ78">
        <v>1.4999999999999999E-2</v>
      </c>
      <c r="AR78">
        <v>-1.4999999999999999E-2</v>
      </c>
      <c r="AS78">
        <v>1E-3</v>
      </c>
      <c r="AT78">
        <v>-1E-3</v>
      </c>
      <c r="AU78">
        <v>1E-3</v>
      </c>
      <c r="AV78">
        <v>-1E-3</v>
      </c>
      <c r="AW78" s="16">
        <v>1.4999999999999999E-2</v>
      </c>
      <c r="AX78" s="16">
        <v>-1.4999999999999999E-2</v>
      </c>
    </row>
    <row r="79" spans="6:278" customFormat="1">
      <c r="F79" s="17" t="str">
        <f t="shared" si="13"/>
        <v/>
      </c>
      <c r="G79" s="4"/>
      <c r="H79" s="2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22" t="e">
        <f t="shared" si="14"/>
        <v>#N/A</v>
      </c>
      <c r="X79" s="21" t="e">
        <f t="shared" si="15"/>
        <v>#N/A</v>
      </c>
      <c r="Y79" s="21" t="e">
        <f t="shared" si="16"/>
        <v>#N/A</v>
      </c>
      <c r="Z79" s="11" t="e">
        <f t="shared" si="17"/>
        <v>#N/A</v>
      </c>
      <c r="AA79" s="22" t="e">
        <f t="shared" si="18"/>
        <v>#N/A</v>
      </c>
      <c r="AB79" s="21" t="e">
        <f t="shared" si="19"/>
        <v>#N/A</v>
      </c>
      <c r="AC79" s="21" t="e">
        <f t="shared" si="20"/>
        <v>#N/A</v>
      </c>
      <c r="AD79" s="11" t="e">
        <f t="shared" si="21"/>
        <v>#N/A</v>
      </c>
      <c r="AE79" s="22" t="e">
        <f t="shared" si="22"/>
        <v>#N/A</v>
      </c>
      <c r="AF79" s="21" t="e">
        <f t="shared" si="23"/>
        <v>#N/A</v>
      </c>
      <c r="AG79" s="21" t="e">
        <f t="shared" si="24"/>
        <v>#N/A</v>
      </c>
      <c r="AH79" s="11" t="e">
        <f t="shared" si="25"/>
        <v>#N/A</v>
      </c>
      <c r="AI79">
        <v>2.5000000000000001E-2</v>
      </c>
      <c r="AJ79">
        <v>-2.5000000000000001E-2</v>
      </c>
      <c r="AK79">
        <v>1.5E-3</v>
      </c>
      <c r="AL79">
        <v>-1.5E-3</v>
      </c>
      <c r="AM79">
        <v>1.5E-3</v>
      </c>
      <c r="AN79">
        <v>-1.5E-3</v>
      </c>
      <c r="AO79" s="16">
        <v>2.5000000000000001E-2</v>
      </c>
      <c r="AP79" s="16">
        <v>-2.5000000000000001E-2</v>
      </c>
      <c r="AQ79">
        <v>1.4999999999999999E-2</v>
      </c>
      <c r="AR79">
        <v>-1.4999999999999999E-2</v>
      </c>
      <c r="AS79">
        <v>1E-3</v>
      </c>
      <c r="AT79">
        <v>-1E-3</v>
      </c>
      <c r="AU79">
        <v>1E-3</v>
      </c>
      <c r="AV79">
        <v>-1E-3</v>
      </c>
      <c r="AW79" s="16">
        <v>1.4999999999999999E-2</v>
      </c>
      <c r="AX79" s="16">
        <v>-1.4999999999999999E-2</v>
      </c>
    </row>
    <row r="80" spans="6:278" customFormat="1">
      <c r="F80" s="17" t="str">
        <f t="shared" si="13"/>
        <v/>
      </c>
      <c r="G80" s="4"/>
      <c r="H80" s="2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22" t="e">
        <f t="shared" si="14"/>
        <v>#N/A</v>
      </c>
      <c r="X80" s="21" t="e">
        <f t="shared" si="15"/>
        <v>#N/A</v>
      </c>
      <c r="Y80" s="21" t="e">
        <f t="shared" si="16"/>
        <v>#N/A</v>
      </c>
      <c r="Z80" s="11" t="e">
        <f t="shared" si="17"/>
        <v>#N/A</v>
      </c>
      <c r="AA80" s="22" t="e">
        <f t="shared" si="18"/>
        <v>#N/A</v>
      </c>
      <c r="AB80" s="21" t="e">
        <f t="shared" si="19"/>
        <v>#N/A</v>
      </c>
      <c r="AC80" s="21" t="e">
        <f t="shared" si="20"/>
        <v>#N/A</v>
      </c>
      <c r="AD80" s="11" t="e">
        <f t="shared" si="21"/>
        <v>#N/A</v>
      </c>
      <c r="AE80" s="22" t="e">
        <f t="shared" si="22"/>
        <v>#N/A</v>
      </c>
      <c r="AF80" s="21" t="e">
        <f t="shared" si="23"/>
        <v>#N/A</v>
      </c>
      <c r="AG80" s="21" t="e">
        <f t="shared" si="24"/>
        <v>#N/A</v>
      </c>
      <c r="AH80" s="11" t="e">
        <f t="shared" si="25"/>
        <v>#N/A</v>
      </c>
      <c r="AI80">
        <v>2.5000000000000001E-2</v>
      </c>
      <c r="AJ80">
        <v>-2.5000000000000001E-2</v>
      </c>
      <c r="AK80">
        <v>1.5E-3</v>
      </c>
      <c r="AL80">
        <v>-1.5E-3</v>
      </c>
      <c r="AM80">
        <v>1.5E-3</v>
      </c>
      <c r="AN80">
        <v>-1.5E-3</v>
      </c>
      <c r="AO80" s="16">
        <v>2.5000000000000001E-2</v>
      </c>
      <c r="AP80" s="16">
        <v>-2.5000000000000001E-2</v>
      </c>
      <c r="AQ80">
        <v>1.4999999999999999E-2</v>
      </c>
      <c r="AR80">
        <v>-1.4999999999999999E-2</v>
      </c>
      <c r="AS80">
        <v>1E-3</v>
      </c>
      <c r="AT80">
        <v>-1E-3</v>
      </c>
      <c r="AU80">
        <v>1E-3</v>
      </c>
      <c r="AV80">
        <v>-1E-3</v>
      </c>
      <c r="AW80" s="16">
        <v>1.4999999999999999E-2</v>
      </c>
      <c r="AX80" s="16">
        <v>-1.4999999999999999E-2</v>
      </c>
    </row>
    <row r="81" spans="6:50">
      <c r="F81" s="17" t="str">
        <f t="shared" si="13"/>
        <v/>
      </c>
      <c r="G81" s="4"/>
      <c r="H81" s="2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22" t="e">
        <f t="shared" si="14"/>
        <v>#N/A</v>
      </c>
      <c r="X81" s="21" t="e">
        <f t="shared" si="15"/>
        <v>#N/A</v>
      </c>
      <c r="Y81" s="21" t="e">
        <f t="shared" si="16"/>
        <v>#N/A</v>
      </c>
      <c r="Z81" s="11" t="e">
        <f t="shared" si="17"/>
        <v>#N/A</v>
      </c>
      <c r="AA81" s="22" t="e">
        <f t="shared" si="18"/>
        <v>#N/A</v>
      </c>
      <c r="AB81" s="21" t="e">
        <f t="shared" si="19"/>
        <v>#N/A</v>
      </c>
      <c r="AC81" s="21" t="e">
        <f t="shared" si="20"/>
        <v>#N/A</v>
      </c>
      <c r="AD81" s="11" t="e">
        <f t="shared" si="21"/>
        <v>#N/A</v>
      </c>
      <c r="AE81" s="22" t="e">
        <f t="shared" si="22"/>
        <v>#N/A</v>
      </c>
      <c r="AF81" s="21" t="e">
        <f t="shared" si="23"/>
        <v>#N/A</v>
      </c>
      <c r="AG81" s="21" t="e">
        <f t="shared" si="24"/>
        <v>#N/A</v>
      </c>
      <c r="AH81" s="11" t="e">
        <f t="shared" si="25"/>
        <v>#N/A</v>
      </c>
      <c r="AI81">
        <v>2.5000000000000001E-2</v>
      </c>
      <c r="AJ81">
        <v>-2.5000000000000001E-2</v>
      </c>
      <c r="AK81">
        <v>1.5E-3</v>
      </c>
      <c r="AL81">
        <v>-1.5E-3</v>
      </c>
      <c r="AM81">
        <v>1.5E-3</v>
      </c>
      <c r="AN81">
        <v>-1.5E-3</v>
      </c>
      <c r="AO81" s="16">
        <v>2.5000000000000001E-2</v>
      </c>
      <c r="AP81" s="16">
        <v>-2.5000000000000001E-2</v>
      </c>
      <c r="AQ81">
        <v>1.4999999999999999E-2</v>
      </c>
      <c r="AR81">
        <v>-1.4999999999999999E-2</v>
      </c>
      <c r="AS81">
        <v>1E-3</v>
      </c>
      <c r="AT81">
        <v>-1E-3</v>
      </c>
      <c r="AU81">
        <v>1E-3</v>
      </c>
      <c r="AV81">
        <v>-1E-3</v>
      </c>
      <c r="AW81" s="16">
        <v>1.4999999999999999E-2</v>
      </c>
      <c r="AX81" s="16">
        <v>-1.4999999999999999E-2</v>
      </c>
    </row>
    <row r="82" spans="6:50">
      <c r="F82" s="17" t="str">
        <f t="shared" si="13"/>
        <v/>
      </c>
      <c r="G82" s="4"/>
      <c r="H82" s="2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22" t="e">
        <f t="shared" si="14"/>
        <v>#N/A</v>
      </c>
      <c r="X82" s="21" t="e">
        <f t="shared" si="15"/>
        <v>#N/A</v>
      </c>
      <c r="Y82" s="21" t="e">
        <f t="shared" si="16"/>
        <v>#N/A</v>
      </c>
      <c r="Z82" s="11" t="e">
        <f t="shared" si="17"/>
        <v>#N/A</v>
      </c>
      <c r="AA82" s="22" t="e">
        <f t="shared" si="18"/>
        <v>#N/A</v>
      </c>
      <c r="AB82" s="21" t="e">
        <f t="shared" si="19"/>
        <v>#N/A</v>
      </c>
      <c r="AC82" s="21" t="e">
        <f t="shared" si="20"/>
        <v>#N/A</v>
      </c>
      <c r="AD82" s="11" t="e">
        <f t="shared" si="21"/>
        <v>#N/A</v>
      </c>
      <c r="AE82" s="22" t="e">
        <f t="shared" si="22"/>
        <v>#N/A</v>
      </c>
      <c r="AF82" s="21" t="e">
        <f t="shared" si="23"/>
        <v>#N/A</v>
      </c>
      <c r="AG82" s="21" t="e">
        <f t="shared" si="24"/>
        <v>#N/A</v>
      </c>
      <c r="AH82" s="11" t="e">
        <f t="shared" si="25"/>
        <v>#N/A</v>
      </c>
      <c r="AI82">
        <v>2.5000000000000001E-2</v>
      </c>
      <c r="AJ82">
        <v>-2.5000000000000001E-2</v>
      </c>
      <c r="AK82">
        <v>1.5E-3</v>
      </c>
      <c r="AL82">
        <v>-1.5E-3</v>
      </c>
      <c r="AM82">
        <v>1.5E-3</v>
      </c>
      <c r="AN82">
        <v>-1.5E-3</v>
      </c>
      <c r="AO82" s="16">
        <v>2.5000000000000001E-2</v>
      </c>
      <c r="AP82" s="16">
        <v>-2.5000000000000001E-2</v>
      </c>
      <c r="AQ82">
        <v>1.4999999999999999E-2</v>
      </c>
      <c r="AR82">
        <v>-1.4999999999999999E-2</v>
      </c>
      <c r="AS82">
        <v>1E-3</v>
      </c>
      <c r="AT82">
        <v>-1E-3</v>
      </c>
      <c r="AU82">
        <v>1E-3</v>
      </c>
      <c r="AV82">
        <v>-1E-3</v>
      </c>
      <c r="AW82" s="16">
        <v>1.4999999999999999E-2</v>
      </c>
      <c r="AX82" s="16">
        <v>-1.4999999999999999E-2</v>
      </c>
    </row>
    <row r="83" spans="6:50">
      <c r="F83" s="17" t="str">
        <f t="shared" si="13"/>
        <v/>
      </c>
      <c r="G83" s="4"/>
      <c r="H83" s="2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22" t="e">
        <f t="shared" si="14"/>
        <v>#N/A</v>
      </c>
      <c r="X83" s="21" t="e">
        <f t="shared" si="15"/>
        <v>#N/A</v>
      </c>
      <c r="Y83" s="21" t="e">
        <f t="shared" si="16"/>
        <v>#N/A</v>
      </c>
      <c r="Z83" s="11" t="e">
        <f t="shared" si="17"/>
        <v>#N/A</v>
      </c>
      <c r="AA83" s="22" t="e">
        <f t="shared" si="18"/>
        <v>#N/A</v>
      </c>
      <c r="AB83" s="21" t="e">
        <f t="shared" si="19"/>
        <v>#N/A</v>
      </c>
      <c r="AC83" s="21" t="e">
        <f t="shared" si="20"/>
        <v>#N/A</v>
      </c>
      <c r="AD83" s="11" t="e">
        <f t="shared" si="21"/>
        <v>#N/A</v>
      </c>
      <c r="AE83" s="22" t="e">
        <f t="shared" si="22"/>
        <v>#N/A</v>
      </c>
      <c r="AF83" s="21" t="e">
        <f t="shared" si="23"/>
        <v>#N/A</v>
      </c>
      <c r="AG83" s="21" t="e">
        <f t="shared" si="24"/>
        <v>#N/A</v>
      </c>
      <c r="AH83" s="11" t="e">
        <f t="shared" si="25"/>
        <v>#N/A</v>
      </c>
      <c r="AI83">
        <v>2.5000000000000001E-2</v>
      </c>
      <c r="AJ83">
        <v>-2.5000000000000001E-2</v>
      </c>
      <c r="AK83">
        <v>1.5E-3</v>
      </c>
      <c r="AL83">
        <v>-1.5E-3</v>
      </c>
      <c r="AM83">
        <v>1.5E-3</v>
      </c>
      <c r="AN83">
        <v>-1.5E-3</v>
      </c>
      <c r="AO83" s="16">
        <v>2.5000000000000001E-2</v>
      </c>
      <c r="AP83" s="16">
        <v>-2.5000000000000001E-2</v>
      </c>
      <c r="AQ83">
        <v>1.4999999999999999E-2</v>
      </c>
      <c r="AR83">
        <v>-1.4999999999999999E-2</v>
      </c>
      <c r="AS83">
        <v>1E-3</v>
      </c>
      <c r="AT83">
        <v>-1E-3</v>
      </c>
      <c r="AU83">
        <v>1E-3</v>
      </c>
      <c r="AV83">
        <v>-1E-3</v>
      </c>
      <c r="AW83" s="16">
        <v>1.4999999999999999E-2</v>
      </c>
      <c r="AX83" s="16">
        <v>-1.4999999999999999E-2</v>
      </c>
    </row>
    <row r="84" spans="6:50">
      <c r="F84" s="17" t="str">
        <f t="shared" si="13"/>
        <v/>
      </c>
      <c r="G84" s="4"/>
      <c r="H84" s="2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22" t="e">
        <f t="shared" si="14"/>
        <v>#N/A</v>
      </c>
      <c r="X84" s="21" t="e">
        <f t="shared" si="15"/>
        <v>#N/A</v>
      </c>
      <c r="Y84" s="21" t="e">
        <f t="shared" si="16"/>
        <v>#N/A</v>
      </c>
      <c r="Z84" s="11" t="e">
        <f t="shared" si="17"/>
        <v>#N/A</v>
      </c>
      <c r="AA84" s="22" t="e">
        <f t="shared" si="18"/>
        <v>#N/A</v>
      </c>
      <c r="AB84" s="21" t="e">
        <f t="shared" si="19"/>
        <v>#N/A</v>
      </c>
      <c r="AC84" s="21" t="e">
        <f t="shared" si="20"/>
        <v>#N/A</v>
      </c>
      <c r="AD84" s="11" t="e">
        <f t="shared" si="21"/>
        <v>#N/A</v>
      </c>
      <c r="AE84" s="22" t="e">
        <f t="shared" si="22"/>
        <v>#N/A</v>
      </c>
      <c r="AF84" s="21" t="e">
        <f t="shared" si="23"/>
        <v>#N/A</v>
      </c>
      <c r="AG84" s="21" t="e">
        <f t="shared" si="24"/>
        <v>#N/A</v>
      </c>
      <c r="AH84" s="11" t="e">
        <f t="shared" si="25"/>
        <v>#N/A</v>
      </c>
      <c r="AI84">
        <v>2.5000000000000001E-2</v>
      </c>
      <c r="AJ84">
        <v>-2.5000000000000001E-2</v>
      </c>
      <c r="AK84">
        <v>1.5E-3</v>
      </c>
      <c r="AL84">
        <v>-1.5E-3</v>
      </c>
      <c r="AM84">
        <v>1.5E-3</v>
      </c>
      <c r="AN84">
        <v>-1.5E-3</v>
      </c>
      <c r="AO84" s="16">
        <v>2.5000000000000001E-2</v>
      </c>
      <c r="AP84" s="16">
        <v>-2.5000000000000001E-2</v>
      </c>
      <c r="AQ84">
        <v>1.4999999999999999E-2</v>
      </c>
      <c r="AR84">
        <v>-1.4999999999999999E-2</v>
      </c>
      <c r="AS84">
        <v>1E-3</v>
      </c>
      <c r="AT84">
        <v>-1E-3</v>
      </c>
      <c r="AU84">
        <v>1E-3</v>
      </c>
      <c r="AV84">
        <v>-1E-3</v>
      </c>
      <c r="AW84" s="16">
        <v>1.4999999999999999E-2</v>
      </c>
      <c r="AX84" s="16">
        <v>-1.4999999999999999E-2</v>
      </c>
    </row>
    <row r="85" spans="6:50">
      <c r="F85" s="17" t="str">
        <f t="shared" si="13"/>
        <v/>
      </c>
      <c r="G85" s="4"/>
      <c r="H85" s="2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22" t="e">
        <f t="shared" si="14"/>
        <v>#N/A</v>
      </c>
      <c r="X85" s="21" t="e">
        <f t="shared" si="15"/>
        <v>#N/A</v>
      </c>
      <c r="Y85" s="21" t="e">
        <f t="shared" si="16"/>
        <v>#N/A</v>
      </c>
      <c r="Z85" s="11" t="e">
        <f t="shared" si="17"/>
        <v>#N/A</v>
      </c>
      <c r="AA85" s="22" t="e">
        <f t="shared" si="18"/>
        <v>#N/A</v>
      </c>
      <c r="AB85" s="21" t="e">
        <f t="shared" si="19"/>
        <v>#N/A</v>
      </c>
      <c r="AC85" s="21" t="e">
        <f t="shared" si="20"/>
        <v>#N/A</v>
      </c>
      <c r="AD85" s="11" t="e">
        <f t="shared" si="21"/>
        <v>#N/A</v>
      </c>
      <c r="AE85" s="22" t="e">
        <f t="shared" si="22"/>
        <v>#N/A</v>
      </c>
      <c r="AF85" s="21" t="e">
        <f t="shared" si="23"/>
        <v>#N/A</v>
      </c>
      <c r="AG85" s="21" t="e">
        <f t="shared" si="24"/>
        <v>#N/A</v>
      </c>
      <c r="AH85" s="11" t="e">
        <f t="shared" si="25"/>
        <v>#N/A</v>
      </c>
      <c r="AI85">
        <v>2.5000000000000001E-2</v>
      </c>
      <c r="AJ85">
        <v>-2.5000000000000001E-2</v>
      </c>
      <c r="AK85">
        <v>1.5E-3</v>
      </c>
      <c r="AL85">
        <v>-1.5E-3</v>
      </c>
      <c r="AM85">
        <v>1.5E-3</v>
      </c>
      <c r="AN85">
        <v>-1.5E-3</v>
      </c>
      <c r="AO85" s="16">
        <v>2.5000000000000001E-2</v>
      </c>
      <c r="AP85" s="16">
        <v>-2.5000000000000001E-2</v>
      </c>
      <c r="AQ85">
        <v>1.4999999999999999E-2</v>
      </c>
      <c r="AR85">
        <v>-1.4999999999999999E-2</v>
      </c>
      <c r="AS85">
        <v>1E-3</v>
      </c>
      <c r="AT85">
        <v>-1E-3</v>
      </c>
      <c r="AU85">
        <v>1E-3</v>
      </c>
      <c r="AV85">
        <v>-1E-3</v>
      </c>
      <c r="AW85" s="16">
        <v>1.4999999999999999E-2</v>
      </c>
      <c r="AX85" s="16">
        <v>-1.4999999999999999E-2</v>
      </c>
    </row>
    <row r="86" spans="6:50">
      <c r="F86" s="17" t="str">
        <f t="shared" si="13"/>
        <v/>
      </c>
      <c r="G86" s="4"/>
      <c r="H86" s="2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22" t="e">
        <f t="shared" si="14"/>
        <v>#N/A</v>
      </c>
      <c r="X86" s="21" t="e">
        <f t="shared" si="15"/>
        <v>#N/A</v>
      </c>
      <c r="Y86" s="21" t="e">
        <f t="shared" si="16"/>
        <v>#N/A</v>
      </c>
      <c r="Z86" s="11" t="e">
        <f t="shared" si="17"/>
        <v>#N/A</v>
      </c>
      <c r="AA86" s="22" t="e">
        <f t="shared" si="18"/>
        <v>#N/A</v>
      </c>
      <c r="AB86" s="21" t="e">
        <f t="shared" si="19"/>
        <v>#N/A</v>
      </c>
      <c r="AC86" s="21" t="e">
        <f t="shared" si="20"/>
        <v>#N/A</v>
      </c>
      <c r="AD86" s="11" t="e">
        <f t="shared" si="21"/>
        <v>#N/A</v>
      </c>
      <c r="AE86" s="22" t="e">
        <f t="shared" si="22"/>
        <v>#N/A</v>
      </c>
      <c r="AF86" s="21" t="e">
        <f t="shared" si="23"/>
        <v>#N/A</v>
      </c>
      <c r="AG86" s="21" t="e">
        <f t="shared" si="24"/>
        <v>#N/A</v>
      </c>
      <c r="AH86" s="11" t="e">
        <f t="shared" si="25"/>
        <v>#N/A</v>
      </c>
      <c r="AI86">
        <v>2.5000000000000001E-2</v>
      </c>
      <c r="AJ86">
        <v>-2.5000000000000001E-2</v>
      </c>
      <c r="AK86">
        <v>1.5E-3</v>
      </c>
      <c r="AL86">
        <v>-1.5E-3</v>
      </c>
      <c r="AM86">
        <v>1.5E-3</v>
      </c>
      <c r="AN86">
        <v>-1.5E-3</v>
      </c>
      <c r="AO86" s="16">
        <v>2.5000000000000001E-2</v>
      </c>
      <c r="AP86" s="16">
        <v>-2.5000000000000001E-2</v>
      </c>
      <c r="AQ86">
        <v>1.4999999999999999E-2</v>
      </c>
      <c r="AR86">
        <v>-1.4999999999999999E-2</v>
      </c>
      <c r="AS86">
        <v>1E-3</v>
      </c>
      <c r="AT86">
        <v>-1E-3</v>
      </c>
      <c r="AU86">
        <v>1E-3</v>
      </c>
      <c r="AV86">
        <v>-1E-3</v>
      </c>
      <c r="AW86" s="16">
        <v>1.4999999999999999E-2</v>
      </c>
      <c r="AX86" s="16">
        <v>-1.4999999999999999E-2</v>
      </c>
    </row>
    <row r="87" spans="6:50">
      <c r="F87" s="17" t="str">
        <f t="shared" si="13"/>
        <v/>
      </c>
      <c r="G87" s="4"/>
      <c r="H87" s="2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22" t="e">
        <f t="shared" si="14"/>
        <v>#N/A</v>
      </c>
      <c r="X87" s="21" t="e">
        <f t="shared" si="15"/>
        <v>#N/A</v>
      </c>
      <c r="Y87" s="21" t="e">
        <f t="shared" si="16"/>
        <v>#N/A</v>
      </c>
      <c r="Z87" s="11" t="e">
        <f t="shared" si="17"/>
        <v>#N/A</v>
      </c>
      <c r="AA87" s="22" t="e">
        <f t="shared" si="18"/>
        <v>#N/A</v>
      </c>
      <c r="AB87" s="21" t="e">
        <f t="shared" si="19"/>
        <v>#N/A</v>
      </c>
      <c r="AC87" s="21" t="e">
        <f t="shared" si="20"/>
        <v>#N/A</v>
      </c>
      <c r="AD87" s="11" t="e">
        <f t="shared" si="21"/>
        <v>#N/A</v>
      </c>
      <c r="AE87" s="22" t="e">
        <f t="shared" si="22"/>
        <v>#N/A</v>
      </c>
      <c r="AF87" s="21" t="e">
        <f t="shared" si="23"/>
        <v>#N/A</v>
      </c>
      <c r="AG87" s="21" t="e">
        <f t="shared" si="24"/>
        <v>#N/A</v>
      </c>
      <c r="AH87" s="11" t="e">
        <f t="shared" si="25"/>
        <v>#N/A</v>
      </c>
      <c r="AI87">
        <v>2.5000000000000001E-2</v>
      </c>
      <c r="AJ87">
        <v>-2.5000000000000001E-2</v>
      </c>
      <c r="AK87">
        <v>1.5E-3</v>
      </c>
      <c r="AL87">
        <v>-1.5E-3</v>
      </c>
      <c r="AM87">
        <v>1.5E-3</v>
      </c>
      <c r="AN87">
        <v>-1.5E-3</v>
      </c>
      <c r="AO87" s="16">
        <v>2.5000000000000001E-2</v>
      </c>
      <c r="AP87" s="16">
        <v>-2.5000000000000001E-2</v>
      </c>
      <c r="AQ87">
        <v>1.4999999999999999E-2</v>
      </c>
      <c r="AR87">
        <v>-1.4999999999999999E-2</v>
      </c>
      <c r="AS87">
        <v>1E-3</v>
      </c>
      <c r="AT87">
        <v>-1E-3</v>
      </c>
      <c r="AU87">
        <v>1E-3</v>
      </c>
      <c r="AV87">
        <v>-1E-3</v>
      </c>
      <c r="AW87" s="16">
        <v>1.4999999999999999E-2</v>
      </c>
      <c r="AX87" s="16">
        <v>-1.4999999999999999E-2</v>
      </c>
    </row>
    <row r="88" spans="6:50">
      <c r="F88" s="17" t="str">
        <f t="shared" si="13"/>
        <v/>
      </c>
      <c r="G88" s="4"/>
      <c r="H88" s="2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22" t="e">
        <f t="shared" si="14"/>
        <v>#N/A</v>
      </c>
      <c r="X88" s="21" t="e">
        <f t="shared" si="15"/>
        <v>#N/A</v>
      </c>
      <c r="Y88" s="21" t="e">
        <f t="shared" si="16"/>
        <v>#N/A</v>
      </c>
      <c r="Z88" s="11" t="e">
        <f t="shared" si="17"/>
        <v>#N/A</v>
      </c>
      <c r="AA88" s="22" t="e">
        <f t="shared" si="18"/>
        <v>#N/A</v>
      </c>
      <c r="AB88" s="21" t="e">
        <f t="shared" si="19"/>
        <v>#N/A</v>
      </c>
      <c r="AC88" s="21" t="e">
        <f t="shared" si="20"/>
        <v>#N/A</v>
      </c>
      <c r="AD88" s="11" t="e">
        <f t="shared" si="21"/>
        <v>#N/A</v>
      </c>
      <c r="AE88" s="22" t="e">
        <f t="shared" si="22"/>
        <v>#N/A</v>
      </c>
      <c r="AF88" s="21" t="e">
        <f t="shared" si="23"/>
        <v>#N/A</v>
      </c>
      <c r="AG88" s="21" t="e">
        <f t="shared" si="24"/>
        <v>#N/A</v>
      </c>
      <c r="AH88" s="11" t="e">
        <f t="shared" si="25"/>
        <v>#N/A</v>
      </c>
      <c r="AI88">
        <v>2.5000000000000001E-2</v>
      </c>
      <c r="AJ88">
        <v>-2.5000000000000001E-2</v>
      </c>
      <c r="AK88">
        <v>1.5E-3</v>
      </c>
      <c r="AL88">
        <v>-1.5E-3</v>
      </c>
      <c r="AM88">
        <v>1.5E-3</v>
      </c>
      <c r="AN88">
        <v>-1.5E-3</v>
      </c>
      <c r="AO88" s="16">
        <v>2.5000000000000001E-2</v>
      </c>
      <c r="AP88" s="16">
        <v>-2.5000000000000001E-2</v>
      </c>
      <c r="AQ88">
        <v>1.4999999999999999E-2</v>
      </c>
      <c r="AR88">
        <v>-1.4999999999999999E-2</v>
      </c>
      <c r="AS88">
        <v>1E-3</v>
      </c>
      <c r="AT88">
        <v>-1E-3</v>
      </c>
      <c r="AU88">
        <v>1E-3</v>
      </c>
      <c r="AV88">
        <v>-1E-3</v>
      </c>
      <c r="AW88" s="16">
        <v>1.4999999999999999E-2</v>
      </c>
      <c r="AX88" s="16">
        <v>-1.4999999999999999E-2</v>
      </c>
    </row>
    <row r="89" spans="6:50">
      <c r="F89" s="17" t="str">
        <f t="shared" si="13"/>
        <v/>
      </c>
      <c r="G89" s="4"/>
      <c r="H89" s="2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22" t="e">
        <f t="shared" si="14"/>
        <v>#N/A</v>
      </c>
      <c r="X89" s="21" t="e">
        <f t="shared" si="15"/>
        <v>#N/A</v>
      </c>
      <c r="Y89" s="21" t="e">
        <f t="shared" si="16"/>
        <v>#N/A</v>
      </c>
      <c r="Z89" s="11" t="e">
        <f t="shared" si="17"/>
        <v>#N/A</v>
      </c>
      <c r="AA89" s="22" t="e">
        <f t="shared" si="18"/>
        <v>#N/A</v>
      </c>
      <c r="AB89" s="21" t="e">
        <f t="shared" si="19"/>
        <v>#N/A</v>
      </c>
      <c r="AC89" s="21" t="e">
        <f t="shared" si="20"/>
        <v>#N/A</v>
      </c>
      <c r="AD89" s="11" t="e">
        <f t="shared" si="21"/>
        <v>#N/A</v>
      </c>
      <c r="AE89" s="22" t="e">
        <f t="shared" si="22"/>
        <v>#N/A</v>
      </c>
      <c r="AF89" s="21" t="e">
        <f t="shared" si="23"/>
        <v>#N/A</v>
      </c>
      <c r="AG89" s="21" t="e">
        <f t="shared" si="24"/>
        <v>#N/A</v>
      </c>
      <c r="AH89" s="11" t="e">
        <f t="shared" si="25"/>
        <v>#N/A</v>
      </c>
      <c r="AI89">
        <v>2.5000000000000001E-2</v>
      </c>
      <c r="AJ89">
        <v>-2.5000000000000001E-2</v>
      </c>
      <c r="AK89">
        <v>1.5E-3</v>
      </c>
      <c r="AL89">
        <v>-1.5E-3</v>
      </c>
      <c r="AM89">
        <v>1.5E-3</v>
      </c>
      <c r="AN89">
        <v>-1.5E-3</v>
      </c>
      <c r="AO89" s="16">
        <v>2.5000000000000001E-2</v>
      </c>
      <c r="AP89" s="16">
        <v>-2.5000000000000001E-2</v>
      </c>
      <c r="AQ89">
        <v>1.4999999999999999E-2</v>
      </c>
      <c r="AR89">
        <v>-1.4999999999999999E-2</v>
      </c>
      <c r="AS89">
        <v>1E-3</v>
      </c>
      <c r="AT89">
        <v>-1E-3</v>
      </c>
      <c r="AU89">
        <v>1E-3</v>
      </c>
      <c r="AV89">
        <v>-1E-3</v>
      </c>
      <c r="AW89" s="16">
        <v>1.4999999999999999E-2</v>
      </c>
      <c r="AX89" s="16">
        <v>-1.4999999999999999E-2</v>
      </c>
    </row>
    <row r="90" spans="6:50">
      <c r="F90" s="17" t="str">
        <f t="shared" si="13"/>
        <v/>
      </c>
      <c r="G90" s="4"/>
      <c r="H90" s="2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22" t="e">
        <f t="shared" si="14"/>
        <v>#N/A</v>
      </c>
      <c r="X90" s="21" t="e">
        <f t="shared" si="15"/>
        <v>#N/A</v>
      </c>
      <c r="Y90" s="21" t="e">
        <f t="shared" si="16"/>
        <v>#N/A</v>
      </c>
      <c r="Z90" s="11" t="e">
        <f t="shared" si="17"/>
        <v>#N/A</v>
      </c>
      <c r="AA90" s="22" t="e">
        <f t="shared" si="18"/>
        <v>#N/A</v>
      </c>
      <c r="AB90" s="21" t="e">
        <f t="shared" si="19"/>
        <v>#N/A</v>
      </c>
      <c r="AC90" s="21" t="e">
        <f t="shared" si="20"/>
        <v>#N/A</v>
      </c>
      <c r="AD90" s="11" t="e">
        <f t="shared" si="21"/>
        <v>#N/A</v>
      </c>
      <c r="AE90" s="22" t="e">
        <f t="shared" si="22"/>
        <v>#N/A</v>
      </c>
      <c r="AF90" s="21" t="e">
        <f t="shared" si="23"/>
        <v>#N/A</v>
      </c>
      <c r="AG90" s="21" t="e">
        <f t="shared" si="24"/>
        <v>#N/A</v>
      </c>
      <c r="AH90" s="11" t="e">
        <f t="shared" si="25"/>
        <v>#N/A</v>
      </c>
      <c r="AI90">
        <v>2.5000000000000001E-2</v>
      </c>
      <c r="AJ90">
        <v>-2.5000000000000001E-2</v>
      </c>
      <c r="AK90">
        <v>1.5E-3</v>
      </c>
      <c r="AL90">
        <v>-1.5E-3</v>
      </c>
      <c r="AM90">
        <v>1.5E-3</v>
      </c>
      <c r="AN90">
        <v>-1.5E-3</v>
      </c>
      <c r="AO90" s="16">
        <v>2.5000000000000001E-2</v>
      </c>
      <c r="AP90" s="16">
        <v>-2.5000000000000001E-2</v>
      </c>
      <c r="AQ90">
        <v>1.4999999999999999E-2</v>
      </c>
      <c r="AR90">
        <v>-1.4999999999999999E-2</v>
      </c>
      <c r="AS90">
        <v>1E-3</v>
      </c>
      <c r="AT90">
        <v>-1E-3</v>
      </c>
      <c r="AU90">
        <v>1E-3</v>
      </c>
      <c r="AV90">
        <v>-1E-3</v>
      </c>
      <c r="AW90" s="16">
        <v>1.4999999999999999E-2</v>
      </c>
      <c r="AX90" s="16">
        <v>-1.4999999999999999E-2</v>
      </c>
    </row>
    <row r="91" spans="6:50">
      <c r="F91" s="17" t="str">
        <f t="shared" si="13"/>
        <v/>
      </c>
      <c r="G91" s="4"/>
      <c r="H91" s="2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22" t="e">
        <f t="shared" si="14"/>
        <v>#N/A</v>
      </c>
      <c r="X91" s="21" t="e">
        <f t="shared" si="15"/>
        <v>#N/A</v>
      </c>
      <c r="Y91" s="21" t="e">
        <f t="shared" si="16"/>
        <v>#N/A</v>
      </c>
      <c r="Z91" s="11" t="e">
        <f t="shared" si="17"/>
        <v>#N/A</v>
      </c>
      <c r="AA91" s="22" t="e">
        <f t="shared" si="18"/>
        <v>#N/A</v>
      </c>
      <c r="AB91" s="21" t="e">
        <f t="shared" si="19"/>
        <v>#N/A</v>
      </c>
      <c r="AC91" s="21" t="e">
        <f t="shared" si="20"/>
        <v>#N/A</v>
      </c>
      <c r="AD91" s="11" t="e">
        <f t="shared" si="21"/>
        <v>#N/A</v>
      </c>
      <c r="AE91" s="22" t="e">
        <f t="shared" si="22"/>
        <v>#N/A</v>
      </c>
      <c r="AF91" s="21" t="e">
        <f t="shared" si="23"/>
        <v>#N/A</v>
      </c>
      <c r="AG91" s="21" t="e">
        <f t="shared" si="24"/>
        <v>#N/A</v>
      </c>
      <c r="AH91" s="11" t="e">
        <f t="shared" si="25"/>
        <v>#N/A</v>
      </c>
      <c r="AI91">
        <v>2.5000000000000001E-2</v>
      </c>
      <c r="AJ91">
        <v>-2.5000000000000001E-2</v>
      </c>
      <c r="AK91">
        <v>1.5E-3</v>
      </c>
      <c r="AL91">
        <v>-1.5E-3</v>
      </c>
      <c r="AM91">
        <v>1.5E-3</v>
      </c>
      <c r="AN91">
        <v>-1.5E-3</v>
      </c>
      <c r="AO91" s="16">
        <v>2.5000000000000001E-2</v>
      </c>
      <c r="AP91" s="16">
        <v>-2.5000000000000001E-2</v>
      </c>
      <c r="AQ91">
        <v>1.4999999999999999E-2</v>
      </c>
      <c r="AR91">
        <v>-1.4999999999999999E-2</v>
      </c>
      <c r="AS91">
        <v>1E-3</v>
      </c>
      <c r="AT91">
        <v>-1E-3</v>
      </c>
      <c r="AU91">
        <v>1E-3</v>
      </c>
      <c r="AV91">
        <v>-1E-3</v>
      </c>
      <c r="AW91" s="16">
        <v>1.4999999999999999E-2</v>
      </c>
      <c r="AX91" s="16">
        <v>-1.4999999999999999E-2</v>
      </c>
    </row>
    <row r="92" spans="6:50">
      <c r="F92" s="17" t="str">
        <f t="shared" si="13"/>
        <v/>
      </c>
      <c r="G92" s="4"/>
      <c r="H92" s="2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22" t="e">
        <f t="shared" si="14"/>
        <v>#N/A</v>
      </c>
      <c r="X92" s="21" t="e">
        <f t="shared" si="15"/>
        <v>#N/A</v>
      </c>
      <c r="Y92" s="21" t="e">
        <f t="shared" si="16"/>
        <v>#N/A</v>
      </c>
      <c r="Z92" s="11" t="e">
        <f t="shared" si="17"/>
        <v>#N/A</v>
      </c>
      <c r="AA92" s="22" t="e">
        <f t="shared" si="18"/>
        <v>#N/A</v>
      </c>
      <c r="AB92" s="21" t="e">
        <f t="shared" si="19"/>
        <v>#N/A</v>
      </c>
      <c r="AC92" s="21" t="e">
        <f t="shared" si="20"/>
        <v>#N/A</v>
      </c>
      <c r="AD92" s="11" t="e">
        <f t="shared" si="21"/>
        <v>#N/A</v>
      </c>
      <c r="AE92" s="22" t="e">
        <f t="shared" si="22"/>
        <v>#N/A</v>
      </c>
      <c r="AF92" s="21" t="e">
        <f t="shared" si="23"/>
        <v>#N/A</v>
      </c>
      <c r="AG92" s="21" t="e">
        <f t="shared" si="24"/>
        <v>#N/A</v>
      </c>
      <c r="AH92" s="11" t="e">
        <f t="shared" si="25"/>
        <v>#N/A</v>
      </c>
      <c r="AI92">
        <v>2.5000000000000001E-2</v>
      </c>
      <c r="AJ92">
        <v>-2.5000000000000001E-2</v>
      </c>
      <c r="AK92">
        <v>1.5E-3</v>
      </c>
      <c r="AL92">
        <v>-1.5E-3</v>
      </c>
      <c r="AM92">
        <v>1.5E-3</v>
      </c>
      <c r="AN92">
        <v>-1.5E-3</v>
      </c>
      <c r="AO92" s="16">
        <v>2.5000000000000001E-2</v>
      </c>
      <c r="AP92" s="16">
        <v>-2.5000000000000001E-2</v>
      </c>
      <c r="AQ92">
        <v>1.4999999999999999E-2</v>
      </c>
      <c r="AR92">
        <v>-1.4999999999999999E-2</v>
      </c>
      <c r="AS92">
        <v>1E-3</v>
      </c>
      <c r="AT92">
        <v>-1E-3</v>
      </c>
      <c r="AU92">
        <v>1E-3</v>
      </c>
      <c r="AV92">
        <v>-1E-3</v>
      </c>
      <c r="AW92" s="16">
        <v>1.4999999999999999E-2</v>
      </c>
      <c r="AX92" s="16">
        <v>-1.4999999999999999E-2</v>
      </c>
    </row>
    <row r="93" spans="6:50">
      <c r="F93" s="17" t="str">
        <f t="shared" si="13"/>
        <v/>
      </c>
      <c r="G93" s="4"/>
      <c r="H93" s="2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22" t="e">
        <f t="shared" si="14"/>
        <v>#N/A</v>
      </c>
      <c r="X93" s="21" t="e">
        <f t="shared" si="15"/>
        <v>#N/A</v>
      </c>
      <c r="Y93" s="21" t="e">
        <f t="shared" si="16"/>
        <v>#N/A</v>
      </c>
      <c r="Z93" s="11" t="e">
        <f t="shared" si="17"/>
        <v>#N/A</v>
      </c>
      <c r="AA93" s="22" t="e">
        <f t="shared" si="18"/>
        <v>#N/A</v>
      </c>
      <c r="AB93" s="21" t="e">
        <f t="shared" si="19"/>
        <v>#N/A</v>
      </c>
      <c r="AC93" s="21" t="e">
        <f t="shared" si="20"/>
        <v>#N/A</v>
      </c>
      <c r="AD93" s="11" t="e">
        <f t="shared" si="21"/>
        <v>#N/A</v>
      </c>
      <c r="AE93" s="22" t="e">
        <f t="shared" si="22"/>
        <v>#N/A</v>
      </c>
      <c r="AF93" s="21" t="e">
        <f t="shared" si="23"/>
        <v>#N/A</v>
      </c>
      <c r="AG93" s="21" t="e">
        <f t="shared" si="24"/>
        <v>#N/A</v>
      </c>
      <c r="AH93" s="11" t="e">
        <f t="shared" si="25"/>
        <v>#N/A</v>
      </c>
      <c r="AI93">
        <v>2.5000000000000001E-2</v>
      </c>
      <c r="AJ93">
        <v>-2.5000000000000001E-2</v>
      </c>
      <c r="AK93">
        <v>1.5E-3</v>
      </c>
      <c r="AL93">
        <v>-1.5E-3</v>
      </c>
      <c r="AM93">
        <v>1.5E-3</v>
      </c>
      <c r="AN93">
        <v>-1.5E-3</v>
      </c>
      <c r="AO93" s="16">
        <v>2.5000000000000001E-2</v>
      </c>
      <c r="AP93" s="16">
        <v>-2.5000000000000001E-2</v>
      </c>
      <c r="AQ93">
        <v>1.4999999999999999E-2</v>
      </c>
      <c r="AR93">
        <v>-1.4999999999999999E-2</v>
      </c>
      <c r="AS93">
        <v>1E-3</v>
      </c>
      <c r="AT93">
        <v>-1E-3</v>
      </c>
      <c r="AU93">
        <v>1E-3</v>
      </c>
      <c r="AV93">
        <v>-1E-3</v>
      </c>
      <c r="AW93" s="16">
        <v>1.4999999999999999E-2</v>
      </c>
      <c r="AX93" s="16">
        <v>-1.4999999999999999E-2</v>
      </c>
    </row>
    <row r="94" spans="6:50">
      <c r="F94" s="17" t="str">
        <f t="shared" si="13"/>
        <v/>
      </c>
      <c r="G94" s="4"/>
      <c r="H94" s="2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22" t="e">
        <f t="shared" si="14"/>
        <v>#N/A</v>
      </c>
      <c r="X94" s="21" t="e">
        <f t="shared" si="15"/>
        <v>#N/A</v>
      </c>
      <c r="Y94" s="21" t="e">
        <f t="shared" si="16"/>
        <v>#N/A</v>
      </c>
      <c r="Z94" s="11" t="e">
        <f t="shared" si="17"/>
        <v>#N/A</v>
      </c>
      <c r="AA94" s="22" t="e">
        <f t="shared" si="18"/>
        <v>#N/A</v>
      </c>
      <c r="AB94" s="21" t="e">
        <f t="shared" si="19"/>
        <v>#N/A</v>
      </c>
      <c r="AC94" s="21" t="e">
        <f t="shared" si="20"/>
        <v>#N/A</v>
      </c>
      <c r="AD94" s="11" t="e">
        <f t="shared" si="21"/>
        <v>#N/A</v>
      </c>
      <c r="AE94" s="22" t="e">
        <f t="shared" si="22"/>
        <v>#N/A</v>
      </c>
      <c r="AF94" s="21" t="e">
        <f t="shared" si="23"/>
        <v>#N/A</v>
      </c>
      <c r="AG94" s="21" t="e">
        <f t="shared" si="24"/>
        <v>#N/A</v>
      </c>
      <c r="AH94" s="11" t="e">
        <f t="shared" si="25"/>
        <v>#N/A</v>
      </c>
      <c r="AI94">
        <v>2.5000000000000001E-2</v>
      </c>
      <c r="AJ94">
        <v>-2.5000000000000001E-2</v>
      </c>
      <c r="AK94">
        <v>1.5E-3</v>
      </c>
      <c r="AL94">
        <v>-1.5E-3</v>
      </c>
      <c r="AM94">
        <v>1.5E-3</v>
      </c>
      <c r="AN94">
        <v>-1.5E-3</v>
      </c>
      <c r="AO94" s="16">
        <v>2.5000000000000001E-2</v>
      </c>
      <c r="AP94" s="16">
        <v>-2.5000000000000001E-2</v>
      </c>
      <c r="AQ94">
        <v>1.4999999999999999E-2</v>
      </c>
      <c r="AR94">
        <v>-1.4999999999999999E-2</v>
      </c>
      <c r="AS94">
        <v>1E-3</v>
      </c>
      <c r="AT94">
        <v>-1E-3</v>
      </c>
      <c r="AU94">
        <v>1E-3</v>
      </c>
      <c r="AV94">
        <v>-1E-3</v>
      </c>
      <c r="AW94" s="16">
        <v>1.4999999999999999E-2</v>
      </c>
      <c r="AX94" s="16">
        <v>-1.4999999999999999E-2</v>
      </c>
    </row>
    <row r="95" spans="6:50">
      <c r="F95" s="17" t="str">
        <f t="shared" si="13"/>
        <v/>
      </c>
      <c r="G95" s="4"/>
      <c r="H95" s="2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22" t="e">
        <f t="shared" si="14"/>
        <v>#N/A</v>
      </c>
      <c r="X95" s="21" t="e">
        <f t="shared" si="15"/>
        <v>#N/A</v>
      </c>
      <c r="Y95" s="21" t="e">
        <f t="shared" si="16"/>
        <v>#N/A</v>
      </c>
      <c r="Z95" s="11" t="e">
        <f t="shared" si="17"/>
        <v>#N/A</v>
      </c>
      <c r="AA95" s="22" t="e">
        <f t="shared" si="18"/>
        <v>#N/A</v>
      </c>
      <c r="AB95" s="21" t="e">
        <f t="shared" si="19"/>
        <v>#N/A</v>
      </c>
      <c r="AC95" s="21" t="e">
        <f t="shared" si="20"/>
        <v>#N/A</v>
      </c>
      <c r="AD95" s="11" t="e">
        <f t="shared" si="21"/>
        <v>#N/A</v>
      </c>
      <c r="AE95" s="22" t="e">
        <f t="shared" si="22"/>
        <v>#N/A</v>
      </c>
      <c r="AF95" s="21" t="e">
        <f t="shared" si="23"/>
        <v>#N/A</v>
      </c>
      <c r="AG95" s="21" t="e">
        <f t="shared" si="24"/>
        <v>#N/A</v>
      </c>
      <c r="AH95" s="11" t="e">
        <f t="shared" si="25"/>
        <v>#N/A</v>
      </c>
      <c r="AI95">
        <v>2.5000000000000001E-2</v>
      </c>
      <c r="AJ95">
        <v>-2.5000000000000001E-2</v>
      </c>
      <c r="AK95">
        <v>1.5E-3</v>
      </c>
      <c r="AL95">
        <v>-1.5E-3</v>
      </c>
      <c r="AM95">
        <v>1.5E-3</v>
      </c>
      <c r="AN95">
        <v>-1.5E-3</v>
      </c>
      <c r="AO95" s="16">
        <v>2.5000000000000001E-2</v>
      </c>
      <c r="AP95" s="16">
        <v>-2.5000000000000001E-2</v>
      </c>
      <c r="AQ95">
        <v>1.4999999999999999E-2</v>
      </c>
      <c r="AR95">
        <v>-1.4999999999999999E-2</v>
      </c>
      <c r="AS95">
        <v>1E-3</v>
      </c>
      <c r="AT95">
        <v>-1E-3</v>
      </c>
      <c r="AU95">
        <v>1E-3</v>
      </c>
      <c r="AV95">
        <v>-1E-3</v>
      </c>
      <c r="AW95" s="16">
        <v>1.4999999999999999E-2</v>
      </c>
      <c r="AX95" s="16">
        <v>-1.4999999999999999E-2</v>
      </c>
    </row>
    <row r="96" spans="6:50">
      <c r="F96" s="17" t="str">
        <f t="shared" si="13"/>
        <v/>
      </c>
      <c r="G96" s="4"/>
      <c r="H96" s="2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22" t="e">
        <f t="shared" si="14"/>
        <v>#N/A</v>
      </c>
      <c r="X96" s="21" t="e">
        <f t="shared" si="15"/>
        <v>#N/A</v>
      </c>
      <c r="Y96" s="21" t="e">
        <f t="shared" si="16"/>
        <v>#N/A</v>
      </c>
      <c r="Z96" s="11" t="e">
        <f t="shared" si="17"/>
        <v>#N/A</v>
      </c>
      <c r="AA96" s="22" t="e">
        <f t="shared" si="18"/>
        <v>#N/A</v>
      </c>
      <c r="AB96" s="21" t="e">
        <f t="shared" si="19"/>
        <v>#N/A</v>
      </c>
      <c r="AC96" s="21" t="e">
        <f t="shared" si="20"/>
        <v>#N/A</v>
      </c>
      <c r="AD96" s="11" t="e">
        <f t="shared" si="21"/>
        <v>#N/A</v>
      </c>
      <c r="AE96" s="22" t="e">
        <f t="shared" si="22"/>
        <v>#N/A</v>
      </c>
      <c r="AF96" s="21" t="e">
        <f t="shared" si="23"/>
        <v>#N/A</v>
      </c>
      <c r="AG96" s="21" t="e">
        <f t="shared" si="24"/>
        <v>#N/A</v>
      </c>
      <c r="AH96" s="11" t="e">
        <f t="shared" si="25"/>
        <v>#N/A</v>
      </c>
      <c r="AI96">
        <v>2.5000000000000001E-2</v>
      </c>
      <c r="AJ96">
        <v>-2.5000000000000001E-2</v>
      </c>
      <c r="AK96">
        <v>1.5E-3</v>
      </c>
      <c r="AL96">
        <v>-1.5E-3</v>
      </c>
      <c r="AM96">
        <v>1.5E-3</v>
      </c>
      <c r="AN96">
        <v>-1.5E-3</v>
      </c>
      <c r="AO96" s="16">
        <v>2.5000000000000001E-2</v>
      </c>
      <c r="AP96" s="16">
        <v>-2.5000000000000001E-2</v>
      </c>
      <c r="AQ96">
        <v>1.4999999999999999E-2</v>
      </c>
      <c r="AR96">
        <v>-1.4999999999999999E-2</v>
      </c>
      <c r="AS96">
        <v>1E-3</v>
      </c>
      <c r="AT96">
        <v>-1E-3</v>
      </c>
      <c r="AU96">
        <v>1E-3</v>
      </c>
      <c r="AV96">
        <v>-1E-3</v>
      </c>
      <c r="AW96" s="16">
        <v>1.4999999999999999E-2</v>
      </c>
      <c r="AX96" s="16">
        <v>-1.4999999999999999E-2</v>
      </c>
    </row>
    <row r="97" spans="6:50">
      <c r="F97" s="17" t="str">
        <f t="shared" si="13"/>
        <v/>
      </c>
      <c r="G97" s="4"/>
      <c r="H97" s="2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22" t="e">
        <f t="shared" si="14"/>
        <v>#N/A</v>
      </c>
      <c r="X97" s="21" t="e">
        <f t="shared" si="15"/>
        <v>#N/A</v>
      </c>
      <c r="Y97" s="21" t="e">
        <f t="shared" si="16"/>
        <v>#N/A</v>
      </c>
      <c r="Z97" s="11" t="e">
        <f t="shared" si="17"/>
        <v>#N/A</v>
      </c>
      <c r="AA97" s="22" t="e">
        <f t="shared" si="18"/>
        <v>#N/A</v>
      </c>
      <c r="AB97" s="21" t="e">
        <f t="shared" si="19"/>
        <v>#N/A</v>
      </c>
      <c r="AC97" s="21" t="e">
        <f t="shared" si="20"/>
        <v>#N/A</v>
      </c>
      <c r="AD97" s="11" t="e">
        <f t="shared" si="21"/>
        <v>#N/A</v>
      </c>
      <c r="AE97" s="22" t="e">
        <f t="shared" si="22"/>
        <v>#N/A</v>
      </c>
      <c r="AF97" s="21" t="e">
        <f t="shared" si="23"/>
        <v>#N/A</v>
      </c>
      <c r="AG97" s="21" t="e">
        <f t="shared" si="24"/>
        <v>#N/A</v>
      </c>
      <c r="AH97" s="11" t="e">
        <f t="shared" si="25"/>
        <v>#N/A</v>
      </c>
      <c r="AI97">
        <v>2.5000000000000001E-2</v>
      </c>
      <c r="AJ97">
        <v>-2.5000000000000001E-2</v>
      </c>
      <c r="AK97">
        <v>1.5E-3</v>
      </c>
      <c r="AL97">
        <v>-1.5E-3</v>
      </c>
      <c r="AM97">
        <v>1.5E-3</v>
      </c>
      <c r="AN97">
        <v>-1.5E-3</v>
      </c>
      <c r="AO97" s="16">
        <v>2.5000000000000001E-2</v>
      </c>
      <c r="AP97" s="16">
        <v>-2.5000000000000001E-2</v>
      </c>
      <c r="AQ97">
        <v>1.4999999999999999E-2</v>
      </c>
      <c r="AR97">
        <v>-1.4999999999999999E-2</v>
      </c>
      <c r="AS97">
        <v>1E-3</v>
      </c>
      <c r="AT97">
        <v>-1E-3</v>
      </c>
      <c r="AU97">
        <v>1E-3</v>
      </c>
      <c r="AV97">
        <v>-1E-3</v>
      </c>
      <c r="AW97" s="16">
        <v>1.4999999999999999E-2</v>
      </c>
      <c r="AX97" s="16">
        <v>-1.4999999999999999E-2</v>
      </c>
    </row>
    <row r="98" spans="6:50">
      <c r="F98" s="17" t="str">
        <f t="shared" si="13"/>
        <v/>
      </c>
      <c r="G98" s="4"/>
      <c r="H98" s="2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22" t="e">
        <f t="shared" si="14"/>
        <v>#N/A</v>
      </c>
      <c r="X98" s="21" t="e">
        <f t="shared" si="15"/>
        <v>#N/A</v>
      </c>
      <c r="Y98" s="21" t="e">
        <f t="shared" si="16"/>
        <v>#N/A</v>
      </c>
      <c r="Z98" s="11" t="e">
        <f t="shared" si="17"/>
        <v>#N/A</v>
      </c>
      <c r="AA98" s="22" t="e">
        <f t="shared" si="18"/>
        <v>#N/A</v>
      </c>
      <c r="AB98" s="21" t="e">
        <f t="shared" si="19"/>
        <v>#N/A</v>
      </c>
      <c r="AC98" s="21" t="e">
        <f t="shared" si="20"/>
        <v>#N/A</v>
      </c>
      <c r="AD98" s="11" t="e">
        <f t="shared" si="21"/>
        <v>#N/A</v>
      </c>
      <c r="AE98" s="22" t="e">
        <f t="shared" si="22"/>
        <v>#N/A</v>
      </c>
      <c r="AF98" s="21" t="e">
        <f t="shared" si="23"/>
        <v>#N/A</v>
      </c>
      <c r="AG98" s="21" t="e">
        <f t="shared" si="24"/>
        <v>#N/A</v>
      </c>
      <c r="AH98" s="11" t="e">
        <f t="shared" si="25"/>
        <v>#N/A</v>
      </c>
      <c r="AI98">
        <v>2.5000000000000001E-2</v>
      </c>
      <c r="AJ98">
        <v>-2.5000000000000001E-2</v>
      </c>
      <c r="AK98">
        <v>1.5E-3</v>
      </c>
      <c r="AL98">
        <v>-1.5E-3</v>
      </c>
      <c r="AM98">
        <v>1.5E-3</v>
      </c>
      <c r="AN98">
        <v>-1.5E-3</v>
      </c>
      <c r="AO98" s="16">
        <v>2.5000000000000001E-2</v>
      </c>
      <c r="AP98" s="16">
        <v>-2.5000000000000001E-2</v>
      </c>
      <c r="AQ98">
        <v>1.4999999999999999E-2</v>
      </c>
      <c r="AR98">
        <v>-1.4999999999999999E-2</v>
      </c>
      <c r="AS98">
        <v>1E-3</v>
      </c>
      <c r="AT98">
        <v>-1E-3</v>
      </c>
      <c r="AU98">
        <v>1E-3</v>
      </c>
      <c r="AV98">
        <v>-1E-3</v>
      </c>
      <c r="AW98" s="16">
        <v>1.4999999999999999E-2</v>
      </c>
      <c r="AX98" s="16">
        <v>-1.4999999999999999E-2</v>
      </c>
    </row>
    <row r="99" spans="6:50">
      <c r="F99" s="17" t="str">
        <f t="shared" si="13"/>
        <v/>
      </c>
      <c r="G99" s="4"/>
      <c r="H99" s="2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22" t="e">
        <f t="shared" si="14"/>
        <v>#N/A</v>
      </c>
      <c r="X99" s="21" t="e">
        <f t="shared" si="15"/>
        <v>#N/A</v>
      </c>
      <c r="Y99" s="21" t="e">
        <f t="shared" si="16"/>
        <v>#N/A</v>
      </c>
      <c r="Z99" s="11" t="e">
        <f t="shared" si="17"/>
        <v>#N/A</v>
      </c>
      <c r="AA99" s="22" t="e">
        <f t="shared" si="18"/>
        <v>#N/A</v>
      </c>
      <c r="AB99" s="21" t="e">
        <f t="shared" si="19"/>
        <v>#N/A</v>
      </c>
      <c r="AC99" s="21" t="e">
        <f t="shared" si="20"/>
        <v>#N/A</v>
      </c>
      <c r="AD99" s="11" t="e">
        <f t="shared" si="21"/>
        <v>#N/A</v>
      </c>
      <c r="AE99" s="22" t="e">
        <f t="shared" si="22"/>
        <v>#N/A</v>
      </c>
      <c r="AF99" s="21" t="e">
        <f t="shared" si="23"/>
        <v>#N/A</v>
      </c>
      <c r="AG99" s="21" t="e">
        <f t="shared" si="24"/>
        <v>#N/A</v>
      </c>
      <c r="AH99" s="11" t="e">
        <f t="shared" si="25"/>
        <v>#N/A</v>
      </c>
      <c r="AI99">
        <v>2.5000000000000001E-2</v>
      </c>
      <c r="AJ99">
        <v>-2.5000000000000001E-2</v>
      </c>
      <c r="AK99">
        <v>1.5E-3</v>
      </c>
      <c r="AL99">
        <v>-1.5E-3</v>
      </c>
      <c r="AM99">
        <v>1.5E-3</v>
      </c>
      <c r="AN99">
        <v>-1.5E-3</v>
      </c>
      <c r="AO99" s="16">
        <v>2.5000000000000001E-2</v>
      </c>
      <c r="AP99" s="16">
        <v>-2.5000000000000001E-2</v>
      </c>
      <c r="AQ99">
        <v>1.4999999999999999E-2</v>
      </c>
      <c r="AR99">
        <v>-1.4999999999999999E-2</v>
      </c>
      <c r="AS99">
        <v>1E-3</v>
      </c>
      <c r="AT99">
        <v>-1E-3</v>
      </c>
      <c r="AU99">
        <v>1E-3</v>
      </c>
      <c r="AV99">
        <v>-1E-3</v>
      </c>
      <c r="AW99" s="16">
        <v>1.4999999999999999E-2</v>
      </c>
      <c r="AX99" s="16">
        <v>-1.4999999999999999E-2</v>
      </c>
    </row>
    <row r="100" spans="6:50">
      <c r="F100" s="17" t="str">
        <f t="shared" si="13"/>
        <v/>
      </c>
      <c r="G100" s="4"/>
      <c r="H100" s="2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22" t="e">
        <f t="shared" si="14"/>
        <v>#N/A</v>
      </c>
      <c r="X100" s="21" t="e">
        <f t="shared" si="15"/>
        <v>#N/A</v>
      </c>
      <c r="Y100" s="21" t="e">
        <f t="shared" si="16"/>
        <v>#N/A</v>
      </c>
      <c r="Z100" s="11" t="e">
        <f t="shared" si="17"/>
        <v>#N/A</v>
      </c>
      <c r="AA100" s="22" t="e">
        <f t="shared" si="18"/>
        <v>#N/A</v>
      </c>
      <c r="AB100" s="21" t="e">
        <f t="shared" si="19"/>
        <v>#N/A</v>
      </c>
      <c r="AC100" s="21" t="e">
        <f t="shared" si="20"/>
        <v>#N/A</v>
      </c>
      <c r="AD100" s="11" t="e">
        <f t="shared" si="21"/>
        <v>#N/A</v>
      </c>
      <c r="AE100" s="22" t="e">
        <f t="shared" si="22"/>
        <v>#N/A</v>
      </c>
      <c r="AF100" s="21" t="e">
        <f t="shared" si="23"/>
        <v>#N/A</v>
      </c>
      <c r="AG100" s="21" t="e">
        <f t="shared" si="24"/>
        <v>#N/A</v>
      </c>
      <c r="AH100" s="11" t="e">
        <f t="shared" si="25"/>
        <v>#N/A</v>
      </c>
      <c r="AI100">
        <v>2.5000000000000001E-2</v>
      </c>
      <c r="AJ100">
        <v>-2.5000000000000001E-2</v>
      </c>
      <c r="AK100">
        <v>1.5E-3</v>
      </c>
      <c r="AL100">
        <v>-1.5E-3</v>
      </c>
      <c r="AM100">
        <v>1.5E-3</v>
      </c>
      <c r="AN100">
        <v>-1.5E-3</v>
      </c>
      <c r="AO100" s="16">
        <v>2.5000000000000001E-2</v>
      </c>
      <c r="AP100" s="16">
        <v>-2.5000000000000001E-2</v>
      </c>
      <c r="AQ100">
        <v>1.4999999999999999E-2</v>
      </c>
      <c r="AR100">
        <v>-1.4999999999999999E-2</v>
      </c>
      <c r="AS100">
        <v>1E-3</v>
      </c>
      <c r="AT100">
        <v>-1E-3</v>
      </c>
      <c r="AU100">
        <v>1E-3</v>
      </c>
      <c r="AV100">
        <v>-1E-3</v>
      </c>
      <c r="AW100" s="16">
        <v>1.4999999999999999E-2</v>
      </c>
      <c r="AX100" s="16">
        <v>-1.4999999999999999E-2</v>
      </c>
    </row>
  </sheetData>
  <mergeCells count="6">
    <mergeCell ref="AE4:AH4"/>
    <mergeCell ref="H4:L4"/>
    <mergeCell ref="M4:Q4"/>
    <mergeCell ref="R4:V4"/>
    <mergeCell ref="W4:Z4"/>
    <mergeCell ref="AA4:AD4"/>
  </mergeCells>
  <phoneticPr fontId="1"/>
  <conditionalFormatting sqref="W6:AH100">
    <cfRule type="containsErrors" dxfId="0" priority="1">
      <formula>ISERROR(W6)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まとめ</vt:lpstr>
      <vt:lpstr>FT36</vt:lpstr>
      <vt:lpstr>FT42</vt:lpstr>
      <vt:lpstr>FT43</vt:lpstr>
      <vt:lpstr>FT59</vt:lpstr>
      <vt:lpstr>FT60</vt:lpstr>
      <vt:lpstr>FT65</vt:lpstr>
      <vt:lpstr>FT70</vt:lpstr>
      <vt:lpstr>FT72</vt:lpstr>
      <vt:lpstr>FT73</vt:lpstr>
      <vt:lpstr>FT74</vt:lpstr>
      <vt:lpstr>FT76</vt:lpstr>
      <vt:lpstr>FTA4</vt:lpstr>
      <vt:lpstr>FTD9</vt:lpstr>
    </vt:vector>
  </TitlesOfParts>
  <Company>シチズン電子（株）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 純規</dc:creator>
  <cp:lastModifiedBy>CEJPublic</cp:lastModifiedBy>
  <dcterms:created xsi:type="dcterms:W3CDTF">2019-04-23T00:33:40Z</dcterms:created>
  <dcterms:modified xsi:type="dcterms:W3CDTF">2021-02-26T07:34:51Z</dcterms:modified>
</cp:coreProperties>
</file>